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Ex1.xml" ContentType="application/vnd.ms-office.chartex+xml"/>
  <Override PartName="/xl/charts/style5.xml" ContentType="application/vnd.ms-office.chartstyle+xml"/>
  <Override PartName="/xl/charts/colors5.xml" ContentType="application/vnd.ms-office.chartcolorstyle+xml"/>
  <Override PartName="/xl/charts/chartEx2.xml" ContentType="application/vnd.ms-office.chartex+xml"/>
  <Override PartName="/xl/charts/style6.xml" ContentType="application/vnd.ms-office.chartstyle+xml"/>
  <Override PartName="/xl/charts/colors6.xml" ContentType="application/vnd.ms-office.chartcolorstyle+xml"/>
  <Override PartName="/xl/charts/chart5.xml" ContentType="application/vnd.openxmlformats-officedocument.drawingml.chart+xml"/>
  <Override PartName="/xl/charts/style7.xml" ContentType="application/vnd.ms-office.chartstyle+xml"/>
  <Override PartName="/xl/charts/colors7.xml" ContentType="application/vnd.ms-office.chartcolorstyle+xml"/>
  <Override PartName="/xl/charts/chart6.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pivotTables/pivotTable23.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827"/>
  <workbookPr codeName="ThisWorkbook" hidePivotFieldList="1"/>
  <mc:AlternateContent xmlns:mc="http://schemas.openxmlformats.org/markup-compatibility/2006">
    <mc:Choice Requires="x15">
      <x15ac:absPath xmlns:x15ac="http://schemas.microsoft.com/office/spreadsheetml/2010/11/ac" url="C:\Users\Prathamesh\Desktop\My_Workspace\Datasets\"/>
    </mc:Choice>
  </mc:AlternateContent>
  <xr:revisionPtr revIDLastSave="0" documentId="13_ncr:1_{86D1D733-4F1B-4BBD-8D44-199749398FBD}" xr6:coauthVersionLast="47" xr6:coauthVersionMax="47" xr10:uidLastSave="{00000000-0000-0000-0000-000000000000}"/>
  <bookViews>
    <workbookView xWindow="-120" yWindow="-120" windowWidth="20730" windowHeight="11160" tabRatio="601" activeTab="2" xr2:uid="{346724B3-1C49-40AE-AA36-C77CF5D6DD09}"/>
  </bookViews>
  <sheets>
    <sheet name="Data" sheetId="1" r:id="rId1"/>
    <sheet name="Questions &amp; KPIs" sheetId="2" r:id="rId2"/>
    <sheet name="Dashboard" sheetId="8" r:id="rId3"/>
    <sheet name="Pivot" sheetId="7" r:id="rId4"/>
    <sheet name="Pivot 2" sheetId="10" r:id="rId5"/>
    <sheet name="Rough_Analysis" sheetId="6" r:id="rId6"/>
  </sheets>
  <definedNames>
    <definedName name="_xlchart.v5.0" hidden="1">Pivot!$H$52:$I$52</definedName>
    <definedName name="_xlchart.v5.1" hidden="1">Pivot!$H$53:$I$110</definedName>
    <definedName name="_xlchart.v5.2" hidden="1">Pivot!$J$52</definedName>
    <definedName name="_xlchart.v5.3" hidden="1">Pivot!$J$53:$J$110</definedName>
    <definedName name="_xlchart.v5.4" hidden="1">Pivot!$M$52:$N$52</definedName>
    <definedName name="_xlchart.v5.5" hidden="1">Pivot!$M$53:$N$110</definedName>
    <definedName name="_xlchart.v5.6" hidden="1">Pivot!$O$52</definedName>
    <definedName name="_xlchart.v5.7" hidden="1">Pivot!$O$53:$O$110</definedName>
    <definedName name="Slicer_Gender_Value">#N/A</definedName>
    <definedName name="Slicer_Order_Mode">#N/A</definedName>
  </definedNames>
  <calcPr calcId="191029"/>
  <pivotCaches>
    <pivotCache cacheId="0" r:id="rId7"/>
  </pivotCaches>
  <extLst>
    <ext xmlns:x14="http://schemas.microsoft.com/office/spreadsheetml/2009/9/main" uri="{BBE1A952-AA13-448e-AADC-164F8A28A991}">
      <x14:slicerCaches>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feature name="microsoft.com:LET_WF"/>
        <xcalcf:feature name="microsoft.com:LAMBDA_WF"/>
      </xcalcf:calcFeatures>
    </ext>
  </extLst>
</workbook>
</file>

<file path=xl/calcChain.xml><?xml version="1.0" encoding="utf-8"?>
<calcChain xmlns="http://schemas.openxmlformats.org/spreadsheetml/2006/main">
  <c r="J14" i="10" l="1"/>
  <c r="K14" i="10"/>
  <c r="L14" i="10"/>
  <c r="I14" i="10"/>
  <c r="H16" i="10"/>
  <c r="H17" i="10"/>
  <c r="H18" i="10"/>
  <c r="H19" i="10"/>
  <c r="H15" i="10"/>
  <c r="I16" i="10"/>
  <c r="J16" i="10"/>
  <c r="K16" i="10"/>
  <c r="L16" i="10"/>
  <c r="I17" i="10"/>
  <c r="J17" i="10"/>
  <c r="K17" i="10"/>
  <c r="L17" i="10"/>
  <c r="I18" i="10"/>
  <c r="J18" i="10"/>
  <c r="K18" i="10"/>
  <c r="L18" i="10"/>
  <c r="I19" i="10"/>
  <c r="J19" i="10"/>
  <c r="K19" i="10"/>
  <c r="L19" i="10"/>
  <c r="J15" i="10"/>
  <c r="K15" i="10"/>
  <c r="L15" i="10"/>
  <c r="I15" i="10"/>
  <c r="P132" i="7"/>
  <c r="O132" i="7"/>
  <c r="N132" i="7"/>
  <c r="M132" i="7"/>
  <c r="L132" i="7"/>
  <c r="M54" i="7"/>
  <c r="N54" i="7"/>
  <c r="O54" i="7"/>
  <c r="M55" i="7"/>
  <c r="N55" i="7"/>
  <c r="O55" i="7"/>
  <c r="M56" i="7"/>
  <c r="N56" i="7"/>
  <c r="O56" i="7"/>
  <c r="M57" i="7"/>
  <c r="N57" i="7"/>
  <c r="O57" i="7"/>
  <c r="M58" i="7"/>
  <c r="N58" i="7"/>
  <c r="O58" i="7"/>
  <c r="M59" i="7"/>
  <c r="N59" i="7"/>
  <c r="O59" i="7"/>
  <c r="M60" i="7"/>
  <c r="N60" i="7"/>
  <c r="O60" i="7"/>
  <c r="M61" i="7"/>
  <c r="N61" i="7"/>
  <c r="O61" i="7"/>
  <c r="M62" i="7"/>
  <c r="N62" i="7"/>
  <c r="O62" i="7"/>
  <c r="M63" i="7"/>
  <c r="N63" i="7"/>
  <c r="O63" i="7"/>
  <c r="M64" i="7"/>
  <c r="N64" i="7"/>
  <c r="O64" i="7"/>
  <c r="M65" i="7"/>
  <c r="N65" i="7"/>
  <c r="O65" i="7"/>
  <c r="M66" i="7"/>
  <c r="N66" i="7"/>
  <c r="O66" i="7"/>
  <c r="M67" i="7"/>
  <c r="N67" i="7"/>
  <c r="O67" i="7"/>
  <c r="M68" i="7"/>
  <c r="N68" i="7"/>
  <c r="O68" i="7"/>
  <c r="M69" i="7"/>
  <c r="N69" i="7"/>
  <c r="O69" i="7"/>
  <c r="M70" i="7"/>
  <c r="N70" i="7"/>
  <c r="O70" i="7"/>
  <c r="M71" i="7"/>
  <c r="N71" i="7"/>
  <c r="O71" i="7"/>
  <c r="M72" i="7"/>
  <c r="N72" i="7"/>
  <c r="O72" i="7"/>
  <c r="M73" i="7"/>
  <c r="N73" i="7"/>
  <c r="O73" i="7"/>
  <c r="M74" i="7"/>
  <c r="N74" i="7"/>
  <c r="O74" i="7"/>
  <c r="M75" i="7"/>
  <c r="N75" i="7"/>
  <c r="O75" i="7"/>
  <c r="M76" i="7"/>
  <c r="N76" i="7"/>
  <c r="O76" i="7"/>
  <c r="M77" i="7"/>
  <c r="N77" i="7"/>
  <c r="O77" i="7"/>
  <c r="M78" i="7"/>
  <c r="N78" i="7"/>
  <c r="O78" i="7"/>
  <c r="M79" i="7"/>
  <c r="N79" i="7"/>
  <c r="O79" i="7"/>
  <c r="M80" i="7"/>
  <c r="N80" i="7"/>
  <c r="O80" i="7"/>
  <c r="M81" i="7"/>
  <c r="N81" i="7"/>
  <c r="O81" i="7"/>
  <c r="M82" i="7"/>
  <c r="N82" i="7"/>
  <c r="O82" i="7"/>
  <c r="M83" i="7"/>
  <c r="N83" i="7"/>
  <c r="O83" i="7"/>
  <c r="M84" i="7"/>
  <c r="N84" i="7"/>
  <c r="O84" i="7"/>
  <c r="M85" i="7"/>
  <c r="N85" i="7"/>
  <c r="O85" i="7"/>
  <c r="M86" i="7"/>
  <c r="N86" i="7"/>
  <c r="O86" i="7"/>
  <c r="M87" i="7"/>
  <c r="N87" i="7"/>
  <c r="O87" i="7"/>
  <c r="M88" i="7"/>
  <c r="N88" i="7"/>
  <c r="O88" i="7"/>
  <c r="M89" i="7"/>
  <c r="N89" i="7"/>
  <c r="O89" i="7"/>
  <c r="M90" i="7"/>
  <c r="N90" i="7"/>
  <c r="O90" i="7"/>
  <c r="M91" i="7"/>
  <c r="N91" i="7"/>
  <c r="O91" i="7"/>
  <c r="M92" i="7"/>
  <c r="N92" i="7"/>
  <c r="O92" i="7"/>
  <c r="M93" i="7"/>
  <c r="N93" i="7"/>
  <c r="O93" i="7"/>
  <c r="M94" i="7"/>
  <c r="N94" i="7"/>
  <c r="O94" i="7"/>
  <c r="M95" i="7"/>
  <c r="N95" i="7"/>
  <c r="O95" i="7"/>
  <c r="M96" i="7"/>
  <c r="N96" i="7"/>
  <c r="O96" i="7"/>
  <c r="M97" i="7"/>
  <c r="N97" i="7"/>
  <c r="O97" i="7"/>
  <c r="M98" i="7"/>
  <c r="N98" i="7"/>
  <c r="O98" i="7"/>
  <c r="M99" i="7"/>
  <c r="N99" i="7"/>
  <c r="O99" i="7"/>
  <c r="M100" i="7"/>
  <c r="N100" i="7"/>
  <c r="O100" i="7"/>
  <c r="M101" i="7"/>
  <c r="N101" i="7"/>
  <c r="O101" i="7"/>
  <c r="M102" i="7"/>
  <c r="N102" i="7"/>
  <c r="O102" i="7"/>
  <c r="M103" i="7"/>
  <c r="N103" i="7"/>
  <c r="O103" i="7"/>
  <c r="M104" i="7"/>
  <c r="N104" i="7"/>
  <c r="O104" i="7"/>
  <c r="M105" i="7"/>
  <c r="N105" i="7"/>
  <c r="O105" i="7"/>
  <c r="M106" i="7"/>
  <c r="N106" i="7"/>
  <c r="O106" i="7"/>
  <c r="M107" i="7"/>
  <c r="N107" i="7"/>
  <c r="O107" i="7"/>
  <c r="M108" i="7"/>
  <c r="N108" i="7"/>
  <c r="O108" i="7"/>
  <c r="M109" i="7"/>
  <c r="N109" i="7"/>
  <c r="O109" i="7"/>
  <c r="M110" i="7"/>
  <c r="N110" i="7"/>
  <c r="O110" i="7"/>
  <c r="O53" i="7"/>
  <c r="N53" i="7"/>
  <c r="M53" i="7"/>
  <c r="H54" i="7"/>
  <c r="I54" i="7"/>
  <c r="J54" i="7"/>
  <c r="H55" i="7"/>
  <c r="I55" i="7"/>
  <c r="J55" i="7"/>
  <c r="H56" i="7"/>
  <c r="I56" i="7"/>
  <c r="J56" i="7"/>
  <c r="H57" i="7"/>
  <c r="I57" i="7"/>
  <c r="J57" i="7"/>
  <c r="H58" i="7"/>
  <c r="I58" i="7"/>
  <c r="J58" i="7"/>
  <c r="H59" i="7"/>
  <c r="I59" i="7"/>
  <c r="J59" i="7"/>
  <c r="H60" i="7"/>
  <c r="I60" i="7"/>
  <c r="J60" i="7"/>
  <c r="H61" i="7"/>
  <c r="I61" i="7"/>
  <c r="J61" i="7"/>
  <c r="H62" i="7"/>
  <c r="I62" i="7"/>
  <c r="J62" i="7"/>
  <c r="H63" i="7"/>
  <c r="I63" i="7"/>
  <c r="J63" i="7"/>
  <c r="H64" i="7"/>
  <c r="I64" i="7"/>
  <c r="J64" i="7"/>
  <c r="H65" i="7"/>
  <c r="I65" i="7"/>
  <c r="J65" i="7"/>
  <c r="H66" i="7"/>
  <c r="I66" i="7"/>
  <c r="J66" i="7"/>
  <c r="H67" i="7"/>
  <c r="I67" i="7"/>
  <c r="J67" i="7"/>
  <c r="H68" i="7"/>
  <c r="I68" i="7"/>
  <c r="J68" i="7"/>
  <c r="H69" i="7"/>
  <c r="I69" i="7"/>
  <c r="J69" i="7"/>
  <c r="H70" i="7"/>
  <c r="I70" i="7"/>
  <c r="J70" i="7"/>
  <c r="H71" i="7"/>
  <c r="I71" i="7"/>
  <c r="J71" i="7"/>
  <c r="H72" i="7"/>
  <c r="I72" i="7"/>
  <c r="J72" i="7"/>
  <c r="H73" i="7"/>
  <c r="I73" i="7"/>
  <c r="J73" i="7"/>
  <c r="H74" i="7"/>
  <c r="I74" i="7"/>
  <c r="J74" i="7"/>
  <c r="H75" i="7"/>
  <c r="I75" i="7"/>
  <c r="J75" i="7"/>
  <c r="H76" i="7"/>
  <c r="I76" i="7"/>
  <c r="J76" i="7"/>
  <c r="H77" i="7"/>
  <c r="I77" i="7"/>
  <c r="J77" i="7"/>
  <c r="H78" i="7"/>
  <c r="I78" i="7"/>
  <c r="J78" i="7"/>
  <c r="H79" i="7"/>
  <c r="I79" i="7"/>
  <c r="J79" i="7"/>
  <c r="H80" i="7"/>
  <c r="I80" i="7"/>
  <c r="J80" i="7"/>
  <c r="H81" i="7"/>
  <c r="I81" i="7"/>
  <c r="J81" i="7"/>
  <c r="H82" i="7"/>
  <c r="I82" i="7"/>
  <c r="J82" i="7"/>
  <c r="H83" i="7"/>
  <c r="I83" i="7"/>
  <c r="J83" i="7"/>
  <c r="H84" i="7"/>
  <c r="I84" i="7"/>
  <c r="J84" i="7"/>
  <c r="H85" i="7"/>
  <c r="I85" i="7"/>
  <c r="J85" i="7"/>
  <c r="H86" i="7"/>
  <c r="I86" i="7"/>
  <c r="J86" i="7"/>
  <c r="H87" i="7"/>
  <c r="I87" i="7"/>
  <c r="J87" i="7"/>
  <c r="H88" i="7"/>
  <c r="I88" i="7"/>
  <c r="J88" i="7"/>
  <c r="H89" i="7"/>
  <c r="I89" i="7"/>
  <c r="J89" i="7"/>
  <c r="H90" i="7"/>
  <c r="I90" i="7"/>
  <c r="J90" i="7"/>
  <c r="H91" i="7"/>
  <c r="I91" i="7"/>
  <c r="J91" i="7"/>
  <c r="H92" i="7"/>
  <c r="I92" i="7"/>
  <c r="J92" i="7"/>
  <c r="H93" i="7"/>
  <c r="I93" i="7"/>
  <c r="J93" i="7"/>
  <c r="H94" i="7"/>
  <c r="I94" i="7"/>
  <c r="J94" i="7"/>
  <c r="H95" i="7"/>
  <c r="I95" i="7"/>
  <c r="J95" i="7"/>
  <c r="H96" i="7"/>
  <c r="I96" i="7"/>
  <c r="J96" i="7"/>
  <c r="H97" i="7"/>
  <c r="I97" i="7"/>
  <c r="J97" i="7"/>
  <c r="H98" i="7"/>
  <c r="I98" i="7"/>
  <c r="J98" i="7"/>
  <c r="H99" i="7"/>
  <c r="I99" i="7"/>
  <c r="J99" i="7"/>
  <c r="H100" i="7"/>
  <c r="I100" i="7"/>
  <c r="J100" i="7"/>
  <c r="H101" i="7"/>
  <c r="I101" i="7"/>
  <c r="J101" i="7"/>
  <c r="H102" i="7"/>
  <c r="I102" i="7"/>
  <c r="J102" i="7"/>
  <c r="H103" i="7"/>
  <c r="I103" i="7"/>
  <c r="J103" i="7"/>
  <c r="H104" i="7"/>
  <c r="I104" i="7"/>
  <c r="J104" i="7"/>
  <c r="H105" i="7"/>
  <c r="I105" i="7"/>
  <c r="J105" i="7"/>
  <c r="H106" i="7"/>
  <c r="I106" i="7"/>
  <c r="J106" i="7"/>
  <c r="H107" i="7"/>
  <c r="I107" i="7"/>
  <c r="J107" i="7"/>
  <c r="H108" i="7"/>
  <c r="I108" i="7"/>
  <c r="J108" i="7"/>
  <c r="H109" i="7"/>
  <c r="I109" i="7"/>
  <c r="J109" i="7"/>
  <c r="H110" i="7"/>
  <c r="I110" i="7"/>
  <c r="J110" i="7"/>
  <c r="I53" i="7"/>
  <c r="J53" i="7"/>
  <c r="H53" i="7"/>
  <c r="J4" i="10"/>
  <c r="K4" i="10"/>
  <c r="L4" i="10"/>
  <c r="J5" i="10"/>
  <c r="K5" i="10"/>
  <c r="L5" i="10"/>
  <c r="J6" i="10"/>
  <c r="K6" i="10"/>
  <c r="L6" i="10"/>
  <c r="J7" i="10"/>
  <c r="K7" i="10"/>
  <c r="L7" i="10"/>
  <c r="J8" i="10"/>
  <c r="K8" i="10"/>
  <c r="L8" i="10"/>
  <c r="J9" i="10"/>
  <c r="K9" i="10"/>
  <c r="L9" i="10"/>
  <c r="I5" i="10"/>
  <c r="I6" i="10"/>
  <c r="I7" i="10"/>
  <c r="I8" i="10"/>
  <c r="I9" i="10"/>
  <c r="I4" i="10"/>
  <c r="H6" i="10"/>
  <c r="H7" i="10"/>
  <c r="H8" i="10"/>
  <c r="H9" i="10"/>
  <c r="H5" i="10"/>
  <c r="K4" i="7"/>
  <c r="J4" i="7"/>
  <c r="I4" i="7"/>
  <c r="H4" i="7"/>
  <c r="G4" i="7"/>
  <c r="S5" i="1"/>
  <c r="T5" i="1"/>
  <c r="U5" i="1"/>
  <c r="V5" i="1"/>
  <c r="W5" i="1"/>
  <c r="X5" i="1"/>
  <c r="Y5" i="1"/>
  <c r="Z5" i="1"/>
  <c r="AA5" i="1"/>
  <c r="AB5" i="1"/>
  <c r="Q5" i="1"/>
  <c r="R5" i="1"/>
  <c r="O2" i="1"/>
  <c r="O3" i="1"/>
  <c r="O4" i="1"/>
  <c r="O5" i="1"/>
  <c r="O6" i="1"/>
  <c r="O7" i="1"/>
  <c r="O8" i="1"/>
  <c r="O9" i="1"/>
  <c r="O10" i="1"/>
  <c r="O11" i="1"/>
  <c r="O12" i="1"/>
  <c r="O13" i="1"/>
  <c r="O14" i="1"/>
  <c r="O15" i="1"/>
  <c r="O16" i="1"/>
  <c r="O17" i="1"/>
  <c r="O18" i="1"/>
  <c r="O19" i="1"/>
  <c r="O20" i="1"/>
  <c r="O21" i="1"/>
  <c r="O22" i="1"/>
  <c r="O23" i="1"/>
  <c r="O24" i="1"/>
  <c r="O25" i="1"/>
  <c r="O26" i="1"/>
  <c r="O27" i="1"/>
  <c r="O28" i="1"/>
  <c r="O29" i="1"/>
  <c r="O30" i="1"/>
  <c r="O31" i="1"/>
  <c r="O32" i="1"/>
  <c r="O33" i="1"/>
  <c r="O34" i="1"/>
  <c r="O35" i="1"/>
  <c r="O36" i="1"/>
  <c r="O37" i="1"/>
  <c r="O38" i="1"/>
  <c r="O39" i="1"/>
  <c r="O40" i="1"/>
  <c r="O41" i="1"/>
  <c r="O42" i="1"/>
  <c r="O43" i="1"/>
  <c r="O44" i="1"/>
  <c r="O45" i="1"/>
  <c r="O46" i="1"/>
  <c r="O47" i="1"/>
  <c r="O48" i="1"/>
  <c r="O49" i="1"/>
  <c r="O50" i="1"/>
  <c r="O51" i="1"/>
  <c r="O52" i="1"/>
  <c r="O53" i="1"/>
  <c r="O54" i="1"/>
  <c r="O55" i="1"/>
  <c r="O56" i="1"/>
  <c r="O57" i="1"/>
  <c r="O58" i="1"/>
  <c r="O59" i="1"/>
  <c r="O60" i="1"/>
  <c r="O61" i="1"/>
  <c r="O62" i="1"/>
  <c r="O63" i="1"/>
  <c r="O64" i="1"/>
  <c r="O65" i="1"/>
  <c r="O66" i="1"/>
  <c r="O67" i="1"/>
  <c r="O68" i="1"/>
  <c r="O69" i="1"/>
  <c r="O70" i="1"/>
  <c r="O71" i="1"/>
  <c r="O72" i="1"/>
  <c r="O73" i="1"/>
  <c r="O74" i="1"/>
  <c r="O75" i="1"/>
  <c r="O76" i="1"/>
  <c r="O77" i="1"/>
  <c r="O78" i="1"/>
  <c r="O79" i="1"/>
  <c r="O80" i="1"/>
  <c r="O81" i="1"/>
  <c r="O82" i="1"/>
  <c r="O83" i="1"/>
  <c r="O84" i="1"/>
  <c r="O85" i="1"/>
  <c r="O86" i="1"/>
  <c r="O87" i="1"/>
  <c r="O88" i="1"/>
  <c r="O89" i="1"/>
  <c r="O90" i="1"/>
  <c r="O91" i="1"/>
  <c r="O92" i="1"/>
  <c r="O93" i="1"/>
  <c r="O94" i="1"/>
  <c r="O95" i="1"/>
  <c r="O96" i="1"/>
  <c r="O97" i="1"/>
  <c r="O98" i="1"/>
  <c r="O99" i="1"/>
  <c r="O100" i="1"/>
  <c r="O101" i="1"/>
  <c r="O102" i="1"/>
  <c r="O103" i="1"/>
  <c r="O104" i="1"/>
  <c r="O105" i="1"/>
  <c r="O106" i="1"/>
  <c r="O107" i="1"/>
  <c r="O108" i="1"/>
  <c r="O109" i="1"/>
  <c r="O110" i="1"/>
  <c r="O111" i="1"/>
  <c r="O112" i="1"/>
  <c r="O113" i="1"/>
  <c r="O114" i="1"/>
  <c r="O115" i="1"/>
  <c r="O116" i="1"/>
  <c r="O117" i="1"/>
  <c r="O118" i="1"/>
  <c r="O119" i="1"/>
  <c r="O120" i="1"/>
  <c r="O121" i="1"/>
  <c r="O122" i="1"/>
  <c r="O123" i="1"/>
  <c r="O124" i="1"/>
  <c r="O125" i="1"/>
  <c r="O126" i="1"/>
  <c r="O127" i="1"/>
  <c r="O128" i="1"/>
  <c r="O129" i="1"/>
  <c r="O130" i="1"/>
  <c r="O131" i="1"/>
  <c r="O132" i="1"/>
  <c r="O133" i="1"/>
  <c r="O134" i="1"/>
  <c r="O135" i="1"/>
  <c r="O136" i="1"/>
  <c r="O137" i="1"/>
  <c r="O138" i="1"/>
  <c r="O139" i="1"/>
  <c r="O140" i="1"/>
  <c r="O141" i="1"/>
  <c r="O142" i="1"/>
  <c r="O143" i="1"/>
  <c r="O144" i="1"/>
  <c r="O145" i="1"/>
  <c r="O146" i="1"/>
  <c r="O147" i="1"/>
  <c r="O148" i="1"/>
  <c r="O149" i="1"/>
  <c r="O150" i="1"/>
  <c r="O151" i="1"/>
  <c r="O152" i="1"/>
  <c r="O153" i="1"/>
  <c r="O154" i="1"/>
  <c r="O155" i="1"/>
  <c r="O156" i="1"/>
  <c r="O157" i="1"/>
  <c r="O158" i="1"/>
  <c r="O159" i="1"/>
  <c r="O160" i="1"/>
  <c r="O161" i="1"/>
  <c r="O162" i="1"/>
  <c r="O163" i="1"/>
  <c r="O164" i="1"/>
  <c r="O165" i="1"/>
  <c r="O166" i="1"/>
  <c r="O167" i="1"/>
  <c r="O168" i="1"/>
  <c r="O169" i="1"/>
  <c r="O170" i="1"/>
  <c r="O171" i="1"/>
  <c r="O172" i="1"/>
  <c r="O173" i="1"/>
  <c r="O174" i="1"/>
  <c r="O175" i="1"/>
  <c r="O176" i="1"/>
  <c r="O177" i="1"/>
  <c r="O178" i="1"/>
  <c r="O179" i="1"/>
  <c r="O180" i="1"/>
  <c r="O181" i="1"/>
  <c r="O182" i="1"/>
  <c r="O183" i="1"/>
  <c r="O184" i="1"/>
  <c r="O185" i="1"/>
  <c r="O186" i="1"/>
  <c r="O187" i="1"/>
  <c r="O188" i="1"/>
  <c r="O189" i="1"/>
  <c r="O190" i="1"/>
  <c r="O191" i="1"/>
  <c r="O192" i="1"/>
  <c r="O193" i="1"/>
  <c r="O194" i="1"/>
  <c r="O195" i="1"/>
  <c r="O196" i="1"/>
  <c r="O197" i="1"/>
  <c r="O198" i="1"/>
  <c r="O199" i="1"/>
  <c r="O200" i="1"/>
  <c r="O201" i="1"/>
  <c r="O202" i="1"/>
  <c r="O203" i="1"/>
  <c r="O204" i="1"/>
  <c r="O205" i="1"/>
  <c r="O206" i="1"/>
  <c r="O207" i="1"/>
  <c r="O208" i="1"/>
  <c r="O209" i="1"/>
  <c r="O210" i="1"/>
  <c r="O211" i="1"/>
  <c r="O212" i="1"/>
  <c r="O213" i="1"/>
  <c r="O214" i="1"/>
  <c r="O215" i="1"/>
  <c r="O216" i="1"/>
  <c r="O217" i="1"/>
  <c r="O218" i="1"/>
  <c r="O219" i="1"/>
  <c r="O220" i="1"/>
  <c r="O221" i="1"/>
  <c r="O222" i="1"/>
  <c r="O223" i="1"/>
  <c r="O224" i="1"/>
  <c r="O225" i="1"/>
  <c r="O226" i="1"/>
  <c r="O227" i="1"/>
  <c r="O228" i="1"/>
  <c r="O229" i="1"/>
  <c r="O230" i="1"/>
  <c r="O231" i="1"/>
  <c r="O232" i="1"/>
  <c r="O233" i="1"/>
  <c r="O234" i="1"/>
  <c r="O235" i="1"/>
  <c r="O236" i="1"/>
  <c r="O237" i="1"/>
  <c r="O238" i="1"/>
  <c r="O239" i="1"/>
  <c r="O240" i="1"/>
  <c r="O241" i="1"/>
  <c r="O242" i="1"/>
  <c r="O243" i="1"/>
  <c r="O244" i="1"/>
  <c r="O245" i="1"/>
  <c r="O246" i="1"/>
  <c r="O247" i="1"/>
  <c r="O248" i="1"/>
  <c r="O249" i="1"/>
  <c r="O250" i="1"/>
  <c r="O251" i="1"/>
  <c r="O252" i="1"/>
  <c r="O253" i="1"/>
  <c r="O254" i="1"/>
  <c r="O255" i="1"/>
  <c r="O256" i="1"/>
  <c r="O257" i="1"/>
  <c r="O258" i="1"/>
  <c r="O259" i="1"/>
  <c r="O260" i="1"/>
  <c r="O261" i="1"/>
  <c r="O262" i="1"/>
  <c r="O263" i="1"/>
  <c r="O264" i="1"/>
  <c r="O265" i="1"/>
  <c r="O266" i="1"/>
  <c r="O267" i="1"/>
  <c r="O268" i="1"/>
  <c r="O269" i="1"/>
  <c r="O270" i="1"/>
  <c r="O271" i="1"/>
  <c r="O272" i="1"/>
  <c r="O273" i="1"/>
  <c r="O274" i="1"/>
  <c r="O275" i="1"/>
  <c r="O276" i="1"/>
  <c r="O277" i="1"/>
  <c r="O278" i="1"/>
  <c r="O279" i="1"/>
  <c r="O280" i="1"/>
  <c r="O281" i="1"/>
  <c r="O282" i="1"/>
  <c r="O283" i="1"/>
  <c r="O284" i="1"/>
  <c r="O285" i="1"/>
  <c r="O286" i="1"/>
  <c r="O287" i="1"/>
  <c r="O288" i="1"/>
  <c r="O289" i="1"/>
  <c r="O290" i="1"/>
  <c r="O291" i="1"/>
  <c r="O292" i="1"/>
  <c r="O293" i="1"/>
  <c r="O294" i="1"/>
  <c r="O295" i="1"/>
  <c r="O296" i="1"/>
  <c r="O297" i="1"/>
  <c r="O298" i="1"/>
  <c r="O299" i="1"/>
  <c r="O300" i="1"/>
  <c r="O301" i="1"/>
  <c r="O302" i="1"/>
  <c r="O303" i="1"/>
  <c r="O304" i="1"/>
  <c r="O305" i="1"/>
  <c r="O306" i="1"/>
  <c r="O307" i="1"/>
  <c r="O308" i="1"/>
  <c r="O309" i="1"/>
  <c r="O310" i="1"/>
  <c r="O311" i="1"/>
  <c r="O312" i="1"/>
  <c r="O313" i="1"/>
  <c r="O314" i="1"/>
  <c r="O315" i="1"/>
  <c r="O316" i="1"/>
  <c r="O317" i="1"/>
  <c r="O318" i="1"/>
  <c r="O319" i="1"/>
  <c r="O320" i="1"/>
  <c r="O321" i="1"/>
  <c r="O322" i="1"/>
  <c r="O323" i="1"/>
  <c r="O324" i="1"/>
  <c r="O325" i="1"/>
  <c r="O326" i="1"/>
  <c r="O327" i="1"/>
  <c r="O328" i="1"/>
  <c r="O329" i="1"/>
  <c r="O330" i="1"/>
  <c r="O331" i="1"/>
  <c r="O332" i="1"/>
  <c r="O333" i="1"/>
  <c r="O334" i="1"/>
  <c r="O335" i="1"/>
  <c r="O336" i="1"/>
  <c r="O337" i="1"/>
  <c r="O338" i="1"/>
  <c r="O339" i="1"/>
  <c r="O340" i="1"/>
  <c r="O341" i="1"/>
  <c r="O342" i="1"/>
  <c r="O343" i="1"/>
  <c r="O344" i="1"/>
  <c r="O345" i="1"/>
  <c r="O346" i="1"/>
  <c r="O347" i="1"/>
  <c r="O348" i="1"/>
  <c r="O349" i="1"/>
  <c r="O350" i="1"/>
  <c r="O351" i="1"/>
  <c r="O352" i="1"/>
  <c r="O353" i="1"/>
  <c r="O354" i="1"/>
  <c r="O355" i="1"/>
  <c r="O356" i="1"/>
  <c r="O357" i="1"/>
  <c r="O358" i="1"/>
  <c r="O359" i="1"/>
  <c r="O360" i="1"/>
  <c r="O361" i="1"/>
  <c r="O362" i="1"/>
  <c r="O363" i="1"/>
  <c r="O364" i="1"/>
  <c r="O365" i="1"/>
  <c r="O366" i="1"/>
  <c r="O367" i="1"/>
  <c r="O368" i="1"/>
  <c r="O369" i="1"/>
  <c r="O370" i="1"/>
  <c r="O371" i="1"/>
  <c r="O372" i="1"/>
  <c r="O373" i="1"/>
  <c r="O374" i="1"/>
  <c r="O375" i="1"/>
  <c r="O376" i="1"/>
  <c r="O377" i="1"/>
  <c r="O378" i="1"/>
  <c r="O379" i="1"/>
  <c r="O380" i="1"/>
  <c r="O381" i="1"/>
  <c r="O382" i="1"/>
  <c r="O383" i="1"/>
  <c r="O384" i="1"/>
  <c r="O385" i="1"/>
  <c r="O386" i="1"/>
  <c r="O387" i="1"/>
  <c r="O388" i="1"/>
  <c r="O389" i="1"/>
  <c r="O390" i="1"/>
  <c r="O391" i="1"/>
  <c r="O392" i="1"/>
  <c r="O393" i="1"/>
  <c r="O394" i="1"/>
  <c r="O395" i="1"/>
  <c r="O396" i="1"/>
  <c r="O397" i="1"/>
  <c r="O398" i="1"/>
  <c r="O399" i="1"/>
  <c r="O400" i="1"/>
  <c r="O401" i="1"/>
  <c r="O402" i="1"/>
  <c r="O403" i="1"/>
  <c r="O404" i="1"/>
  <c r="O405" i="1"/>
  <c r="O406" i="1"/>
  <c r="O407" i="1"/>
  <c r="O408" i="1"/>
  <c r="O409" i="1"/>
  <c r="O410" i="1"/>
  <c r="O411" i="1"/>
  <c r="O412" i="1"/>
  <c r="O413" i="1"/>
  <c r="O414" i="1"/>
  <c r="O415" i="1"/>
  <c r="O416" i="1"/>
  <c r="O417" i="1"/>
  <c r="O418" i="1"/>
  <c r="O419" i="1"/>
  <c r="O420" i="1"/>
  <c r="O421" i="1"/>
  <c r="O422" i="1"/>
  <c r="O423" i="1"/>
  <c r="O424" i="1"/>
  <c r="O425" i="1"/>
  <c r="O426" i="1"/>
  <c r="O427" i="1"/>
  <c r="O428" i="1"/>
  <c r="O429" i="1"/>
  <c r="O430" i="1"/>
  <c r="O431" i="1"/>
  <c r="O432" i="1"/>
  <c r="O433" i="1"/>
  <c r="O434" i="1"/>
  <c r="O435" i="1"/>
  <c r="O436" i="1"/>
  <c r="O437" i="1"/>
  <c r="O438" i="1"/>
  <c r="O439" i="1"/>
  <c r="O440" i="1"/>
  <c r="O441" i="1"/>
  <c r="O442" i="1"/>
  <c r="O443" i="1"/>
  <c r="O444" i="1"/>
  <c r="O445" i="1"/>
  <c r="O446" i="1"/>
  <c r="O447" i="1"/>
  <c r="O448" i="1"/>
  <c r="O449" i="1"/>
  <c r="O450" i="1"/>
  <c r="O451" i="1"/>
  <c r="O452" i="1"/>
  <c r="O453" i="1"/>
  <c r="O454" i="1"/>
  <c r="O455" i="1"/>
  <c r="O456" i="1"/>
  <c r="O457" i="1"/>
  <c r="O458" i="1"/>
  <c r="O459" i="1"/>
  <c r="O460" i="1"/>
  <c r="O461" i="1"/>
  <c r="O462" i="1"/>
  <c r="O463" i="1"/>
  <c r="O464" i="1"/>
  <c r="O465" i="1"/>
  <c r="O466" i="1"/>
  <c r="O467" i="1"/>
  <c r="O468" i="1"/>
  <c r="O469" i="1"/>
  <c r="O470" i="1"/>
  <c r="O471" i="1"/>
  <c r="O472" i="1"/>
  <c r="O473" i="1"/>
  <c r="O474" i="1"/>
  <c r="O475" i="1"/>
  <c r="O476" i="1"/>
  <c r="O477" i="1"/>
  <c r="O478" i="1"/>
  <c r="O479" i="1"/>
  <c r="O480" i="1"/>
  <c r="O481" i="1"/>
  <c r="O482" i="1"/>
  <c r="O483" i="1"/>
  <c r="O484" i="1"/>
  <c r="O485" i="1"/>
  <c r="O486" i="1"/>
  <c r="O487" i="1"/>
  <c r="O488" i="1"/>
  <c r="O489" i="1"/>
  <c r="O490" i="1"/>
  <c r="O491" i="1"/>
  <c r="O492" i="1"/>
  <c r="O493" i="1"/>
  <c r="O494" i="1"/>
  <c r="O495" i="1"/>
  <c r="O496" i="1"/>
  <c r="O497" i="1"/>
  <c r="O498" i="1"/>
  <c r="O499" i="1"/>
  <c r="O500" i="1"/>
  <c r="O501" i="1"/>
  <c r="O502" i="1"/>
  <c r="O503" i="1"/>
  <c r="O504" i="1"/>
  <c r="O505" i="1"/>
  <c r="O506" i="1"/>
  <c r="O507" i="1"/>
  <c r="O508" i="1"/>
  <c r="O509" i="1"/>
  <c r="O510" i="1"/>
  <c r="O511" i="1"/>
  <c r="O512" i="1"/>
  <c r="O513" i="1"/>
  <c r="O514" i="1"/>
  <c r="O515" i="1"/>
  <c r="O516" i="1"/>
  <c r="O517" i="1"/>
  <c r="O518" i="1"/>
  <c r="O519" i="1"/>
  <c r="O520" i="1"/>
  <c r="O521" i="1"/>
  <c r="O522" i="1"/>
  <c r="O523" i="1"/>
  <c r="O524" i="1"/>
  <c r="O525" i="1"/>
  <c r="O526" i="1"/>
  <c r="O527" i="1"/>
  <c r="O528" i="1"/>
  <c r="O529" i="1"/>
  <c r="O530" i="1"/>
  <c r="O531" i="1"/>
  <c r="O532" i="1"/>
  <c r="O533" i="1"/>
  <c r="O534" i="1"/>
  <c r="O535" i="1"/>
  <c r="O536" i="1"/>
  <c r="O537" i="1"/>
  <c r="O538" i="1"/>
  <c r="O539" i="1"/>
  <c r="O540" i="1"/>
  <c r="O541" i="1"/>
  <c r="O542" i="1"/>
  <c r="O543" i="1"/>
  <c r="O544" i="1"/>
  <c r="O545" i="1"/>
  <c r="O546" i="1"/>
  <c r="O547" i="1"/>
  <c r="O548" i="1"/>
  <c r="O549" i="1"/>
  <c r="O550" i="1"/>
  <c r="O551" i="1"/>
  <c r="O552" i="1"/>
  <c r="O553" i="1"/>
  <c r="O554" i="1"/>
  <c r="O555" i="1"/>
  <c r="O556" i="1"/>
  <c r="O557" i="1"/>
  <c r="O558" i="1"/>
  <c r="O559" i="1"/>
  <c r="O560" i="1"/>
  <c r="O561" i="1"/>
  <c r="O562" i="1"/>
  <c r="O563" i="1"/>
  <c r="O564" i="1"/>
  <c r="O565" i="1"/>
  <c r="O566" i="1"/>
  <c r="O567" i="1"/>
  <c r="O568" i="1"/>
  <c r="O569" i="1"/>
  <c r="O570" i="1"/>
  <c r="O571" i="1"/>
  <c r="O572" i="1"/>
  <c r="O573" i="1"/>
  <c r="O574" i="1"/>
  <c r="O575" i="1"/>
  <c r="O576" i="1"/>
  <c r="O577" i="1"/>
  <c r="O578" i="1"/>
  <c r="O579" i="1"/>
  <c r="O580" i="1"/>
  <c r="O581" i="1"/>
  <c r="O582" i="1"/>
  <c r="O583" i="1"/>
  <c r="O584" i="1"/>
  <c r="O585" i="1"/>
  <c r="O586" i="1"/>
  <c r="O587" i="1"/>
  <c r="O588" i="1"/>
  <c r="O589" i="1"/>
  <c r="O590" i="1"/>
  <c r="O629" i="1"/>
  <c r="O592" i="1"/>
  <c r="O593" i="1"/>
  <c r="O719" i="1"/>
  <c r="O595" i="1"/>
  <c r="O671" i="1"/>
  <c r="O597" i="1"/>
  <c r="O695" i="1"/>
  <c r="O710" i="1"/>
  <c r="O600" i="1"/>
  <c r="O601" i="1"/>
  <c r="O602" i="1"/>
  <c r="O603" i="1"/>
  <c r="O604" i="1"/>
  <c r="O605" i="1"/>
  <c r="O606" i="1"/>
  <c r="O607" i="1"/>
  <c r="O608" i="1"/>
  <c r="O609" i="1"/>
  <c r="O610" i="1"/>
  <c r="O611" i="1"/>
  <c r="O612" i="1"/>
  <c r="O613" i="1"/>
  <c r="O614" i="1"/>
  <c r="O615" i="1"/>
  <c r="O616" i="1"/>
  <c r="O617" i="1"/>
  <c r="O669" i="1"/>
  <c r="O742" i="1"/>
  <c r="O620" i="1"/>
  <c r="O621" i="1"/>
  <c r="O622" i="1"/>
  <c r="O623" i="1"/>
  <c r="O624" i="1"/>
  <c r="O625" i="1"/>
  <c r="O626" i="1"/>
  <c r="O619" i="1"/>
  <c r="O712" i="1"/>
  <c r="O723" i="1"/>
  <c r="O630" i="1"/>
  <c r="O631" i="1"/>
  <c r="O632" i="1"/>
  <c r="O633" i="1"/>
  <c r="O680" i="1"/>
  <c r="O635" i="1"/>
  <c r="O636" i="1"/>
  <c r="O637" i="1"/>
  <c r="O638" i="1"/>
  <c r="O639" i="1"/>
  <c r="O596" i="1"/>
  <c r="O641" i="1"/>
  <c r="O642" i="1"/>
  <c r="O643" i="1"/>
  <c r="O644" i="1"/>
  <c r="O645" i="1"/>
  <c r="O646" i="1"/>
  <c r="O647" i="1"/>
  <c r="O648" i="1"/>
  <c r="O649" i="1"/>
  <c r="O650" i="1"/>
  <c r="O627" i="1"/>
  <c r="O652" i="1"/>
  <c r="O734" i="1"/>
  <c r="O653" i="1"/>
  <c r="O655" i="1"/>
  <c r="O656" i="1"/>
  <c r="O657" i="1"/>
  <c r="O658" i="1"/>
  <c r="O634" i="1"/>
  <c r="O660" i="1"/>
  <c r="O661" i="1"/>
  <c r="O628" i="1"/>
  <c r="O663" i="1"/>
  <c r="O664" i="1"/>
  <c r="O665" i="1"/>
  <c r="O599" i="1"/>
  <c r="O667" i="1"/>
  <c r="O668" i="1"/>
  <c r="O733" i="1"/>
  <c r="O670" i="1"/>
  <c r="O736" i="1"/>
  <c r="O672" i="1"/>
  <c r="O673" i="1"/>
  <c r="O674" i="1"/>
  <c r="O675" i="1"/>
  <c r="O676" i="1"/>
  <c r="O677" i="1"/>
  <c r="O654" i="1"/>
  <c r="O679" i="1"/>
  <c r="O744" i="1"/>
  <c r="O681" i="1"/>
  <c r="O682" i="1"/>
  <c r="O683" i="1"/>
  <c r="O684" i="1"/>
  <c r="O685" i="1"/>
  <c r="O686" i="1"/>
  <c r="O651" i="1"/>
  <c r="O688" i="1"/>
  <c r="O689" i="1"/>
  <c r="O690" i="1"/>
  <c r="O691" i="1"/>
  <c r="O692" i="1"/>
  <c r="O693" i="1"/>
  <c r="O694" i="1"/>
  <c r="O662" i="1"/>
  <c r="O696" i="1"/>
  <c r="O697" i="1"/>
  <c r="O698" i="1"/>
  <c r="O699" i="1"/>
  <c r="O700" i="1"/>
  <c r="O701" i="1"/>
  <c r="O702" i="1"/>
  <c r="O703" i="1"/>
  <c r="O704" i="1"/>
  <c r="O705" i="1"/>
  <c r="O706" i="1"/>
  <c r="O707" i="1"/>
  <c r="O708" i="1"/>
  <c r="O709" i="1"/>
  <c r="O598" i="1"/>
  <c r="O711" i="1"/>
  <c r="O666" i="1"/>
  <c r="O713" i="1"/>
  <c r="O714" i="1"/>
  <c r="O715" i="1"/>
  <c r="O716" i="1"/>
  <c r="O717" i="1"/>
  <c r="O718" i="1"/>
  <c r="O730" i="1"/>
  <c r="O720" i="1"/>
  <c r="O721" i="1"/>
  <c r="O722" i="1"/>
  <c r="O687" i="1"/>
  <c r="O724" i="1"/>
  <c r="O725" i="1"/>
  <c r="O726" i="1"/>
  <c r="O727" i="1"/>
  <c r="O728" i="1"/>
  <c r="O729" i="1"/>
  <c r="O594" i="1"/>
  <c r="O731" i="1"/>
  <c r="O732" i="1"/>
  <c r="O618" i="1"/>
  <c r="O659" i="1"/>
  <c r="O735" i="1"/>
  <c r="O678" i="1"/>
  <c r="O737" i="1"/>
  <c r="O738" i="1"/>
  <c r="O739" i="1"/>
  <c r="O740" i="1"/>
  <c r="O741" i="1"/>
  <c r="O591" i="1"/>
  <c r="O743" i="1"/>
  <c r="O640" i="1"/>
  <c r="O745" i="1"/>
  <c r="O746" i="1"/>
  <c r="O747" i="1"/>
  <c r="O748" i="1"/>
  <c r="O749" i="1"/>
  <c r="O750" i="1"/>
  <c r="O751" i="1"/>
  <c r="O752" i="1"/>
  <c r="O753" i="1"/>
  <c r="O754" i="1"/>
  <c r="O755" i="1"/>
  <c r="O756" i="1"/>
  <c r="O757" i="1"/>
  <c r="O758" i="1"/>
  <c r="O759" i="1"/>
  <c r="O760" i="1"/>
  <c r="O761" i="1"/>
  <c r="O762" i="1"/>
  <c r="O763" i="1"/>
  <c r="O764" i="1"/>
  <c r="O765" i="1"/>
  <c r="O766" i="1"/>
  <c r="O767" i="1"/>
  <c r="O768" i="1"/>
  <c r="O769" i="1"/>
  <c r="O770" i="1"/>
  <c r="O771" i="1"/>
  <c r="O772" i="1"/>
  <c r="O773" i="1"/>
  <c r="O774" i="1"/>
  <c r="O775" i="1"/>
  <c r="O776" i="1"/>
  <c r="O777" i="1"/>
  <c r="O778" i="1"/>
  <c r="O779" i="1"/>
  <c r="O780" i="1"/>
  <c r="O781" i="1"/>
  <c r="O782" i="1"/>
  <c r="O783" i="1"/>
  <c r="O784" i="1"/>
  <c r="O785" i="1"/>
  <c r="O786" i="1"/>
  <c r="O787" i="1"/>
  <c r="O788" i="1"/>
  <c r="O789" i="1"/>
  <c r="O790" i="1"/>
  <c r="O791" i="1"/>
  <c r="O792" i="1"/>
  <c r="O793" i="1"/>
  <c r="O794" i="1"/>
  <c r="O795" i="1"/>
  <c r="O796" i="1"/>
  <c r="O797" i="1"/>
  <c r="O798" i="1"/>
  <c r="O799" i="1"/>
  <c r="O800" i="1"/>
  <c r="O801" i="1"/>
  <c r="O802" i="1"/>
  <c r="O803" i="1"/>
  <c r="O804" i="1"/>
  <c r="O805" i="1"/>
  <c r="O806" i="1"/>
  <c r="O807" i="1"/>
  <c r="O808" i="1"/>
  <c r="O809" i="1"/>
  <c r="O810" i="1"/>
  <c r="O811" i="1"/>
  <c r="O812" i="1"/>
  <c r="O813" i="1"/>
  <c r="O814" i="1"/>
  <c r="O815" i="1"/>
  <c r="O816" i="1"/>
  <c r="O817" i="1"/>
  <c r="O818" i="1"/>
  <c r="O819" i="1"/>
  <c r="O820" i="1"/>
  <c r="O821" i="1"/>
  <c r="O822" i="1"/>
  <c r="O823" i="1"/>
  <c r="O824" i="1"/>
  <c r="O825" i="1"/>
  <c r="O826" i="1"/>
  <c r="O827" i="1"/>
  <c r="O828" i="1"/>
  <c r="O829" i="1"/>
  <c r="O830" i="1"/>
  <c r="O831" i="1"/>
  <c r="O832" i="1"/>
  <c r="O833" i="1"/>
  <c r="O834" i="1"/>
  <c r="O835" i="1"/>
  <c r="O836" i="1"/>
  <c r="O837" i="1"/>
  <c r="O838" i="1"/>
  <c r="O839" i="1"/>
  <c r="O840" i="1"/>
  <c r="O841" i="1"/>
  <c r="O842" i="1"/>
  <c r="O843" i="1"/>
  <c r="O844" i="1"/>
  <c r="O845" i="1"/>
  <c r="O846" i="1"/>
  <c r="O847" i="1"/>
  <c r="O848" i="1"/>
  <c r="O849" i="1"/>
  <c r="O850" i="1"/>
  <c r="O851" i="1"/>
  <c r="O852" i="1"/>
  <c r="O853" i="1"/>
  <c r="O854" i="1"/>
  <c r="O855" i="1"/>
  <c r="O856" i="1"/>
  <c r="O857" i="1"/>
  <c r="O858" i="1"/>
  <c r="O859" i="1"/>
  <c r="O860" i="1"/>
  <c r="O861" i="1"/>
  <c r="O862" i="1"/>
  <c r="O863" i="1"/>
  <c r="O864" i="1"/>
  <c r="O865" i="1"/>
  <c r="O866" i="1"/>
  <c r="O867" i="1"/>
  <c r="O868" i="1"/>
  <c r="O869" i="1"/>
  <c r="O870" i="1"/>
  <c r="O871" i="1"/>
  <c r="O872" i="1"/>
  <c r="O873" i="1"/>
  <c r="O874" i="1"/>
  <c r="O875" i="1"/>
  <c r="O876" i="1"/>
  <c r="O877" i="1"/>
  <c r="O878" i="1"/>
  <c r="O879" i="1"/>
  <c r="O880" i="1"/>
  <c r="O881" i="1"/>
  <c r="O882" i="1"/>
  <c r="O883" i="1"/>
  <c r="O884" i="1"/>
  <c r="O885" i="1"/>
  <c r="O886" i="1"/>
  <c r="O887" i="1"/>
  <c r="O888" i="1"/>
  <c r="O889" i="1"/>
  <c r="O890" i="1"/>
  <c r="O891" i="1"/>
  <c r="O892" i="1"/>
  <c r="O893" i="1"/>
  <c r="O894" i="1"/>
  <c r="O895" i="1"/>
  <c r="O896" i="1"/>
  <c r="O897" i="1"/>
  <c r="O898" i="1"/>
  <c r="O899" i="1"/>
  <c r="O900" i="1"/>
  <c r="O901" i="1"/>
  <c r="O902" i="1"/>
  <c r="O903" i="1"/>
  <c r="O904" i="1"/>
  <c r="O905" i="1"/>
  <c r="O906" i="1"/>
  <c r="O907" i="1"/>
  <c r="O908" i="1"/>
  <c r="O909" i="1"/>
  <c r="O910" i="1"/>
  <c r="O911" i="1"/>
  <c r="O912" i="1"/>
  <c r="O913" i="1"/>
  <c r="O914" i="1"/>
  <c r="O915" i="1"/>
  <c r="O916" i="1"/>
  <c r="O917" i="1"/>
  <c r="O918" i="1"/>
  <c r="O919" i="1"/>
  <c r="O920" i="1"/>
  <c r="O921" i="1"/>
  <c r="O922" i="1"/>
  <c r="O923" i="1"/>
  <c r="O924" i="1"/>
  <c r="O925" i="1"/>
  <c r="O926" i="1"/>
  <c r="O927" i="1"/>
  <c r="O928" i="1"/>
  <c r="O929" i="1"/>
  <c r="O930" i="1"/>
  <c r="O931" i="1"/>
  <c r="O932" i="1"/>
  <c r="O933" i="1"/>
  <c r="O934" i="1"/>
  <c r="O935" i="1"/>
  <c r="O936" i="1"/>
  <c r="O937" i="1"/>
  <c r="O938" i="1"/>
  <c r="O939" i="1"/>
  <c r="O940" i="1"/>
  <c r="O941" i="1"/>
  <c r="O942" i="1"/>
  <c r="O943" i="1"/>
  <c r="O944" i="1"/>
  <c r="O945" i="1"/>
  <c r="O946" i="1"/>
  <c r="O947" i="1"/>
  <c r="O948" i="1"/>
  <c r="O949" i="1"/>
  <c r="O950" i="1"/>
  <c r="O951" i="1"/>
  <c r="O952" i="1"/>
  <c r="O953" i="1"/>
  <c r="O954" i="1"/>
  <c r="O955" i="1"/>
  <c r="O956" i="1"/>
  <c r="O957" i="1"/>
  <c r="O958" i="1"/>
  <c r="O959" i="1"/>
  <c r="O960" i="1"/>
  <c r="O961" i="1"/>
  <c r="O962" i="1"/>
  <c r="O963" i="1"/>
  <c r="O964" i="1"/>
  <c r="O965" i="1"/>
  <c r="O966" i="1"/>
  <c r="O967" i="1"/>
  <c r="O968" i="1"/>
  <c r="O969" i="1"/>
  <c r="O970" i="1"/>
  <c r="O971" i="1"/>
  <c r="O972" i="1"/>
  <c r="O973" i="1"/>
  <c r="O974" i="1"/>
  <c r="O975" i="1"/>
  <c r="O976" i="1"/>
  <c r="O977" i="1"/>
  <c r="O978" i="1"/>
  <c r="O979" i="1"/>
  <c r="O980" i="1"/>
  <c r="O981" i="1"/>
  <c r="O982" i="1"/>
  <c r="O983" i="1"/>
  <c r="O984" i="1"/>
  <c r="O985" i="1"/>
  <c r="O986" i="1"/>
  <c r="O987" i="1"/>
  <c r="O988" i="1"/>
  <c r="O989" i="1"/>
  <c r="O990" i="1"/>
  <c r="O991" i="1"/>
  <c r="O992" i="1"/>
  <c r="O993" i="1"/>
  <c r="O994" i="1"/>
  <c r="O995" i="1"/>
  <c r="O996" i="1"/>
  <c r="O997" i="1"/>
  <c r="O998" i="1"/>
  <c r="O999" i="1"/>
  <c r="O1000" i="1"/>
  <c r="O1001" i="1"/>
  <c r="O1002" i="1"/>
  <c r="O1003" i="1"/>
  <c r="O1004" i="1"/>
  <c r="O1005" i="1"/>
  <c r="O1006" i="1"/>
  <c r="O1007" i="1"/>
  <c r="O1008" i="1"/>
  <c r="O1009" i="1"/>
  <c r="O1010" i="1"/>
  <c r="O1011" i="1"/>
  <c r="O1012" i="1"/>
  <c r="O1013" i="1"/>
  <c r="O1014" i="1"/>
  <c r="O1015" i="1"/>
  <c r="O1016" i="1"/>
  <c r="O1017" i="1"/>
  <c r="O1018" i="1"/>
  <c r="O1019" i="1"/>
  <c r="O1020" i="1"/>
  <c r="O1021" i="1"/>
  <c r="O1022" i="1"/>
  <c r="O1023" i="1"/>
  <c r="O1024" i="1"/>
  <c r="O1025" i="1"/>
  <c r="O1026" i="1"/>
  <c r="O1027" i="1"/>
  <c r="O1028" i="1"/>
  <c r="O1029" i="1"/>
  <c r="O1030" i="1"/>
  <c r="O1031" i="1"/>
  <c r="O1032" i="1"/>
  <c r="O1033" i="1"/>
  <c r="O1034" i="1"/>
  <c r="O1035" i="1"/>
  <c r="O1036" i="1"/>
  <c r="O1037" i="1"/>
  <c r="O1038" i="1"/>
  <c r="O1039" i="1"/>
  <c r="O1040" i="1"/>
  <c r="O1041" i="1"/>
  <c r="O1042" i="1"/>
  <c r="O1043" i="1"/>
  <c r="O1044" i="1"/>
  <c r="O1045" i="1"/>
  <c r="O1046" i="1"/>
  <c r="O1047" i="1"/>
  <c r="O1048" i="1"/>
  <c r="O1049" i="1"/>
  <c r="O1050" i="1"/>
  <c r="O1051" i="1"/>
  <c r="O1052" i="1"/>
  <c r="O1053" i="1"/>
  <c r="O1054" i="1"/>
  <c r="O1055" i="1"/>
  <c r="O1056" i="1"/>
  <c r="O1057" i="1"/>
  <c r="O1058" i="1"/>
  <c r="O1059" i="1"/>
  <c r="O1060" i="1"/>
  <c r="O1061" i="1"/>
  <c r="O1062" i="1"/>
  <c r="O1063" i="1"/>
  <c r="O1064" i="1"/>
  <c r="O1065" i="1"/>
  <c r="O1066" i="1"/>
  <c r="O1067" i="1"/>
  <c r="O1068" i="1"/>
  <c r="O1069" i="1"/>
  <c r="O1070" i="1"/>
  <c r="O1071" i="1"/>
  <c r="O1072" i="1"/>
  <c r="O1073" i="1"/>
  <c r="O1074" i="1"/>
  <c r="O1075" i="1"/>
  <c r="O1076" i="1"/>
  <c r="O1077" i="1"/>
  <c r="O1078" i="1"/>
  <c r="O1079" i="1"/>
  <c r="O1080" i="1"/>
  <c r="O1081" i="1"/>
  <c r="O1082" i="1"/>
  <c r="O1083" i="1"/>
  <c r="O1084" i="1"/>
  <c r="O1085" i="1"/>
  <c r="O1086" i="1"/>
  <c r="O1087" i="1"/>
  <c r="O1088" i="1"/>
  <c r="O1089" i="1"/>
  <c r="O1090" i="1"/>
  <c r="O1091" i="1"/>
  <c r="O1092" i="1"/>
  <c r="O1093" i="1"/>
  <c r="O1094" i="1"/>
  <c r="O1095" i="1"/>
  <c r="O1096" i="1"/>
  <c r="O1097" i="1"/>
  <c r="O1098" i="1"/>
  <c r="O1099" i="1"/>
  <c r="O1100" i="1"/>
  <c r="O1101" i="1"/>
  <c r="O1102" i="1"/>
  <c r="O1103" i="1"/>
  <c r="O1104" i="1"/>
  <c r="O1105" i="1"/>
  <c r="O1106" i="1"/>
  <c r="O1107" i="1"/>
  <c r="O1108" i="1"/>
  <c r="O1109" i="1"/>
  <c r="O1110" i="1"/>
  <c r="O1111" i="1"/>
  <c r="O1112" i="1"/>
  <c r="O1113" i="1"/>
  <c r="O1114" i="1"/>
  <c r="O1115" i="1"/>
  <c r="O1116" i="1"/>
  <c r="O1117" i="1"/>
  <c r="O1118" i="1"/>
  <c r="O1119" i="1"/>
  <c r="O1120" i="1"/>
  <c r="O1121" i="1"/>
  <c r="O1122" i="1"/>
  <c r="O1123" i="1"/>
  <c r="O1124" i="1"/>
  <c r="O1125" i="1"/>
  <c r="O1126" i="1"/>
  <c r="O1127" i="1"/>
  <c r="O1128" i="1"/>
  <c r="O1129" i="1"/>
  <c r="O1130" i="1"/>
  <c r="O1131" i="1"/>
  <c r="O1132" i="1"/>
  <c r="O1133" i="1"/>
  <c r="O1134" i="1"/>
  <c r="O1135" i="1"/>
  <c r="O1136" i="1"/>
  <c r="O1137" i="1"/>
  <c r="O1138" i="1"/>
  <c r="O1139" i="1"/>
  <c r="O1140" i="1"/>
  <c r="O1141" i="1"/>
  <c r="O1142" i="1"/>
  <c r="O1143" i="1"/>
  <c r="O1144" i="1"/>
  <c r="O1145" i="1"/>
  <c r="O1146" i="1"/>
  <c r="O1147" i="1"/>
  <c r="O1148" i="1"/>
  <c r="O1149" i="1"/>
  <c r="O1150" i="1"/>
  <c r="O1151" i="1"/>
  <c r="O1152" i="1"/>
  <c r="O1153" i="1"/>
  <c r="O1154" i="1"/>
  <c r="O1155" i="1"/>
  <c r="O1156" i="1"/>
  <c r="O1157" i="1"/>
  <c r="O1158" i="1"/>
  <c r="O1159" i="1"/>
  <c r="O1160" i="1"/>
  <c r="O1161" i="1"/>
  <c r="O1162" i="1"/>
  <c r="O1163" i="1"/>
  <c r="O1164" i="1"/>
  <c r="O1165" i="1"/>
  <c r="O1166" i="1"/>
  <c r="O1167" i="1"/>
  <c r="O1168" i="1"/>
  <c r="O1169" i="1"/>
  <c r="O1170" i="1"/>
  <c r="O1171" i="1"/>
  <c r="O1172" i="1"/>
  <c r="O1173" i="1"/>
  <c r="O1174" i="1"/>
  <c r="O1175" i="1"/>
  <c r="O1176" i="1"/>
  <c r="O1177" i="1"/>
  <c r="O1178" i="1"/>
  <c r="O1179" i="1"/>
  <c r="O1180" i="1"/>
  <c r="O1181" i="1"/>
  <c r="O1182" i="1"/>
  <c r="O1183" i="1"/>
  <c r="O1184" i="1"/>
  <c r="O1185" i="1"/>
  <c r="O1186" i="1"/>
  <c r="O1187" i="1"/>
  <c r="O1188" i="1"/>
  <c r="O1189" i="1"/>
  <c r="O1190" i="1"/>
  <c r="O1191" i="1"/>
  <c r="O1192" i="1"/>
  <c r="O1193" i="1"/>
  <c r="O1194" i="1"/>
  <c r="O1195" i="1"/>
  <c r="O1196" i="1"/>
  <c r="O1197" i="1"/>
  <c r="O1198" i="1"/>
  <c r="O1199" i="1"/>
  <c r="O1200" i="1"/>
  <c r="O1201" i="1"/>
  <c r="O1202" i="1"/>
  <c r="O1203" i="1"/>
  <c r="O1204" i="1"/>
  <c r="O1205" i="1"/>
  <c r="O1206" i="1"/>
  <c r="O1207" i="1"/>
  <c r="O1208" i="1"/>
  <c r="O1209" i="1"/>
  <c r="O1210" i="1"/>
  <c r="O1211" i="1"/>
  <c r="O1212" i="1"/>
  <c r="O1213" i="1"/>
  <c r="O1214" i="1"/>
  <c r="O1215" i="1"/>
  <c r="O1216" i="1"/>
  <c r="O1217" i="1"/>
  <c r="O1218" i="1"/>
  <c r="O1219" i="1"/>
  <c r="O1220" i="1"/>
  <c r="O1221" i="1"/>
  <c r="O1222" i="1"/>
  <c r="O1223" i="1"/>
  <c r="O1224" i="1"/>
  <c r="O1225" i="1"/>
  <c r="O1226" i="1"/>
  <c r="O1227" i="1"/>
  <c r="O1228" i="1"/>
  <c r="O1229" i="1"/>
  <c r="O1230" i="1"/>
  <c r="O1231" i="1"/>
  <c r="O1232" i="1"/>
  <c r="O1233" i="1"/>
  <c r="O1234" i="1"/>
  <c r="O1235" i="1"/>
  <c r="O1236" i="1"/>
  <c r="O1237" i="1"/>
  <c r="O1238" i="1"/>
  <c r="O1239" i="1"/>
  <c r="O1240" i="1"/>
  <c r="O1241" i="1"/>
  <c r="O1242" i="1"/>
  <c r="O1243" i="1"/>
  <c r="O1244" i="1"/>
  <c r="O1245" i="1"/>
  <c r="O1246" i="1"/>
  <c r="O1247" i="1"/>
  <c r="O1248" i="1"/>
  <c r="O1249" i="1"/>
  <c r="O1250" i="1"/>
  <c r="O1251" i="1"/>
  <c r="O1252" i="1"/>
  <c r="O1253" i="1"/>
  <c r="O1254" i="1"/>
  <c r="O1255" i="1"/>
  <c r="O1256" i="1"/>
  <c r="O1257" i="1"/>
  <c r="O1258" i="1"/>
  <c r="O1259" i="1"/>
  <c r="O1260" i="1"/>
  <c r="O1261" i="1"/>
  <c r="O1262" i="1"/>
  <c r="O1263" i="1"/>
  <c r="O1264" i="1"/>
  <c r="O1265" i="1"/>
  <c r="O1266" i="1"/>
  <c r="O1267" i="1"/>
  <c r="O1268" i="1"/>
  <c r="O1269" i="1"/>
  <c r="O1270" i="1"/>
  <c r="O1271" i="1"/>
  <c r="O1272" i="1"/>
  <c r="O1273" i="1"/>
  <c r="O1274" i="1"/>
  <c r="O1275" i="1"/>
  <c r="O1276" i="1"/>
  <c r="O1277" i="1"/>
  <c r="O1278" i="1"/>
  <c r="O1279" i="1"/>
  <c r="O1280" i="1"/>
  <c r="O1281" i="1"/>
  <c r="O1282" i="1"/>
  <c r="O1283" i="1"/>
  <c r="O1284" i="1"/>
  <c r="O1285" i="1"/>
  <c r="O1286" i="1"/>
  <c r="O1287" i="1"/>
  <c r="O1288" i="1"/>
  <c r="O1289" i="1"/>
  <c r="O1290" i="1"/>
  <c r="O1291" i="1"/>
  <c r="O1292" i="1"/>
  <c r="O1293" i="1"/>
  <c r="O1294" i="1"/>
  <c r="O1295" i="1"/>
  <c r="O1296" i="1"/>
  <c r="O1297" i="1"/>
  <c r="O1298" i="1"/>
  <c r="O1299" i="1"/>
  <c r="O1300" i="1"/>
  <c r="O1301" i="1"/>
  <c r="O1302" i="1"/>
  <c r="O1303" i="1"/>
  <c r="O1304" i="1"/>
  <c r="O1305" i="1"/>
  <c r="O1306" i="1"/>
  <c r="O1307" i="1"/>
  <c r="O1308" i="1"/>
  <c r="O1309" i="1"/>
  <c r="O1310" i="1"/>
  <c r="O1311" i="1"/>
  <c r="O1312" i="1"/>
  <c r="O1313" i="1"/>
  <c r="O1314" i="1"/>
  <c r="O1315" i="1"/>
  <c r="O1316" i="1"/>
  <c r="O1317" i="1"/>
  <c r="O1318" i="1"/>
  <c r="O1319" i="1"/>
  <c r="O1320" i="1"/>
  <c r="O1321" i="1"/>
  <c r="O1322" i="1"/>
  <c r="O1323" i="1"/>
  <c r="O1324" i="1"/>
  <c r="O1325" i="1"/>
  <c r="O1326" i="1"/>
  <c r="O1327" i="1"/>
  <c r="O1328" i="1"/>
  <c r="O1329" i="1"/>
  <c r="O1330" i="1"/>
  <c r="O1331" i="1"/>
  <c r="O1332" i="1"/>
  <c r="O1333" i="1"/>
  <c r="O1334" i="1"/>
  <c r="O1335" i="1"/>
  <c r="O1336" i="1"/>
  <c r="O1337" i="1"/>
  <c r="O1338" i="1"/>
  <c r="O1339" i="1"/>
  <c r="O1340" i="1"/>
  <c r="O1341" i="1"/>
  <c r="O1342" i="1"/>
  <c r="O1343" i="1"/>
  <c r="O1344" i="1"/>
  <c r="O1345" i="1"/>
  <c r="O1346" i="1"/>
  <c r="O1347" i="1"/>
  <c r="O1348" i="1"/>
  <c r="O1349" i="1"/>
  <c r="O1350" i="1"/>
  <c r="O1351" i="1"/>
  <c r="O1352" i="1"/>
  <c r="O1353" i="1"/>
  <c r="O1354" i="1"/>
  <c r="O1355" i="1"/>
  <c r="O1356" i="1"/>
  <c r="O1357" i="1"/>
  <c r="O1358" i="1"/>
  <c r="O1359" i="1"/>
  <c r="O1360" i="1"/>
  <c r="O1361" i="1"/>
  <c r="O1362" i="1"/>
  <c r="O1363" i="1"/>
  <c r="O1364" i="1"/>
  <c r="O1365" i="1"/>
  <c r="O1366" i="1"/>
  <c r="O1367" i="1"/>
  <c r="O1368" i="1"/>
  <c r="O1369" i="1"/>
  <c r="O1370" i="1"/>
  <c r="O1371" i="1"/>
  <c r="O1372" i="1"/>
  <c r="O1373" i="1"/>
  <c r="O1374" i="1"/>
  <c r="O1375" i="1"/>
  <c r="O1376" i="1"/>
  <c r="O1377" i="1"/>
  <c r="O1378" i="1"/>
  <c r="O1379" i="1"/>
  <c r="O1380" i="1"/>
  <c r="O1381" i="1"/>
  <c r="O1382" i="1"/>
  <c r="O1383" i="1"/>
  <c r="O1384" i="1"/>
  <c r="O1385" i="1"/>
  <c r="O1386" i="1"/>
  <c r="O1387" i="1"/>
  <c r="O1388" i="1"/>
  <c r="O1389" i="1"/>
  <c r="O1390" i="1"/>
  <c r="O1391" i="1"/>
  <c r="O1392" i="1"/>
  <c r="O1393" i="1"/>
  <c r="O1394" i="1"/>
  <c r="O1395" i="1"/>
  <c r="O1396" i="1"/>
  <c r="O1397" i="1"/>
  <c r="O1398" i="1"/>
  <c r="O1399" i="1"/>
  <c r="O1400" i="1"/>
  <c r="O1401" i="1"/>
  <c r="O1402" i="1"/>
  <c r="O1403" i="1"/>
  <c r="O1404" i="1"/>
  <c r="O1405" i="1"/>
  <c r="O1406" i="1"/>
  <c r="O1407" i="1"/>
  <c r="O1408" i="1"/>
  <c r="O1409" i="1"/>
  <c r="O1410" i="1"/>
  <c r="O1411" i="1"/>
  <c r="O1412" i="1"/>
  <c r="O1413" i="1"/>
  <c r="O1414" i="1"/>
  <c r="O1415" i="1"/>
  <c r="O1416" i="1"/>
  <c r="O1417" i="1"/>
  <c r="O1418" i="1"/>
  <c r="O1419" i="1"/>
  <c r="O1420" i="1"/>
  <c r="O1421" i="1"/>
  <c r="O1422" i="1"/>
  <c r="O1423" i="1"/>
  <c r="O1424" i="1"/>
  <c r="O1425" i="1"/>
  <c r="O1426" i="1"/>
  <c r="O1427" i="1"/>
  <c r="O1428" i="1"/>
  <c r="O1429" i="1"/>
  <c r="O1430" i="1"/>
  <c r="O1431" i="1"/>
  <c r="O1432" i="1"/>
  <c r="O1433" i="1"/>
  <c r="O1434" i="1"/>
  <c r="O1435" i="1"/>
  <c r="O1436" i="1"/>
  <c r="O1437" i="1"/>
  <c r="O1438" i="1"/>
  <c r="O1439" i="1"/>
  <c r="O1440" i="1"/>
  <c r="O1441" i="1"/>
  <c r="O1442" i="1"/>
  <c r="O1443" i="1"/>
  <c r="O1444" i="1"/>
  <c r="O1445" i="1"/>
  <c r="O1446" i="1"/>
  <c r="O1447" i="1"/>
  <c r="O1448" i="1"/>
  <c r="O1449" i="1"/>
  <c r="O1450" i="1"/>
  <c r="O1451" i="1"/>
  <c r="O1452" i="1"/>
  <c r="O1453" i="1"/>
  <c r="O1454" i="1"/>
  <c r="O1455" i="1"/>
  <c r="O1456" i="1"/>
  <c r="O1457" i="1"/>
  <c r="O1458" i="1"/>
  <c r="O1459" i="1"/>
  <c r="O1460" i="1"/>
  <c r="O1461" i="1"/>
  <c r="O1462" i="1"/>
  <c r="O1463" i="1"/>
  <c r="O1464" i="1"/>
  <c r="O1465" i="1"/>
  <c r="O1466" i="1"/>
  <c r="O1467" i="1"/>
  <c r="O1468" i="1"/>
  <c r="O1469" i="1"/>
  <c r="O1470" i="1"/>
  <c r="O1471" i="1"/>
  <c r="O1472" i="1"/>
  <c r="O1473" i="1"/>
  <c r="O1474" i="1"/>
  <c r="O1475" i="1"/>
  <c r="O1476" i="1"/>
  <c r="O1477" i="1"/>
  <c r="O1478" i="1"/>
  <c r="O1479" i="1"/>
  <c r="O1480" i="1"/>
  <c r="O1481" i="1"/>
  <c r="O1482" i="1"/>
  <c r="O1483" i="1"/>
  <c r="O1484" i="1"/>
  <c r="O1485" i="1"/>
  <c r="O1486" i="1"/>
  <c r="O1487" i="1"/>
  <c r="O1488" i="1"/>
  <c r="O1489" i="1"/>
  <c r="O1490" i="1"/>
  <c r="O1491" i="1"/>
  <c r="O1492" i="1"/>
  <c r="O1493" i="1"/>
  <c r="O1494" i="1"/>
  <c r="O1495" i="1"/>
  <c r="O1496" i="1"/>
  <c r="O1497" i="1"/>
  <c r="O1498" i="1"/>
  <c r="O1499" i="1"/>
  <c r="O1500" i="1"/>
  <c r="O1501" i="1"/>
  <c r="O1502" i="1"/>
  <c r="O1503" i="1"/>
  <c r="O1504" i="1"/>
  <c r="O1505" i="1"/>
  <c r="O1506" i="1"/>
  <c r="O1507" i="1"/>
  <c r="O1508" i="1"/>
  <c r="O1509" i="1"/>
  <c r="O1510" i="1"/>
  <c r="O1511" i="1"/>
  <c r="O1512" i="1"/>
  <c r="O1513" i="1"/>
  <c r="O1514" i="1"/>
  <c r="O1515" i="1"/>
  <c r="O1516" i="1"/>
  <c r="O1517" i="1"/>
  <c r="O1518" i="1"/>
  <c r="O1519" i="1"/>
  <c r="O1520" i="1"/>
  <c r="O1521" i="1"/>
  <c r="O1522" i="1"/>
  <c r="O1523" i="1"/>
  <c r="O1524" i="1"/>
  <c r="O1525" i="1"/>
  <c r="O1526" i="1"/>
  <c r="O1527" i="1"/>
  <c r="O1528" i="1"/>
  <c r="O1529" i="1"/>
  <c r="O1530" i="1"/>
  <c r="O1531" i="1"/>
  <c r="O1532" i="1"/>
  <c r="O1533" i="1"/>
  <c r="O1534" i="1"/>
  <c r="O1535" i="1"/>
  <c r="O1536" i="1"/>
  <c r="O1537" i="1"/>
  <c r="O1538" i="1"/>
  <c r="O1539" i="1"/>
  <c r="O1540" i="1"/>
  <c r="O1541" i="1"/>
  <c r="O1542" i="1"/>
  <c r="O1543" i="1"/>
  <c r="O1544" i="1"/>
  <c r="O1545" i="1"/>
  <c r="O1546" i="1"/>
  <c r="O1547" i="1"/>
  <c r="O1548" i="1"/>
  <c r="O1549" i="1"/>
  <c r="O1550" i="1"/>
  <c r="O1551" i="1"/>
  <c r="O1552" i="1"/>
  <c r="O1553" i="1"/>
  <c r="O1554" i="1"/>
  <c r="O1555" i="1"/>
  <c r="O1556" i="1"/>
  <c r="O1557" i="1"/>
  <c r="O1558" i="1"/>
  <c r="O1559" i="1"/>
  <c r="O1560" i="1"/>
  <c r="O1561" i="1"/>
  <c r="O1562" i="1"/>
  <c r="O1563" i="1"/>
  <c r="O1564" i="1"/>
  <c r="O1565" i="1"/>
  <c r="O1566" i="1"/>
  <c r="O1567" i="1"/>
  <c r="O1568" i="1"/>
  <c r="O1569" i="1"/>
  <c r="O1570" i="1"/>
  <c r="O1571" i="1"/>
  <c r="O1572" i="1"/>
  <c r="O1573" i="1"/>
  <c r="O1574" i="1"/>
  <c r="O1575" i="1"/>
  <c r="O1576" i="1"/>
  <c r="O1577" i="1"/>
  <c r="O1578" i="1"/>
  <c r="O1579" i="1"/>
  <c r="O1580" i="1"/>
  <c r="O1581" i="1"/>
  <c r="O1582" i="1"/>
  <c r="O1583" i="1"/>
  <c r="O1584" i="1"/>
  <c r="O1585" i="1"/>
  <c r="O1586" i="1"/>
  <c r="O1587" i="1"/>
  <c r="O1588" i="1"/>
  <c r="O1589" i="1"/>
  <c r="O1590" i="1"/>
  <c r="O1591" i="1"/>
  <c r="O1592" i="1"/>
  <c r="O1593" i="1"/>
  <c r="O1594" i="1"/>
  <c r="O1595" i="1"/>
  <c r="O1596" i="1"/>
  <c r="O1597" i="1"/>
  <c r="O1598" i="1"/>
  <c r="O1599" i="1"/>
  <c r="O1600" i="1"/>
  <c r="O1601" i="1"/>
  <c r="O1602" i="1"/>
  <c r="O1603" i="1"/>
  <c r="O1604" i="1"/>
  <c r="O1605" i="1"/>
  <c r="O1606" i="1"/>
  <c r="O1607" i="1"/>
  <c r="O1608" i="1"/>
  <c r="O1609" i="1"/>
  <c r="O1610" i="1"/>
  <c r="O1611" i="1"/>
  <c r="O1612" i="1"/>
  <c r="O1613" i="1"/>
  <c r="O1614" i="1"/>
  <c r="O1615" i="1"/>
  <c r="O1616" i="1"/>
  <c r="O1617" i="1"/>
  <c r="O1618" i="1"/>
  <c r="O1619" i="1"/>
  <c r="O1620" i="1"/>
  <c r="O1621" i="1"/>
  <c r="O1622" i="1"/>
  <c r="O1623" i="1"/>
  <c r="O1624" i="1"/>
  <c r="O1625" i="1"/>
  <c r="O1626" i="1"/>
  <c r="O1627" i="1"/>
  <c r="O1628" i="1"/>
  <c r="O1629" i="1"/>
  <c r="O1630" i="1"/>
  <c r="O1631" i="1"/>
  <c r="O1632" i="1"/>
  <c r="O1633" i="1"/>
  <c r="O1634" i="1"/>
  <c r="O1635" i="1"/>
  <c r="O1636" i="1"/>
  <c r="O1637" i="1"/>
  <c r="O1638" i="1"/>
  <c r="O1639" i="1"/>
  <c r="O1640" i="1"/>
  <c r="O1641" i="1"/>
  <c r="O1642" i="1"/>
  <c r="O1643" i="1"/>
  <c r="O1644" i="1"/>
  <c r="O1645" i="1"/>
  <c r="O1646" i="1"/>
  <c r="O1647" i="1"/>
  <c r="O1648" i="1"/>
  <c r="O1649" i="1"/>
  <c r="O1650" i="1"/>
  <c r="O1651" i="1"/>
  <c r="O1652" i="1"/>
  <c r="O1653" i="1"/>
  <c r="O1654" i="1"/>
  <c r="O1655" i="1"/>
  <c r="O1656" i="1"/>
  <c r="O1657" i="1"/>
  <c r="O1658" i="1"/>
  <c r="O1659" i="1"/>
  <c r="O1660" i="1"/>
  <c r="O1661" i="1"/>
  <c r="O1662" i="1"/>
  <c r="O1663" i="1"/>
  <c r="O1664" i="1"/>
  <c r="O1665" i="1"/>
  <c r="O1666" i="1"/>
  <c r="O1667" i="1"/>
  <c r="O1668" i="1"/>
  <c r="O1669" i="1"/>
  <c r="O1670" i="1"/>
  <c r="O1671" i="1"/>
  <c r="O1672" i="1"/>
  <c r="O1673" i="1"/>
  <c r="O1674" i="1"/>
  <c r="O1675" i="1"/>
  <c r="O1676" i="1"/>
  <c r="O1677" i="1"/>
  <c r="O1678" i="1"/>
  <c r="O1679" i="1"/>
  <c r="O1680" i="1"/>
  <c r="O1681" i="1"/>
  <c r="O1682" i="1"/>
  <c r="O1683" i="1"/>
  <c r="O1684" i="1"/>
  <c r="O1685" i="1"/>
  <c r="O1686" i="1"/>
  <c r="O1687" i="1"/>
  <c r="O1688" i="1"/>
  <c r="O1689" i="1"/>
  <c r="O1690" i="1"/>
  <c r="O1691" i="1"/>
  <c r="O1692" i="1"/>
  <c r="O1693" i="1"/>
  <c r="O1694" i="1"/>
  <c r="O1695" i="1"/>
  <c r="O1696" i="1"/>
  <c r="O1697" i="1"/>
  <c r="O1698" i="1"/>
  <c r="O1699" i="1"/>
  <c r="O1700" i="1"/>
  <c r="O1701" i="1"/>
  <c r="O1702" i="1"/>
  <c r="O1703" i="1"/>
  <c r="O1704" i="1"/>
  <c r="O1705" i="1"/>
  <c r="O1706" i="1"/>
  <c r="O1707" i="1"/>
  <c r="O1708" i="1"/>
  <c r="O1709" i="1"/>
  <c r="O1710" i="1"/>
  <c r="O1711" i="1"/>
  <c r="O1712" i="1"/>
  <c r="O1713" i="1"/>
  <c r="O1714" i="1"/>
  <c r="O1715" i="1"/>
  <c r="O1716" i="1"/>
  <c r="O1717" i="1"/>
  <c r="O1718" i="1"/>
  <c r="O1719" i="1"/>
  <c r="O1720" i="1"/>
  <c r="O1721" i="1"/>
  <c r="O1722" i="1"/>
  <c r="O1723" i="1"/>
  <c r="O1724" i="1"/>
  <c r="O1725" i="1"/>
  <c r="O1726" i="1"/>
  <c r="O1727" i="1"/>
  <c r="O1728" i="1"/>
  <c r="O1729" i="1"/>
  <c r="O1730" i="1"/>
  <c r="O1731" i="1"/>
  <c r="O1732" i="1"/>
  <c r="O1733" i="1"/>
  <c r="O1734" i="1"/>
  <c r="O1735" i="1"/>
  <c r="O1736" i="1"/>
  <c r="O1737" i="1"/>
  <c r="O1738" i="1"/>
  <c r="O1739" i="1"/>
  <c r="O1740" i="1"/>
  <c r="O1741" i="1"/>
  <c r="O1742" i="1"/>
  <c r="O1743" i="1"/>
  <c r="O1744" i="1"/>
  <c r="O1745" i="1"/>
  <c r="O1746" i="1"/>
  <c r="O1747" i="1"/>
  <c r="O1748" i="1"/>
  <c r="O1749" i="1"/>
  <c r="O1750" i="1"/>
  <c r="O1751" i="1"/>
  <c r="O1752" i="1"/>
  <c r="O1753" i="1"/>
  <c r="O1754" i="1"/>
  <c r="O1755" i="1"/>
  <c r="O1756" i="1"/>
  <c r="O1757" i="1"/>
  <c r="O1758" i="1"/>
  <c r="O1759" i="1"/>
  <c r="O1760" i="1"/>
  <c r="O1761" i="1"/>
  <c r="O1762" i="1"/>
  <c r="O1763" i="1"/>
  <c r="O1764" i="1"/>
  <c r="O1765" i="1"/>
  <c r="O1766" i="1"/>
  <c r="O1767" i="1"/>
  <c r="O1768" i="1"/>
  <c r="O1769" i="1"/>
  <c r="O1770" i="1"/>
  <c r="O1771" i="1"/>
  <c r="O1772" i="1"/>
  <c r="O1773" i="1"/>
  <c r="O1774" i="1"/>
  <c r="O1775" i="1"/>
  <c r="O1776" i="1"/>
  <c r="O1777" i="1"/>
  <c r="O1778" i="1"/>
  <c r="O1779" i="1"/>
  <c r="O1780" i="1"/>
  <c r="O1781" i="1"/>
  <c r="O1782" i="1"/>
  <c r="O1783" i="1"/>
  <c r="O1784" i="1"/>
  <c r="O1785" i="1"/>
  <c r="O1786" i="1"/>
  <c r="O1787" i="1"/>
  <c r="O1788" i="1"/>
  <c r="O1789" i="1"/>
  <c r="O1790" i="1"/>
  <c r="O1791" i="1"/>
  <c r="O1792" i="1"/>
  <c r="O1793" i="1"/>
  <c r="O1794" i="1"/>
  <c r="O1795" i="1"/>
  <c r="O1796" i="1"/>
  <c r="O1797" i="1"/>
  <c r="O1798" i="1"/>
  <c r="O1799" i="1"/>
  <c r="O1800" i="1"/>
  <c r="O1801" i="1"/>
  <c r="O1802" i="1"/>
  <c r="O1803" i="1"/>
  <c r="O1804" i="1"/>
  <c r="O1805" i="1"/>
  <c r="O1806" i="1"/>
  <c r="O1807" i="1"/>
  <c r="O1808" i="1"/>
  <c r="O1809" i="1"/>
  <c r="O1810" i="1"/>
  <c r="O1811" i="1"/>
  <c r="O1812" i="1"/>
  <c r="O1813" i="1"/>
  <c r="O1814" i="1"/>
  <c r="O1815" i="1"/>
  <c r="O1816" i="1"/>
  <c r="O1817" i="1"/>
  <c r="O1818" i="1"/>
  <c r="O1819" i="1"/>
  <c r="O1820" i="1"/>
  <c r="O1821" i="1"/>
  <c r="O1822" i="1"/>
  <c r="O1823" i="1"/>
  <c r="O1824" i="1"/>
  <c r="O1825" i="1"/>
  <c r="O1826" i="1"/>
  <c r="O1827" i="1"/>
  <c r="O1828" i="1"/>
  <c r="O1829" i="1"/>
  <c r="O1830" i="1"/>
  <c r="O1831" i="1"/>
  <c r="O1832" i="1"/>
  <c r="O1833" i="1"/>
  <c r="O1834" i="1"/>
  <c r="O1835" i="1"/>
  <c r="O1836" i="1"/>
  <c r="O1837" i="1"/>
  <c r="O1838" i="1"/>
  <c r="O1839" i="1"/>
  <c r="O1840" i="1"/>
  <c r="O1841" i="1"/>
  <c r="O1842" i="1"/>
  <c r="O1843" i="1"/>
  <c r="O1844" i="1"/>
  <c r="O1845" i="1"/>
  <c r="O1846" i="1"/>
  <c r="O1847" i="1"/>
  <c r="O1848" i="1"/>
  <c r="O1849" i="1"/>
  <c r="O1850" i="1"/>
  <c r="O1851" i="1"/>
  <c r="O1852" i="1"/>
  <c r="O1853" i="1"/>
  <c r="O1854" i="1"/>
  <c r="O1855" i="1"/>
  <c r="O1856" i="1"/>
  <c r="O1857" i="1"/>
  <c r="O1858" i="1"/>
  <c r="O1859" i="1"/>
  <c r="O1860" i="1"/>
  <c r="O1861" i="1"/>
  <c r="O1862" i="1"/>
  <c r="O1863" i="1"/>
  <c r="O1864" i="1"/>
  <c r="O1865" i="1"/>
  <c r="O1866" i="1"/>
  <c r="O1867" i="1"/>
  <c r="O1868" i="1"/>
  <c r="O1869" i="1"/>
  <c r="O1870" i="1"/>
  <c r="O1871" i="1"/>
  <c r="O1872" i="1"/>
  <c r="O1873" i="1"/>
  <c r="O1874" i="1"/>
  <c r="O1875" i="1"/>
  <c r="O1876" i="1"/>
  <c r="O1877" i="1"/>
  <c r="O1878" i="1"/>
  <c r="O1879" i="1"/>
  <c r="O1880" i="1"/>
  <c r="O1881" i="1"/>
  <c r="O1882" i="1"/>
  <c r="O1883" i="1"/>
  <c r="O1884" i="1"/>
  <c r="O1885" i="1"/>
  <c r="O1886" i="1"/>
  <c r="O1887" i="1"/>
  <c r="O1888" i="1"/>
  <c r="O1889" i="1"/>
  <c r="O1890" i="1"/>
  <c r="O1891" i="1"/>
  <c r="O1892" i="1"/>
  <c r="O1893" i="1"/>
  <c r="O1894" i="1"/>
  <c r="O1895" i="1"/>
  <c r="O1896" i="1"/>
  <c r="O1897" i="1"/>
  <c r="O1898" i="1"/>
  <c r="O1899" i="1"/>
  <c r="O1900" i="1"/>
  <c r="O1901" i="1"/>
  <c r="O1902" i="1"/>
  <c r="O1903" i="1"/>
  <c r="O1904" i="1"/>
  <c r="O1905" i="1"/>
  <c r="O1906" i="1"/>
  <c r="O1907" i="1"/>
  <c r="O1908" i="1"/>
  <c r="O1909" i="1"/>
  <c r="O1910" i="1"/>
  <c r="O1911" i="1"/>
  <c r="O1912" i="1"/>
  <c r="O1913" i="1"/>
  <c r="O1914" i="1"/>
  <c r="O1915" i="1"/>
  <c r="O1916" i="1"/>
  <c r="O1917" i="1"/>
  <c r="O1918" i="1"/>
  <c r="O1919" i="1"/>
  <c r="O1920" i="1"/>
  <c r="O1921" i="1"/>
  <c r="O1922" i="1"/>
  <c r="O1923" i="1"/>
  <c r="O1924" i="1"/>
  <c r="O1925" i="1"/>
  <c r="O1926" i="1"/>
  <c r="O1927" i="1"/>
  <c r="O1928" i="1"/>
  <c r="O1929" i="1"/>
  <c r="O1930" i="1"/>
  <c r="O1931" i="1"/>
  <c r="O1932" i="1"/>
  <c r="O1933" i="1"/>
  <c r="O1934" i="1"/>
  <c r="O1935" i="1"/>
  <c r="O1936" i="1"/>
  <c r="O1937" i="1"/>
  <c r="O1938" i="1"/>
  <c r="O1939" i="1"/>
  <c r="O1940" i="1"/>
  <c r="O1941" i="1"/>
  <c r="O1942" i="1"/>
  <c r="O1943" i="1"/>
  <c r="O1944" i="1"/>
  <c r="O1945" i="1"/>
  <c r="O1946" i="1"/>
  <c r="O1947" i="1"/>
  <c r="O1948" i="1"/>
  <c r="O1949" i="1"/>
  <c r="O1950" i="1"/>
  <c r="O1951" i="1"/>
  <c r="O1952" i="1"/>
  <c r="O1953" i="1"/>
  <c r="O1954" i="1"/>
  <c r="O1955" i="1"/>
  <c r="O1956" i="1"/>
  <c r="O1957" i="1"/>
  <c r="O1958" i="1"/>
  <c r="O1959" i="1"/>
  <c r="O1960" i="1"/>
  <c r="O1961" i="1"/>
  <c r="O1962" i="1"/>
  <c r="O1963" i="1"/>
  <c r="O1964" i="1"/>
  <c r="O1965" i="1"/>
  <c r="O1966" i="1"/>
  <c r="O1967" i="1"/>
  <c r="O1968" i="1"/>
  <c r="O1969" i="1"/>
  <c r="O1970" i="1"/>
  <c r="O1971" i="1"/>
  <c r="O1972" i="1"/>
  <c r="O1973" i="1"/>
  <c r="O1974" i="1"/>
  <c r="O1975" i="1"/>
  <c r="O1976" i="1"/>
  <c r="O1977" i="1"/>
  <c r="O1978" i="1"/>
  <c r="O1979" i="1"/>
  <c r="O1980" i="1"/>
  <c r="O1981" i="1"/>
  <c r="O1982" i="1"/>
  <c r="O1983" i="1"/>
  <c r="O1984" i="1"/>
  <c r="O1985" i="1"/>
  <c r="O1986" i="1"/>
  <c r="O1987" i="1"/>
  <c r="O1988" i="1"/>
  <c r="O1989" i="1"/>
  <c r="O1990" i="1"/>
  <c r="O1991" i="1"/>
  <c r="O1992" i="1"/>
  <c r="O1993" i="1"/>
  <c r="O1994" i="1"/>
  <c r="O1995" i="1"/>
  <c r="O1996" i="1"/>
  <c r="O1997" i="1"/>
  <c r="O1998" i="1"/>
  <c r="O1999" i="1"/>
  <c r="O2000" i="1"/>
  <c r="O2001" i="1"/>
  <c r="O2002" i="1"/>
  <c r="O2003" i="1"/>
  <c r="O2004" i="1"/>
  <c r="O2005" i="1"/>
  <c r="O2006" i="1"/>
  <c r="O2007" i="1"/>
  <c r="O2008" i="1"/>
  <c r="O2009" i="1"/>
  <c r="O2010" i="1"/>
  <c r="O2011" i="1"/>
  <c r="O2012" i="1"/>
  <c r="O2013" i="1"/>
  <c r="O2014" i="1"/>
  <c r="O2015" i="1"/>
  <c r="O2016" i="1"/>
  <c r="O2017" i="1"/>
  <c r="O2018" i="1"/>
  <c r="O2019" i="1"/>
  <c r="O2020" i="1"/>
  <c r="O2021" i="1"/>
  <c r="O2022" i="1"/>
  <c r="O2023" i="1"/>
  <c r="O2024" i="1"/>
  <c r="O2025" i="1"/>
  <c r="O2026" i="1"/>
  <c r="O2027" i="1"/>
  <c r="O2028" i="1"/>
  <c r="O2199" i="1"/>
  <c r="O2030" i="1"/>
  <c r="O2031" i="1"/>
  <c r="O2154" i="1"/>
  <c r="O2033" i="1"/>
  <c r="O2034" i="1"/>
  <c r="O2208" i="1"/>
  <c r="O2036" i="1"/>
  <c r="O2037" i="1"/>
  <c r="O2038" i="1"/>
  <c r="O2039" i="1"/>
  <c r="O2040" i="1"/>
  <c r="O2041" i="1"/>
  <c r="O2042" i="1"/>
  <c r="O2043" i="1"/>
  <c r="O2195" i="1"/>
  <c r="O2029" i="1"/>
  <c r="O2046" i="1"/>
  <c r="O2047" i="1"/>
  <c r="O2048" i="1"/>
  <c r="O2049" i="1"/>
  <c r="O2050" i="1"/>
  <c r="O2051" i="1"/>
  <c r="O2052" i="1"/>
  <c r="O2053" i="1"/>
  <c r="O2054" i="1"/>
  <c r="O2107" i="1"/>
  <c r="O2063" i="1"/>
  <c r="O2057" i="1"/>
  <c r="O2117" i="1"/>
  <c r="O2104" i="1"/>
  <c r="O2060" i="1"/>
  <c r="O2061" i="1"/>
  <c r="O2062" i="1"/>
  <c r="O2127" i="1"/>
  <c r="O2064" i="1"/>
  <c r="O2065" i="1"/>
  <c r="O2066" i="1"/>
  <c r="O2067" i="1"/>
  <c r="O2068" i="1"/>
  <c r="O2069" i="1"/>
  <c r="O2070" i="1"/>
  <c r="O2071" i="1"/>
  <c r="O2072" i="1"/>
  <c r="O2073" i="1"/>
  <c r="O2074" i="1"/>
  <c r="O2075" i="1"/>
  <c r="O2162" i="1"/>
  <c r="O2077" i="1"/>
  <c r="O2105" i="1"/>
  <c r="O2079" i="1"/>
  <c r="O2080" i="1"/>
  <c r="O2081" i="1"/>
  <c r="O2082" i="1"/>
  <c r="O2106" i="1"/>
  <c r="O2084" i="1"/>
  <c r="O2085" i="1"/>
  <c r="O2086" i="1"/>
  <c r="O2087" i="1"/>
  <c r="O2088" i="1"/>
  <c r="O2089" i="1"/>
  <c r="O2090" i="1"/>
  <c r="O2091" i="1"/>
  <c r="O2092" i="1"/>
  <c r="O2093" i="1"/>
  <c r="O2094" i="1"/>
  <c r="O2095" i="1"/>
  <c r="O2096" i="1"/>
  <c r="O2097" i="1"/>
  <c r="O2098" i="1"/>
  <c r="O2099" i="1"/>
  <c r="O2100" i="1"/>
  <c r="O2101" i="1"/>
  <c r="O2102" i="1"/>
  <c r="O2103" i="1"/>
  <c r="O2044" i="1"/>
  <c r="O2198" i="1"/>
  <c r="O2032" i="1"/>
  <c r="O2056" i="1"/>
  <c r="O2108" i="1"/>
  <c r="O2109" i="1"/>
  <c r="O2110" i="1"/>
  <c r="O2111" i="1"/>
  <c r="O2133" i="1"/>
  <c r="O2113" i="1"/>
  <c r="O2114" i="1"/>
  <c r="O2115" i="1"/>
  <c r="O2116" i="1"/>
  <c r="O2217" i="1"/>
  <c r="O2118" i="1"/>
  <c r="O2119" i="1"/>
  <c r="O2120" i="1"/>
  <c r="O2121" i="1"/>
  <c r="O2112" i="1"/>
  <c r="O2123" i="1"/>
  <c r="O2124" i="1"/>
  <c r="O2125" i="1"/>
  <c r="O2126" i="1"/>
  <c r="O2035" i="1"/>
  <c r="O2128" i="1"/>
  <c r="O2129" i="1"/>
  <c r="O2130" i="1"/>
  <c r="O2131" i="1"/>
  <c r="O2132" i="1"/>
  <c r="O2058" i="1"/>
  <c r="O2134" i="1"/>
  <c r="O2135" i="1"/>
  <c r="O2136" i="1"/>
  <c r="O2137" i="1"/>
  <c r="O2138" i="1"/>
  <c r="O2139" i="1"/>
  <c r="O2140" i="1"/>
  <c r="O2141" i="1"/>
  <c r="O2142" i="1"/>
  <c r="O2143" i="1"/>
  <c r="O2144" i="1"/>
  <c r="O2145" i="1"/>
  <c r="O2146" i="1"/>
  <c r="O2147" i="1"/>
  <c r="O2078" i="1"/>
  <c r="O2149" i="1"/>
  <c r="O2150" i="1"/>
  <c r="O2151" i="1"/>
  <c r="O2152" i="1"/>
  <c r="O2153" i="1"/>
  <c r="O2158" i="1"/>
  <c r="O2155" i="1"/>
  <c r="O2156" i="1"/>
  <c r="O2157" i="1"/>
  <c r="O2076" i="1"/>
  <c r="O2159" i="1"/>
  <c r="O2160" i="1"/>
  <c r="O2161" i="1"/>
  <c r="O2045" i="1"/>
  <c r="O2163" i="1"/>
  <c r="O2164" i="1"/>
  <c r="O2165" i="1"/>
  <c r="O2166" i="1"/>
  <c r="O2167" i="1"/>
  <c r="O2168" i="1"/>
  <c r="O2169" i="1"/>
  <c r="O2170" i="1"/>
  <c r="O2171" i="1"/>
  <c r="O2172" i="1"/>
  <c r="O2173" i="1"/>
  <c r="O2174" i="1"/>
  <c r="O2175" i="1"/>
  <c r="O2176" i="1"/>
  <c r="O2177" i="1"/>
  <c r="O2178" i="1"/>
  <c r="O2179" i="1"/>
  <c r="O2180" i="1"/>
  <c r="O2181" i="1"/>
  <c r="O2182" i="1"/>
  <c r="O2183" i="1"/>
  <c r="O2184" i="1"/>
  <c r="O2185" i="1"/>
  <c r="O2186" i="1"/>
  <c r="O2187" i="1"/>
  <c r="O2188" i="1"/>
  <c r="O2189" i="1"/>
  <c r="O2190" i="1"/>
  <c r="O2191" i="1"/>
  <c r="O2192" i="1"/>
  <c r="O2193" i="1"/>
  <c r="O2194" i="1"/>
  <c r="O2083" i="1"/>
  <c r="O2196" i="1"/>
  <c r="O2197" i="1"/>
  <c r="O2122" i="1"/>
  <c r="O2055" i="1"/>
  <c r="O2200" i="1"/>
  <c r="O2201" i="1"/>
  <c r="O2202" i="1"/>
  <c r="O2203" i="1"/>
  <c r="O2204" i="1"/>
  <c r="O2205" i="1"/>
  <c r="O2206" i="1"/>
  <c r="O2207" i="1"/>
  <c r="O2214" i="1"/>
  <c r="O2209" i="1"/>
  <c r="O2210" i="1"/>
  <c r="O2211" i="1"/>
  <c r="O2212" i="1"/>
  <c r="O2213" i="1"/>
  <c r="O2059" i="1"/>
  <c r="O2215" i="1"/>
  <c r="O2216" i="1"/>
  <c r="O2148" i="1"/>
  <c r="O2218" i="1"/>
  <c r="O2219" i="1"/>
  <c r="O2220" i="1"/>
  <c r="O2221" i="1"/>
  <c r="O2222" i="1"/>
  <c r="O2223" i="1"/>
  <c r="O2224" i="1"/>
  <c r="O2225" i="1"/>
  <c r="O2226" i="1"/>
  <c r="O2227" i="1"/>
  <c r="O2228" i="1"/>
  <c r="O2229" i="1"/>
  <c r="O2230" i="1"/>
  <c r="O2231" i="1"/>
  <c r="O2232" i="1"/>
  <c r="O2233" i="1"/>
  <c r="O2234" i="1"/>
  <c r="O2235" i="1"/>
  <c r="O2236" i="1"/>
  <c r="O2237" i="1"/>
  <c r="O2238" i="1"/>
  <c r="O2239" i="1"/>
  <c r="O2240" i="1"/>
  <c r="O2241" i="1"/>
  <c r="O2242" i="1"/>
  <c r="O2243" i="1"/>
  <c r="O2244" i="1"/>
  <c r="O2245" i="1"/>
  <c r="O2246" i="1"/>
  <c r="O2247" i="1"/>
  <c r="O2248" i="1"/>
  <c r="O2249" i="1"/>
  <c r="O2250" i="1"/>
  <c r="O2251" i="1"/>
  <c r="O2252" i="1"/>
  <c r="O2253" i="1"/>
  <c r="O2254" i="1"/>
  <c r="O2255" i="1"/>
  <c r="O2256" i="1"/>
  <c r="O2257" i="1"/>
  <c r="O2258" i="1"/>
  <c r="O2259" i="1"/>
  <c r="O2260" i="1"/>
  <c r="O2261" i="1"/>
  <c r="O2262" i="1"/>
  <c r="O2263" i="1"/>
  <c r="O2264" i="1"/>
  <c r="O2265" i="1"/>
  <c r="O2266" i="1"/>
  <c r="O2267" i="1"/>
  <c r="O2268" i="1"/>
  <c r="O2269" i="1"/>
  <c r="O2270" i="1"/>
  <c r="O2271" i="1"/>
  <c r="O2272" i="1"/>
  <c r="O2273" i="1"/>
  <c r="O2274" i="1"/>
  <c r="O2275" i="1"/>
  <c r="O2276" i="1"/>
  <c r="O2277" i="1"/>
  <c r="O2278" i="1"/>
  <c r="O2279" i="1"/>
  <c r="O2280" i="1"/>
  <c r="O2281" i="1"/>
  <c r="O2282" i="1"/>
  <c r="O2283" i="1"/>
  <c r="O2284" i="1"/>
  <c r="O2285" i="1"/>
  <c r="O2286" i="1"/>
  <c r="O2287" i="1"/>
  <c r="O2288" i="1"/>
  <c r="O2289" i="1"/>
  <c r="O2290" i="1"/>
  <c r="O2291" i="1"/>
  <c r="O2292" i="1"/>
  <c r="O2293" i="1"/>
  <c r="O2294" i="1"/>
  <c r="O2295" i="1"/>
  <c r="O2296" i="1"/>
  <c r="O2297" i="1"/>
  <c r="O2298" i="1"/>
  <c r="O2299" i="1"/>
  <c r="O2300" i="1"/>
  <c r="O2301" i="1"/>
  <c r="O2302" i="1"/>
  <c r="O2303" i="1"/>
  <c r="O2304" i="1"/>
  <c r="O2305" i="1"/>
  <c r="O2306" i="1"/>
  <c r="O2307" i="1"/>
  <c r="O2308" i="1"/>
  <c r="O2309" i="1"/>
  <c r="O2310" i="1"/>
  <c r="O2311" i="1"/>
  <c r="O2312" i="1"/>
  <c r="O2313" i="1"/>
  <c r="O2314" i="1"/>
  <c r="O2315" i="1"/>
  <c r="O2316" i="1"/>
  <c r="O2317" i="1"/>
  <c r="O2318" i="1"/>
  <c r="O2319" i="1"/>
  <c r="O2320" i="1"/>
  <c r="O2321" i="1"/>
  <c r="O2322" i="1"/>
  <c r="O2323" i="1"/>
  <c r="O2324" i="1"/>
  <c r="O2325" i="1"/>
  <c r="O2326" i="1"/>
  <c r="O2327" i="1"/>
  <c r="O2328" i="1"/>
  <c r="O2329" i="1"/>
  <c r="O2330" i="1"/>
  <c r="O2331" i="1"/>
  <c r="O2332" i="1"/>
  <c r="O2333" i="1"/>
  <c r="O2334" i="1"/>
  <c r="O2335" i="1"/>
  <c r="O2336" i="1"/>
  <c r="O2337" i="1"/>
  <c r="O2338" i="1"/>
  <c r="O2339" i="1"/>
  <c r="O2340" i="1"/>
  <c r="O2341" i="1"/>
  <c r="O2342" i="1"/>
  <c r="O2343" i="1"/>
  <c r="O2344" i="1"/>
  <c r="O2345" i="1"/>
  <c r="O2346" i="1"/>
  <c r="O2347" i="1"/>
  <c r="O2348" i="1"/>
  <c r="O2349" i="1"/>
  <c r="O2350" i="1"/>
  <c r="O2351" i="1"/>
  <c r="O2352" i="1"/>
  <c r="O2353" i="1"/>
  <c r="O2354" i="1"/>
  <c r="O2355" i="1"/>
  <c r="O2356" i="1"/>
  <c r="O2357" i="1"/>
  <c r="O2358" i="1"/>
  <c r="O2359" i="1"/>
  <c r="O2360" i="1"/>
  <c r="O2361" i="1"/>
  <c r="O2362" i="1"/>
  <c r="O2363" i="1"/>
  <c r="O2364" i="1"/>
  <c r="O2365" i="1"/>
  <c r="O2366" i="1"/>
  <c r="O2367" i="1"/>
  <c r="O2368" i="1"/>
  <c r="O2369" i="1"/>
  <c r="O2370" i="1"/>
  <c r="O2371" i="1"/>
  <c r="O2372" i="1"/>
  <c r="O2373" i="1"/>
  <c r="O2374" i="1"/>
  <c r="O2375" i="1"/>
  <c r="O2376" i="1"/>
  <c r="O2377" i="1"/>
  <c r="O2378" i="1"/>
  <c r="O2379" i="1"/>
  <c r="O2380" i="1"/>
  <c r="O2381" i="1"/>
  <c r="O2382" i="1"/>
  <c r="O2383" i="1"/>
  <c r="O2384" i="1"/>
  <c r="O2385" i="1"/>
  <c r="O2386" i="1"/>
  <c r="O2387" i="1"/>
  <c r="O2388" i="1"/>
  <c r="O2389" i="1"/>
  <c r="O2390" i="1"/>
  <c r="O2391" i="1"/>
  <c r="O2392" i="1"/>
  <c r="O2393" i="1"/>
  <c r="O2394" i="1"/>
  <c r="O2395" i="1"/>
  <c r="O2396" i="1"/>
  <c r="O2397" i="1"/>
  <c r="O2398" i="1"/>
  <c r="O2399" i="1"/>
  <c r="O2400" i="1"/>
  <c r="O2401" i="1"/>
  <c r="N2401" i="1"/>
  <c r="M2401" i="1"/>
  <c r="N2400" i="1"/>
  <c r="M2400" i="1"/>
  <c r="N2399" i="1"/>
  <c r="M2399" i="1"/>
  <c r="N2398" i="1"/>
  <c r="M2398" i="1"/>
  <c r="N2397" i="1"/>
  <c r="M2397" i="1"/>
  <c r="N2396" i="1"/>
  <c r="M2396" i="1"/>
  <c r="N2395" i="1"/>
  <c r="M2395" i="1"/>
  <c r="N2394" i="1"/>
  <c r="M2394" i="1"/>
  <c r="N2393" i="1"/>
  <c r="M2393" i="1"/>
  <c r="N2392" i="1"/>
  <c r="M2392" i="1"/>
  <c r="N2391" i="1"/>
  <c r="M2391" i="1"/>
  <c r="N2390" i="1"/>
  <c r="M2390" i="1"/>
  <c r="N2389" i="1"/>
  <c r="M2389" i="1"/>
  <c r="N2388" i="1"/>
  <c r="M2388" i="1"/>
  <c r="N2387" i="1"/>
  <c r="M2387" i="1"/>
  <c r="N2386" i="1"/>
  <c r="M2386" i="1"/>
  <c r="N2385" i="1"/>
  <c r="M2385" i="1"/>
  <c r="N2384" i="1"/>
  <c r="M2384" i="1"/>
  <c r="N2383" i="1"/>
  <c r="M2383" i="1"/>
  <c r="N2382" i="1"/>
  <c r="M2382" i="1"/>
  <c r="N2381" i="1"/>
  <c r="M2381" i="1"/>
  <c r="N2380" i="1"/>
  <c r="M2380" i="1"/>
  <c r="N2379" i="1"/>
  <c r="M2379" i="1"/>
  <c r="N2378" i="1"/>
  <c r="M2378" i="1"/>
  <c r="N2377" i="1"/>
  <c r="M2377" i="1"/>
  <c r="N2376" i="1"/>
  <c r="M2376" i="1"/>
  <c r="N2375" i="1"/>
  <c r="M2375" i="1"/>
  <c r="N2374" i="1"/>
  <c r="M2374" i="1"/>
  <c r="N2373" i="1"/>
  <c r="M2373" i="1"/>
  <c r="N2372" i="1"/>
  <c r="M2372" i="1"/>
  <c r="N2371" i="1"/>
  <c r="M2371" i="1"/>
  <c r="N2370" i="1"/>
  <c r="M2370" i="1"/>
  <c r="N2369" i="1"/>
  <c r="M2369" i="1"/>
  <c r="N2368" i="1"/>
  <c r="M2368" i="1"/>
  <c r="N2367" i="1"/>
  <c r="M2367" i="1"/>
  <c r="N2366" i="1"/>
  <c r="M2366" i="1"/>
  <c r="N2365" i="1"/>
  <c r="M2365" i="1"/>
  <c r="N2364" i="1"/>
  <c r="M2364" i="1"/>
  <c r="N2363" i="1"/>
  <c r="M2363" i="1"/>
  <c r="N2362" i="1"/>
  <c r="M2362" i="1"/>
  <c r="N2361" i="1"/>
  <c r="M2361" i="1"/>
  <c r="N2360" i="1"/>
  <c r="M2360" i="1"/>
  <c r="N2359" i="1"/>
  <c r="M2359" i="1"/>
  <c r="N2358" i="1"/>
  <c r="M2358" i="1"/>
  <c r="N2357" i="1"/>
  <c r="M2357" i="1"/>
  <c r="N2356" i="1"/>
  <c r="M2356" i="1"/>
  <c r="N2355" i="1"/>
  <c r="M2355" i="1"/>
  <c r="N2354" i="1"/>
  <c r="M2354" i="1"/>
  <c r="N2353" i="1"/>
  <c r="M2353" i="1"/>
  <c r="N2352" i="1"/>
  <c r="M2352" i="1"/>
  <c r="N2351" i="1"/>
  <c r="M2351" i="1"/>
  <c r="N2350" i="1"/>
  <c r="M2350" i="1"/>
  <c r="N2349" i="1"/>
  <c r="M2349" i="1"/>
  <c r="N2348" i="1"/>
  <c r="M2348" i="1"/>
  <c r="N2347" i="1"/>
  <c r="M2347" i="1"/>
  <c r="N2346" i="1"/>
  <c r="M2346" i="1"/>
  <c r="N2345" i="1"/>
  <c r="M2345" i="1"/>
  <c r="N2344" i="1"/>
  <c r="M2344" i="1"/>
  <c r="N2343" i="1"/>
  <c r="M2343" i="1"/>
  <c r="N2342" i="1"/>
  <c r="M2342" i="1"/>
  <c r="N2341" i="1"/>
  <c r="M2341" i="1"/>
  <c r="N2340" i="1"/>
  <c r="M2340" i="1"/>
  <c r="N2339" i="1"/>
  <c r="M2339" i="1"/>
  <c r="N2338" i="1"/>
  <c r="M2338" i="1"/>
  <c r="N2337" i="1"/>
  <c r="M2337" i="1"/>
  <c r="N2336" i="1"/>
  <c r="M2336" i="1"/>
  <c r="N2335" i="1"/>
  <c r="M2335" i="1"/>
  <c r="N2334" i="1"/>
  <c r="M2334" i="1"/>
  <c r="N2333" i="1"/>
  <c r="M2333" i="1"/>
  <c r="N2332" i="1"/>
  <c r="M2332" i="1"/>
  <c r="N2331" i="1"/>
  <c r="M2331" i="1"/>
  <c r="N2330" i="1"/>
  <c r="M2330" i="1"/>
  <c r="N2329" i="1"/>
  <c r="M2329" i="1"/>
  <c r="N2328" i="1"/>
  <c r="M2328" i="1"/>
  <c r="N2327" i="1"/>
  <c r="M2327" i="1"/>
  <c r="N2326" i="1"/>
  <c r="M2326" i="1"/>
  <c r="N2325" i="1"/>
  <c r="M2325" i="1"/>
  <c r="N2324" i="1"/>
  <c r="M2324" i="1"/>
  <c r="N2323" i="1"/>
  <c r="M2323" i="1"/>
  <c r="N2322" i="1"/>
  <c r="M2322" i="1"/>
  <c r="N2321" i="1"/>
  <c r="M2321" i="1"/>
  <c r="N2320" i="1"/>
  <c r="M2320" i="1"/>
  <c r="N2319" i="1"/>
  <c r="M2319" i="1"/>
  <c r="N2318" i="1"/>
  <c r="M2318" i="1"/>
  <c r="N2317" i="1"/>
  <c r="M2317" i="1"/>
  <c r="N2316" i="1"/>
  <c r="M2316" i="1"/>
  <c r="N2315" i="1"/>
  <c r="M2315" i="1"/>
  <c r="N2314" i="1"/>
  <c r="M2314" i="1"/>
  <c r="N2313" i="1"/>
  <c r="M2313" i="1"/>
  <c r="N2312" i="1"/>
  <c r="M2312" i="1"/>
  <c r="N2311" i="1"/>
  <c r="M2311" i="1"/>
  <c r="N2310" i="1"/>
  <c r="M2310" i="1"/>
  <c r="N2309" i="1"/>
  <c r="M2309" i="1"/>
  <c r="N2308" i="1"/>
  <c r="M2308" i="1"/>
  <c r="N2307" i="1"/>
  <c r="M2307" i="1"/>
  <c r="N2306" i="1"/>
  <c r="M2306" i="1"/>
  <c r="N2305" i="1"/>
  <c r="M2305" i="1"/>
  <c r="N2304" i="1"/>
  <c r="M2304" i="1"/>
  <c r="N2303" i="1"/>
  <c r="M2303" i="1"/>
  <c r="N2302" i="1"/>
  <c r="M2302" i="1"/>
  <c r="N2301" i="1"/>
  <c r="M2301" i="1"/>
  <c r="N2300" i="1"/>
  <c r="M2300" i="1"/>
  <c r="N2299" i="1"/>
  <c r="M2299" i="1"/>
  <c r="N2298" i="1"/>
  <c r="M2298" i="1"/>
  <c r="N2297" i="1"/>
  <c r="M2297" i="1"/>
  <c r="N2296" i="1"/>
  <c r="M2296" i="1"/>
  <c r="N2295" i="1"/>
  <c r="M2295" i="1"/>
  <c r="N2294" i="1"/>
  <c r="M2294" i="1"/>
  <c r="N2293" i="1"/>
  <c r="M2293" i="1"/>
  <c r="N2292" i="1"/>
  <c r="M2292" i="1"/>
  <c r="N2291" i="1"/>
  <c r="M2291" i="1"/>
  <c r="N2290" i="1"/>
  <c r="M2290" i="1"/>
  <c r="N2289" i="1"/>
  <c r="M2289" i="1"/>
  <c r="N2288" i="1"/>
  <c r="M2288" i="1"/>
  <c r="N2287" i="1"/>
  <c r="M2287" i="1"/>
  <c r="N2286" i="1"/>
  <c r="M2286" i="1"/>
  <c r="N2285" i="1"/>
  <c r="M2285" i="1"/>
  <c r="N2284" i="1"/>
  <c r="M2284" i="1"/>
  <c r="N2283" i="1"/>
  <c r="M2283" i="1"/>
  <c r="N2282" i="1"/>
  <c r="M2282" i="1"/>
  <c r="N2281" i="1"/>
  <c r="M2281" i="1"/>
  <c r="N2280" i="1"/>
  <c r="M2280" i="1"/>
  <c r="N2279" i="1"/>
  <c r="M2279" i="1"/>
  <c r="N2278" i="1"/>
  <c r="M2278" i="1"/>
  <c r="N2277" i="1"/>
  <c r="M2277" i="1"/>
  <c r="N2276" i="1"/>
  <c r="M2276" i="1"/>
  <c r="N2275" i="1"/>
  <c r="M2275" i="1"/>
  <c r="N2274" i="1"/>
  <c r="M2274" i="1"/>
  <c r="N2273" i="1"/>
  <c r="M2273" i="1"/>
  <c r="N2272" i="1"/>
  <c r="M2272" i="1"/>
  <c r="N2271" i="1"/>
  <c r="M2271" i="1"/>
  <c r="N2270" i="1"/>
  <c r="M2270" i="1"/>
  <c r="N2269" i="1"/>
  <c r="M2269" i="1"/>
  <c r="N2268" i="1"/>
  <c r="M2268" i="1"/>
  <c r="N2267" i="1"/>
  <c r="M2267" i="1"/>
  <c r="N2266" i="1"/>
  <c r="M2266" i="1"/>
  <c r="N2265" i="1"/>
  <c r="M2265" i="1"/>
  <c r="N2264" i="1"/>
  <c r="M2264" i="1"/>
  <c r="N2263" i="1"/>
  <c r="M2263" i="1"/>
  <c r="N2262" i="1"/>
  <c r="M2262" i="1"/>
  <c r="N2261" i="1"/>
  <c r="M2261" i="1"/>
  <c r="N2260" i="1"/>
  <c r="M2260" i="1"/>
  <c r="N2259" i="1"/>
  <c r="M2259" i="1"/>
  <c r="N2258" i="1"/>
  <c r="M2258" i="1"/>
  <c r="N2257" i="1"/>
  <c r="M2257" i="1"/>
  <c r="N2256" i="1"/>
  <c r="M2256" i="1"/>
  <c r="N2255" i="1"/>
  <c r="M2255" i="1"/>
  <c r="N2254" i="1"/>
  <c r="M2254" i="1"/>
  <c r="N2253" i="1"/>
  <c r="M2253" i="1"/>
  <c r="N2252" i="1"/>
  <c r="M2252" i="1"/>
  <c r="N2251" i="1"/>
  <c r="M2251" i="1"/>
  <c r="N2250" i="1"/>
  <c r="M2250" i="1"/>
  <c r="N2249" i="1"/>
  <c r="M2249" i="1"/>
  <c r="N2248" i="1"/>
  <c r="M2248" i="1"/>
  <c r="N2247" i="1"/>
  <c r="M2247" i="1"/>
  <c r="N2246" i="1"/>
  <c r="M2246" i="1"/>
  <c r="N2245" i="1"/>
  <c r="M2245" i="1"/>
  <c r="N2244" i="1"/>
  <c r="M2244" i="1"/>
  <c r="N2243" i="1"/>
  <c r="M2243" i="1"/>
  <c r="N2242" i="1"/>
  <c r="M2242" i="1"/>
  <c r="N2241" i="1"/>
  <c r="M2241" i="1"/>
  <c r="N2240" i="1"/>
  <c r="M2240" i="1"/>
  <c r="N2239" i="1"/>
  <c r="M2239" i="1"/>
  <c r="N2238" i="1"/>
  <c r="M2238" i="1"/>
  <c r="N2237" i="1"/>
  <c r="M2237" i="1"/>
  <c r="N2236" i="1"/>
  <c r="M2236" i="1"/>
  <c r="N2235" i="1"/>
  <c r="M2235" i="1"/>
  <c r="N2234" i="1"/>
  <c r="M2234" i="1"/>
  <c r="N2233" i="1"/>
  <c r="M2233" i="1"/>
  <c r="N2232" i="1"/>
  <c r="M2232" i="1"/>
  <c r="N2231" i="1"/>
  <c r="M2231" i="1"/>
  <c r="N2230" i="1"/>
  <c r="M2230" i="1"/>
  <c r="N2229" i="1"/>
  <c r="M2229" i="1"/>
  <c r="N2228" i="1"/>
  <c r="M2228" i="1"/>
  <c r="N2227" i="1"/>
  <c r="M2227" i="1"/>
  <c r="N2226" i="1"/>
  <c r="M2226" i="1"/>
  <c r="N2225" i="1"/>
  <c r="M2225" i="1"/>
  <c r="N2224" i="1"/>
  <c r="M2224" i="1"/>
  <c r="N2223" i="1"/>
  <c r="M2223" i="1"/>
  <c r="N2222" i="1"/>
  <c r="M2222" i="1"/>
  <c r="N2221" i="1"/>
  <c r="M2221" i="1"/>
  <c r="N2220" i="1"/>
  <c r="M2220" i="1"/>
  <c r="N2219" i="1"/>
  <c r="M2219" i="1"/>
  <c r="N2218" i="1"/>
  <c r="M2218" i="1"/>
  <c r="N2148" i="1"/>
  <c r="M2148" i="1"/>
  <c r="N2216" i="1"/>
  <c r="M2216" i="1"/>
  <c r="N2215" i="1"/>
  <c r="M2215" i="1"/>
  <c r="N2059" i="1"/>
  <c r="M2059" i="1"/>
  <c r="N2213" i="1"/>
  <c r="M2213" i="1"/>
  <c r="N2212" i="1"/>
  <c r="M2212" i="1"/>
  <c r="N2211" i="1"/>
  <c r="M2211" i="1"/>
  <c r="N2210" i="1"/>
  <c r="M2210" i="1"/>
  <c r="N2209" i="1"/>
  <c r="M2209" i="1"/>
  <c r="N2214" i="1"/>
  <c r="M2214" i="1"/>
  <c r="N2207" i="1"/>
  <c r="M2207" i="1"/>
  <c r="N2206" i="1"/>
  <c r="M2206" i="1"/>
  <c r="N2205" i="1"/>
  <c r="M2205" i="1"/>
  <c r="N2204" i="1"/>
  <c r="M2204" i="1"/>
  <c r="N2203" i="1"/>
  <c r="M2203" i="1"/>
  <c r="N2202" i="1"/>
  <c r="M2202" i="1"/>
  <c r="N2201" i="1"/>
  <c r="M2201" i="1"/>
  <c r="N2200" i="1"/>
  <c r="M2200" i="1"/>
  <c r="N2055" i="1"/>
  <c r="M2055" i="1"/>
  <c r="N2122" i="1"/>
  <c r="M2122" i="1"/>
  <c r="N2197" i="1"/>
  <c r="M2197" i="1"/>
  <c r="N2196" i="1"/>
  <c r="M2196" i="1"/>
  <c r="N2083" i="1"/>
  <c r="M2083" i="1"/>
  <c r="N2194" i="1"/>
  <c r="M2194" i="1"/>
  <c r="N2193" i="1"/>
  <c r="M2193" i="1"/>
  <c r="N2192" i="1"/>
  <c r="M2192" i="1"/>
  <c r="N2191" i="1"/>
  <c r="M2191" i="1"/>
  <c r="N2190" i="1"/>
  <c r="M2190" i="1"/>
  <c r="N2189" i="1"/>
  <c r="M2189" i="1"/>
  <c r="N2188" i="1"/>
  <c r="M2188" i="1"/>
  <c r="N2187" i="1"/>
  <c r="M2187" i="1"/>
  <c r="N2186" i="1"/>
  <c r="M2186" i="1"/>
  <c r="N2185" i="1"/>
  <c r="M2185" i="1"/>
  <c r="N2184" i="1"/>
  <c r="M2184" i="1"/>
  <c r="N2183" i="1"/>
  <c r="M2183" i="1"/>
  <c r="N2182" i="1"/>
  <c r="M2182" i="1"/>
  <c r="N2181" i="1"/>
  <c r="M2181" i="1"/>
  <c r="N2180" i="1"/>
  <c r="M2180" i="1"/>
  <c r="N2179" i="1"/>
  <c r="M2179" i="1"/>
  <c r="N2178" i="1"/>
  <c r="M2178" i="1"/>
  <c r="N2177" i="1"/>
  <c r="M2177" i="1"/>
  <c r="N2176" i="1"/>
  <c r="M2176" i="1"/>
  <c r="N2175" i="1"/>
  <c r="M2175" i="1"/>
  <c r="N2174" i="1"/>
  <c r="M2174" i="1"/>
  <c r="N2173" i="1"/>
  <c r="M2173" i="1"/>
  <c r="N2172" i="1"/>
  <c r="M2172" i="1"/>
  <c r="N2171" i="1"/>
  <c r="M2171" i="1"/>
  <c r="N2170" i="1"/>
  <c r="M2170" i="1"/>
  <c r="N2169" i="1"/>
  <c r="M2169" i="1"/>
  <c r="N2168" i="1"/>
  <c r="M2168" i="1"/>
  <c r="N2167" i="1"/>
  <c r="M2167" i="1"/>
  <c r="N2166" i="1"/>
  <c r="M2166" i="1"/>
  <c r="N2165" i="1"/>
  <c r="M2165" i="1"/>
  <c r="N2164" i="1"/>
  <c r="M2164" i="1"/>
  <c r="N2163" i="1"/>
  <c r="M2163" i="1"/>
  <c r="N2045" i="1"/>
  <c r="M2045" i="1"/>
  <c r="N2161" i="1"/>
  <c r="M2161" i="1"/>
  <c r="N2160" i="1"/>
  <c r="M2160" i="1"/>
  <c r="N2159" i="1"/>
  <c r="M2159" i="1"/>
  <c r="N2076" i="1"/>
  <c r="M2076" i="1"/>
  <c r="N2157" i="1"/>
  <c r="M2157" i="1"/>
  <c r="N2156" i="1"/>
  <c r="M2156" i="1"/>
  <c r="N2155" i="1"/>
  <c r="M2155" i="1"/>
  <c r="N2158" i="1"/>
  <c r="M2158" i="1"/>
  <c r="N2153" i="1"/>
  <c r="M2153" i="1"/>
  <c r="N2152" i="1"/>
  <c r="M2152" i="1"/>
  <c r="N2151" i="1"/>
  <c r="M2151" i="1"/>
  <c r="N2150" i="1"/>
  <c r="M2150" i="1"/>
  <c r="N2149" i="1"/>
  <c r="M2149" i="1"/>
  <c r="N2078" i="1"/>
  <c r="M2078" i="1"/>
  <c r="N2147" i="1"/>
  <c r="M2147" i="1"/>
  <c r="N2146" i="1"/>
  <c r="M2146" i="1"/>
  <c r="N2145" i="1"/>
  <c r="M2145" i="1"/>
  <c r="N2144" i="1"/>
  <c r="M2144" i="1"/>
  <c r="N2143" i="1"/>
  <c r="M2143" i="1"/>
  <c r="N2142" i="1"/>
  <c r="M2142" i="1"/>
  <c r="N2141" i="1"/>
  <c r="M2141" i="1"/>
  <c r="N2140" i="1"/>
  <c r="M2140" i="1"/>
  <c r="N2139" i="1"/>
  <c r="M2139" i="1"/>
  <c r="N2138" i="1"/>
  <c r="M2138" i="1"/>
  <c r="N2137" i="1"/>
  <c r="M2137" i="1"/>
  <c r="N2136" i="1"/>
  <c r="M2136" i="1"/>
  <c r="N2135" i="1"/>
  <c r="M2135" i="1"/>
  <c r="N2134" i="1"/>
  <c r="M2134" i="1"/>
  <c r="N2058" i="1"/>
  <c r="M2058" i="1"/>
  <c r="N2132" i="1"/>
  <c r="M2132" i="1"/>
  <c r="N2131" i="1"/>
  <c r="M2131" i="1"/>
  <c r="N2130" i="1"/>
  <c r="M2130" i="1"/>
  <c r="N2129" i="1"/>
  <c r="M2129" i="1"/>
  <c r="N2128" i="1"/>
  <c r="M2128" i="1"/>
  <c r="N2035" i="1"/>
  <c r="M2035" i="1"/>
  <c r="N2126" i="1"/>
  <c r="M2126" i="1"/>
  <c r="N2125" i="1"/>
  <c r="M2125" i="1"/>
  <c r="N2124" i="1"/>
  <c r="M2124" i="1"/>
  <c r="N2123" i="1"/>
  <c r="M2123" i="1"/>
  <c r="N2112" i="1"/>
  <c r="M2112" i="1"/>
  <c r="N2121" i="1"/>
  <c r="M2121" i="1"/>
  <c r="N2120" i="1"/>
  <c r="M2120" i="1"/>
  <c r="N2119" i="1"/>
  <c r="M2119" i="1"/>
  <c r="N2118" i="1"/>
  <c r="M2118" i="1"/>
  <c r="N2217" i="1"/>
  <c r="M2217" i="1"/>
  <c r="N2116" i="1"/>
  <c r="M2116" i="1"/>
  <c r="N2115" i="1"/>
  <c r="M2115" i="1"/>
  <c r="N2114" i="1"/>
  <c r="M2114" i="1"/>
  <c r="N2113" i="1"/>
  <c r="M2113" i="1"/>
  <c r="N2133" i="1"/>
  <c r="M2133" i="1"/>
  <c r="N2111" i="1"/>
  <c r="M2111" i="1"/>
  <c r="N2110" i="1"/>
  <c r="M2110" i="1"/>
  <c r="N2109" i="1"/>
  <c r="M2109" i="1"/>
  <c r="N2108" i="1"/>
  <c r="M2108" i="1"/>
  <c r="N2056" i="1"/>
  <c r="M2056" i="1"/>
  <c r="N2032" i="1"/>
  <c r="M2032" i="1"/>
  <c r="N2198" i="1"/>
  <c r="M2198" i="1"/>
  <c r="N2044" i="1"/>
  <c r="M2044" i="1"/>
  <c r="N2103" i="1"/>
  <c r="M2103" i="1"/>
  <c r="N2102" i="1"/>
  <c r="M2102" i="1"/>
  <c r="N2101" i="1"/>
  <c r="M2101" i="1"/>
  <c r="N2100" i="1"/>
  <c r="M2100" i="1"/>
  <c r="N2099" i="1"/>
  <c r="M2099" i="1"/>
  <c r="N2098" i="1"/>
  <c r="M2098" i="1"/>
  <c r="N2097" i="1"/>
  <c r="M2097" i="1"/>
  <c r="N2096" i="1"/>
  <c r="M2096" i="1"/>
  <c r="N2095" i="1"/>
  <c r="M2095" i="1"/>
  <c r="N2094" i="1"/>
  <c r="M2094" i="1"/>
  <c r="N2093" i="1"/>
  <c r="M2093" i="1"/>
  <c r="N2092" i="1"/>
  <c r="M2092" i="1"/>
  <c r="N2091" i="1"/>
  <c r="M2091" i="1"/>
  <c r="N2090" i="1"/>
  <c r="M2090" i="1"/>
  <c r="N2089" i="1"/>
  <c r="M2089" i="1"/>
  <c r="N2088" i="1"/>
  <c r="M2088" i="1"/>
  <c r="N2087" i="1"/>
  <c r="M2087" i="1"/>
  <c r="N2086" i="1"/>
  <c r="M2086" i="1"/>
  <c r="N2085" i="1"/>
  <c r="M2085" i="1"/>
  <c r="N2084" i="1"/>
  <c r="M2084" i="1"/>
  <c r="N2106" i="1"/>
  <c r="M2106" i="1"/>
  <c r="N2082" i="1"/>
  <c r="M2082" i="1"/>
  <c r="N2081" i="1"/>
  <c r="M2081" i="1"/>
  <c r="N2080" i="1"/>
  <c r="M2080" i="1"/>
  <c r="N2079" i="1"/>
  <c r="M2079" i="1"/>
  <c r="N2105" i="1"/>
  <c r="M2105" i="1"/>
  <c r="N2077" i="1"/>
  <c r="M2077" i="1"/>
  <c r="N2162" i="1"/>
  <c r="M2162" i="1"/>
  <c r="N2075" i="1"/>
  <c r="M2075" i="1"/>
  <c r="N2074" i="1"/>
  <c r="M2074" i="1"/>
  <c r="N2073" i="1"/>
  <c r="M2073" i="1"/>
  <c r="N2072" i="1"/>
  <c r="M2072" i="1"/>
  <c r="N2071" i="1"/>
  <c r="M2071" i="1"/>
  <c r="N2070" i="1"/>
  <c r="M2070" i="1"/>
  <c r="N2069" i="1"/>
  <c r="M2069" i="1"/>
  <c r="N2068" i="1"/>
  <c r="M2068" i="1"/>
  <c r="N2067" i="1"/>
  <c r="M2067" i="1"/>
  <c r="N2066" i="1"/>
  <c r="M2066" i="1"/>
  <c r="N2065" i="1"/>
  <c r="M2065" i="1"/>
  <c r="N2064" i="1"/>
  <c r="M2064" i="1"/>
  <c r="N2127" i="1"/>
  <c r="M2127" i="1"/>
  <c r="N2062" i="1"/>
  <c r="M2062" i="1"/>
  <c r="N2061" i="1"/>
  <c r="M2061" i="1"/>
  <c r="N2060" i="1"/>
  <c r="M2060" i="1"/>
  <c r="N2104" i="1"/>
  <c r="M2104" i="1"/>
  <c r="N2117" i="1"/>
  <c r="M2117" i="1"/>
  <c r="N2057" i="1"/>
  <c r="M2057" i="1"/>
  <c r="N2063" i="1"/>
  <c r="M2063" i="1"/>
  <c r="N2107" i="1"/>
  <c r="M2107" i="1"/>
  <c r="N2054" i="1"/>
  <c r="M2054" i="1"/>
  <c r="N2053" i="1"/>
  <c r="M2053" i="1"/>
  <c r="N2052" i="1"/>
  <c r="M2052" i="1"/>
  <c r="N2051" i="1"/>
  <c r="M2051" i="1"/>
  <c r="N2050" i="1"/>
  <c r="M2050" i="1"/>
  <c r="N2049" i="1"/>
  <c r="M2049" i="1"/>
  <c r="N2048" i="1"/>
  <c r="M2048" i="1"/>
  <c r="N2047" i="1"/>
  <c r="M2047" i="1"/>
  <c r="N2046" i="1"/>
  <c r="M2046" i="1"/>
  <c r="N2029" i="1"/>
  <c r="M2029" i="1"/>
  <c r="N2195" i="1"/>
  <c r="M2195" i="1"/>
  <c r="N2043" i="1"/>
  <c r="M2043" i="1"/>
  <c r="N2042" i="1"/>
  <c r="M2042" i="1"/>
  <c r="N2041" i="1"/>
  <c r="M2041" i="1"/>
  <c r="N2040" i="1"/>
  <c r="M2040" i="1"/>
  <c r="N2039" i="1"/>
  <c r="M2039" i="1"/>
  <c r="N2038" i="1"/>
  <c r="M2038" i="1"/>
  <c r="N2037" i="1"/>
  <c r="M2037" i="1"/>
  <c r="N2036" i="1"/>
  <c r="M2036" i="1"/>
  <c r="N2208" i="1"/>
  <c r="M2208" i="1"/>
  <c r="N2034" i="1"/>
  <c r="M2034" i="1"/>
  <c r="N2033" i="1"/>
  <c r="M2033" i="1"/>
  <c r="N2154" i="1"/>
  <c r="M2154" i="1"/>
  <c r="N2031" i="1"/>
  <c r="M2031" i="1"/>
  <c r="N2030" i="1"/>
  <c r="M2030" i="1"/>
  <c r="N2199" i="1"/>
  <c r="M2199" i="1"/>
  <c r="N2028" i="1"/>
  <c r="M2028" i="1"/>
  <c r="N2027" i="1"/>
  <c r="M2027" i="1"/>
  <c r="N2026" i="1"/>
  <c r="M2026" i="1"/>
  <c r="N2025" i="1"/>
  <c r="M2025" i="1"/>
  <c r="N2024" i="1"/>
  <c r="M2024" i="1"/>
  <c r="N2023" i="1"/>
  <c r="M2023" i="1"/>
  <c r="N2022" i="1"/>
  <c r="M2022" i="1"/>
  <c r="N2021" i="1"/>
  <c r="M2021" i="1"/>
  <c r="N2020" i="1"/>
  <c r="M2020" i="1"/>
  <c r="N2019" i="1"/>
  <c r="M2019" i="1"/>
  <c r="N2018" i="1"/>
  <c r="M2018" i="1"/>
  <c r="N2017" i="1"/>
  <c r="M2017" i="1"/>
  <c r="N2016" i="1"/>
  <c r="M2016" i="1"/>
  <c r="N2015" i="1"/>
  <c r="M2015" i="1"/>
  <c r="N2014" i="1"/>
  <c r="M2014" i="1"/>
  <c r="N2013" i="1"/>
  <c r="M2013" i="1"/>
  <c r="N2012" i="1"/>
  <c r="M2012" i="1"/>
  <c r="N2011" i="1"/>
  <c r="M2011" i="1"/>
  <c r="N2010" i="1"/>
  <c r="M2010" i="1"/>
  <c r="N2009" i="1"/>
  <c r="M2009" i="1"/>
  <c r="N2008" i="1"/>
  <c r="M2008" i="1"/>
  <c r="N2007" i="1"/>
  <c r="M2007" i="1"/>
  <c r="N2006" i="1"/>
  <c r="M2006" i="1"/>
  <c r="N2005" i="1"/>
  <c r="M2005" i="1"/>
  <c r="N2004" i="1"/>
  <c r="M2004" i="1"/>
  <c r="N2003" i="1"/>
  <c r="M2003" i="1"/>
  <c r="N2002" i="1"/>
  <c r="M2002" i="1"/>
  <c r="N2001" i="1"/>
  <c r="M2001" i="1"/>
  <c r="N2000" i="1"/>
  <c r="M2000" i="1"/>
  <c r="N1999" i="1"/>
  <c r="M1999" i="1"/>
  <c r="N1998" i="1"/>
  <c r="M1998" i="1"/>
  <c r="N1997" i="1"/>
  <c r="M1997" i="1"/>
  <c r="N1996" i="1"/>
  <c r="M1996" i="1"/>
  <c r="N1995" i="1"/>
  <c r="M1995" i="1"/>
  <c r="N1994" i="1"/>
  <c r="M1994" i="1"/>
  <c r="N1993" i="1"/>
  <c r="M1993" i="1"/>
  <c r="N1992" i="1"/>
  <c r="M1992" i="1"/>
  <c r="N1991" i="1"/>
  <c r="M1991" i="1"/>
  <c r="N1990" i="1"/>
  <c r="M1990" i="1"/>
  <c r="N1989" i="1"/>
  <c r="M1989" i="1"/>
  <c r="N1988" i="1"/>
  <c r="M1988" i="1"/>
  <c r="N1987" i="1"/>
  <c r="M1987" i="1"/>
  <c r="N1986" i="1"/>
  <c r="M1986" i="1"/>
  <c r="N1985" i="1"/>
  <c r="M1985" i="1"/>
  <c r="N1984" i="1"/>
  <c r="M1984" i="1"/>
  <c r="N1983" i="1"/>
  <c r="M1983" i="1"/>
  <c r="N1982" i="1"/>
  <c r="M1982" i="1"/>
  <c r="N1981" i="1"/>
  <c r="M1981" i="1"/>
  <c r="N1980" i="1"/>
  <c r="M1980" i="1"/>
  <c r="N1979" i="1"/>
  <c r="M1979" i="1"/>
  <c r="N1978" i="1"/>
  <c r="M1978" i="1"/>
  <c r="N1977" i="1"/>
  <c r="M1977" i="1"/>
  <c r="N1976" i="1"/>
  <c r="M1976" i="1"/>
  <c r="N1975" i="1"/>
  <c r="M1975" i="1"/>
  <c r="N1974" i="1"/>
  <c r="M1974" i="1"/>
  <c r="N1973" i="1"/>
  <c r="M1973" i="1"/>
  <c r="N1972" i="1"/>
  <c r="M1972" i="1"/>
  <c r="N1971" i="1"/>
  <c r="M1971" i="1"/>
  <c r="N1970" i="1"/>
  <c r="M1970" i="1"/>
  <c r="N1969" i="1"/>
  <c r="M1969" i="1"/>
  <c r="N1968" i="1"/>
  <c r="M1968" i="1"/>
  <c r="N1967" i="1"/>
  <c r="M1967" i="1"/>
  <c r="N1966" i="1"/>
  <c r="M1966" i="1"/>
  <c r="N1965" i="1"/>
  <c r="M1965" i="1"/>
  <c r="N1964" i="1"/>
  <c r="M1964" i="1"/>
  <c r="N1963" i="1"/>
  <c r="M1963" i="1"/>
  <c r="N1962" i="1"/>
  <c r="M1962" i="1"/>
  <c r="N1961" i="1"/>
  <c r="M1961" i="1"/>
  <c r="N1960" i="1"/>
  <c r="M1960" i="1"/>
  <c r="N1959" i="1"/>
  <c r="M1959" i="1"/>
  <c r="N1958" i="1"/>
  <c r="M1958" i="1"/>
  <c r="N1957" i="1"/>
  <c r="M1957" i="1"/>
  <c r="N1956" i="1"/>
  <c r="M1956" i="1"/>
  <c r="N1955" i="1"/>
  <c r="M1955" i="1"/>
  <c r="N1954" i="1"/>
  <c r="M1954" i="1"/>
  <c r="N1953" i="1"/>
  <c r="M1953" i="1"/>
  <c r="N1952" i="1"/>
  <c r="M1952" i="1"/>
  <c r="N1951" i="1"/>
  <c r="M1951" i="1"/>
  <c r="N1950" i="1"/>
  <c r="M1950" i="1"/>
  <c r="N1949" i="1"/>
  <c r="M1949" i="1"/>
  <c r="N1948" i="1"/>
  <c r="M1948" i="1"/>
  <c r="N1947" i="1"/>
  <c r="M1947" i="1"/>
  <c r="N1946" i="1"/>
  <c r="M1946" i="1"/>
  <c r="N1945" i="1"/>
  <c r="M1945" i="1"/>
  <c r="N1944" i="1"/>
  <c r="M1944" i="1"/>
  <c r="N1943" i="1"/>
  <c r="M1943" i="1"/>
  <c r="N1942" i="1"/>
  <c r="M1942" i="1"/>
  <c r="N1941" i="1"/>
  <c r="M1941" i="1"/>
  <c r="N1940" i="1"/>
  <c r="M1940" i="1"/>
  <c r="N1939" i="1"/>
  <c r="M1939" i="1"/>
  <c r="N1938" i="1"/>
  <c r="M1938" i="1"/>
  <c r="N1937" i="1"/>
  <c r="M1937" i="1"/>
  <c r="N1936" i="1"/>
  <c r="M1936" i="1"/>
  <c r="N1935" i="1"/>
  <c r="M1935" i="1"/>
  <c r="N1934" i="1"/>
  <c r="M1934" i="1"/>
  <c r="N1933" i="1"/>
  <c r="M1933" i="1"/>
  <c r="N1932" i="1"/>
  <c r="M1932" i="1"/>
  <c r="N1931" i="1"/>
  <c r="M1931" i="1"/>
  <c r="N1930" i="1"/>
  <c r="M1930" i="1"/>
  <c r="N1929" i="1"/>
  <c r="M1929" i="1"/>
  <c r="N1928" i="1"/>
  <c r="M1928" i="1"/>
  <c r="N1927" i="1"/>
  <c r="M1927" i="1"/>
  <c r="N1926" i="1"/>
  <c r="M1926" i="1"/>
  <c r="N1925" i="1"/>
  <c r="M1925" i="1"/>
  <c r="N1924" i="1"/>
  <c r="M1924" i="1"/>
  <c r="N1923" i="1"/>
  <c r="M1923" i="1"/>
  <c r="N1922" i="1"/>
  <c r="M1922" i="1"/>
  <c r="N1921" i="1"/>
  <c r="M1921" i="1"/>
  <c r="N1920" i="1"/>
  <c r="M1920" i="1"/>
  <c r="N1919" i="1"/>
  <c r="M1919" i="1"/>
  <c r="N1918" i="1"/>
  <c r="M1918" i="1"/>
  <c r="N1917" i="1"/>
  <c r="M1917" i="1"/>
  <c r="N1916" i="1"/>
  <c r="M1916" i="1"/>
  <c r="N1915" i="1"/>
  <c r="M1915" i="1"/>
  <c r="N1914" i="1"/>
  <c r="M1914" i="1"/>
  <c r="N1913" i="1"/>
  <c r="M1913" i="1"/>
  <c r="N1912" i="1"/>
  <c r="M1912" i="1"/>
  <c r="N1911" i="1"/>
  <c r="M1911" i="1"/>
  <c r="N1910" i="1"/>
  <c r="M1910" i="1"/>
  <c r="N1909" i="1"/>
  <c r="M1909" i="1"/>
  <c r="N1908" i="1"/>
  <c r="M1908" i="1"/>
  <c r="N1907" i="1"/>
  <c r="M1907" i="1"/>
  <c r="N1906" i="1"/>
  <c r="M1906" i="1"/>
  <c r="N1905" i="1"/>
  <c r="M1905" i="1"/>
  <c r="N1904" i="1"/>
  <c r="M1904" i="1"/>
  <c r="N1903" i="1"/>
  <c r="M1903" i="1"/>
  <c r="N1902" i="1"/>
  <c r="M1902" i="1"/>
  <c r="N1901" i="1"/>
  <c r="M1901" i="1"/>
  <c r="N1900" i="1"/>
  <c r="M1900" i="1"/>
  <c r="N1899" i="1"/>
  <c r="M1899" i="1"/>
  <c r="N1898" i="1"/>
  <c r="M1898" i="1"/>
  <c r="N1897" i="1"/>
  <c r="M1897" i="1"/>
  <c r="N1896" i="1"/>
  <c r="M1896" i="1"/>
  <c r="N1895" i="1"/>
  <c r="M1895" i="1"/>
  <c r="N1894" i="1"/>
  <c r="M1894" i="1"/>
  <c r="N1893" i="1"/>
  <c r="M1893" i="1"/>
  <c r="N1892" i="1"/>
  <c r="M1892" i="1"/>
  <c r="N1891" i="1"/>
  <c r="M1891" i="1"/>
  <c r="N1890" i="1"/>
  <c r="M1890" i="1"/>
  <c r="N1889" i="1"/>
  <c r="M1889" i="1"/>
  <c r="N1888" i="1"/>
  <c r="M1888" i="1"/>
  <c r="N1887" i="1"/>
  <c r="M1887" i="1"/>
  <c r="N1886" i="1"/>
  <c r="M1886" i="1"/>
  <c r="N1885" i="1"/>
  <c r="M1885" i="1"/>
  <c r="N1884" i="1"/>
  <c r="M1884" i="1"/>
  <c r="N1883" i="1"/>
  <c r="M1883" i="1"/>
  <c r="N1882" i="1"/>
  <c r="M1882" i="1"/>
  <c r="N1881" i="1"/>
  <c r="M1881" i="1"/>
  <c r="N1880" i="1"/>
  <c r="M1880" i="1"/>
  <c r="N1879" i="1"/>
  <c r="M1879" i="1"/>
  <c r="N1878" i="1"/>
  <c r="M1878" i="1"/>
  <c r="N1877" i="1"/>
  <c r="M1877" i="1"/>
  <c r="N1876" i="1"/>
  <c r="M1876" i="1"/>
  <c r="N1875" i="1"/>
  <c r="M1875" i="1"/>
  <c r="N1874" i="1"/>
  <c r="M1874" i="1"/>
  <c r="N1873" i="1"/>
  <c r="M1873" i="1"/>
  <c r="N1872" i="1"/>
  <c r="M1872" i="1"/>
  <c r="N1871" i="1"/>
  <c r="M1871" i="1"/>
  <c r="N1870" i="1"/>
  <c r="M1870" i="1"/>
  <c r="N1869" i="1"/>
  <c r="M1869" i="1"/>
  <c r="N1868" i="1"/>
  <c r="M1868" i="1"/>
  <c r="N1867" i="1"/>
  <c r="M1867" i="1"/>
  <c r="N1866" i="1"/>
  <c r="M1866" i="1"/>
  <c r="N1865" i="1"/>
  <c r="M1865" i="1"/>
  <c r="N1864" i="1"/>
  <c r="M1864" i="1"/>
  <c r="N1863" i="1"/>
  <c r="M1863" i="1"/>
  <c r="N1862" i="1"/>
  <c r="M1862" i="1"/>
  <c r="N1861" i="1"/>
  <c r="M1861" i="1"/>
  <c r="N1860" i="1"/>
  <c r="M1860" i="1"/>
  <c r="N1859" i="1"/>
  <c r="M1859" i="1"/>
  <c r="N1858" i="1"/>
  <c r="M1858" i="1"/>
  <c r="N1857" i="1"/>
  <c r="M1857" i="1"/>
  <c r="N1856" i="1"/>
  <c r="M1856" i="1"/>
  <c r="N1855" i="1"/>
  <c r="M1855" i="1"/>
  <c r="N1854" i="1"/>
  <c r="M1854" i="1"/>
  <c r="N1853" i="1"/>
  <c r="M1853" i="1"/>
  <c r="N1852" i="1"/>
  <c r="M1852" i="1"/>
  <c r="N1851" i="1"/>
  <c r="M1851" i="1"/>
  <c r="N1850" i="1"/>
  <c r="M1850" i="1"/>
  <c r="N1849" i="1"/>
  <c r="M1849" i="1"/>
  <c r="N1848" i="1"/>
  <c r="M1848" i="1"/>
  <c r="N1847" i="1"/>
  <c r="M1847" i="1"/>
  <c r="N1846" i="1"/>
  <c r="M1846" i="1"/>
  <c r="N1845" i="1"/>
  <c r="M1845" i="1"/>
  <c r="N1844" i="1"/>
  <c r="M1844" i="1"/>
  <c r="N1843" i="1"/>
  <c r="M1843" i="1"/>
  <c r="N1842" i="1"/>
  <c r="M1842" i="1"/>
  <c r="N1841" i="1"/>
  <c r="M1841" i="1"/>
  <c r="N1840" i="1"/>
  <c r="M1840" i="1"/>
  <c r="N1839" i="1"/>
  <c r="M1839" i="1"/>
  <c r="N1838" i="1"/>
  <c r="M1838" i="1"/>
  <c r="N1837" i="1"/>
  <c r="M1837" i="1"/>
  <c r="N1836" i="1"/>
  <c r="M1836" i="1"/>
  <c r="N1835" i="1"/>
  <c r="M1835" i="1"/>
  <c r="N1834" i="1"/>
  <c r="M1834" i="1"/>
  <c r="N1833" i="1"/>
  <c r="M1833" i="1"/>
  <c r="N1832" i="1"/>
  <c r="M1832" i="1"/>
  <c r="N1831" i="1"/>
  <c r="M1831" i="1"/>
  <c r="N1830" i="1"/>
  <c r="M1830" i="1"/>
  <c r="N1829" i="1"/>
  <c r="M1829" i="1"/>
  <c r="N1828" i="1"/>
  <c r="M1828" i="1"/>
  <c r="N1827" i="1"/>
  <c r="M1827" i="1"/>
  <c r="N1826" i="1"/>
  <c r="M1826" i="1"/>
  <c r="N1825" i="1"/>
  <c r="M1825" i="1"/>
  <c r="N1824" i="1"/>
  <c r="M1824" i="1"/>
  <c r="N1823" i="1"/>
  <c r="M1823" i="1"/>
  <c r="N1822" i="1"/>
  <c r="M1822" i="1"/>
  <c r="N1821" i="1"/>
  <c r="M1821" i="1"/>
  <c r="N1820" i="1"/>
  <c r="M1820" i="1"/>
  <c r="N1819" i="1"/>
  <c r="M1819" i="1"/>
  <c r="N1818" i="1"/>
  <c r="M1818" i="1"/>
  <c r="N1817" i="1"/>
  <c r="M1817" i="1"/>
  <c r="N1816" i="1"/>
  <c r="M1816" i="1"/>
  <c r="N1815" i="1"/>
  <c r="M1815" i="1"/>
  <c r="N1814" i="1"/>
  <c r="M1814" i="1"/>
  <c r="N1813" i="1"/>
  <c r="M1813" i="1"/>
  <c r="N1812" i="1"/>
  <c r="M1812" i="1"/>
  <c r="N1811" i="1"/>
  <c r="M1811" i="1"/>
  <c r="N1810" i="1"/>
  <c r="M1810" i="1"/>
  <c r="N1809" i="1"/>
  <c r="M1809" i="1"/>
  <c r="N1808" i="1"/>
  <c r="M1808" i="1"/>
  <c r="N1807" i="1"/>
  <c r="M1807" i="1"/>
  <c r="N1806" i="1"/>
  <c r="M1806" i="1"/>
  <c r="N1805" i="1"/>
  <c r="M1805" i="1"/>
  <c r="N1804" i="1"/>
  <c r="M1804" i="1"/>
  <c r="N1803" i="1"/>
  <c r="M1803" i="1"/>
  <c r="N1802" i="1"/>
  <c r="M1802" i="1"/>
  <c r="N1801" i="1"/>
  <c r="M1801" i="1"/>
  <c r="N1800" i="1"/>
  <c r="M1800" i="1"/>
  <c r="N1799" i="1"/>
  <c r="M1799" i="1"/>
  <c r="N1798" i="1"/>
  <c r="M1798" i="1"/>
  <c r="N1797" i="1"/>
  <c r="M1797" i="1"/>
  <c r="N1796" i="1"/>
  <c r="M1796" i="1"/>
  <c r="N1795" i="1"/>
  <c r="M1795" i="1"/>
  <c r="N1794" i="1"/>
  <c r="M1794" i="1"/>
  <c r="N1793" i="1"/>
  <c r="M1793" i="1"/>
  <c r="N1792" i="1"/>
  <c r="M1792" i="1"/>
  <c r="N1791" i="1"/>
  <c r="M1791" i="1"/>
  <c r="N1790" i="1"/>
  <c r="M1790" i="1"/>
  <c r="N1789" i="1"/>
  <c r="M1789" i="1"/>
  <c r="N1788" i="1"/>
  <c r="M1788" i="1"/>
  <c r="N1787" i="1"/>
  <c r="M1787" i="1"/>
  <c r="N1786" i="1"/>
  <c r="M1786" i="1"/>
  <c r="N1785" i="1"/>
  <c r="M1785" i="1"/>
  <c r="N1784" i="1"/>
  <c r="M1784" i="1"/>
  <c r="N1783" i="1"/>
  <c r="M1783" i="1"/>
  <c r="N1782" i="1"/>
  <c r="M1782" i="1"/>
  <c r="N1781" i="1"/>
  <c r="M1781" i="1"/>
  <c r="N1780" i="1"/>
  <c r="M1780" i="1"/>
  <c r="N1779" i="1"/>
  <c r="M1779" i="1"/>
  <c r="N1778" i="1"/>
  <c r="M1778" i="1"/>
  <c r="N1777" i="1"/>
  <c r="M1777" i="1"/>
  <c r="N1776" i="1"/>
  <c r="M1776" i="1"/>
  <c r="N1775" i="1"/>
  <c r="M1775" i="1"/>
  <c r="N1774" i="1"/>
  <c r="M1774" i="1"/>
  <c r="N1773" i="1"/>
  <c r="M1773" i="1"/>
  <c r="N1772" i="1"/>
  <c r="M1772" i="1"/>
  <c r="N1771" i="1"/>
  <c r="M1771" i="1"/>
  <c r="N1770" i="1"/>
  <c r="M1770" i="1"/>
  <c r="N1769" i="1"/>
  <c r="M1769" i="1"/>
  <c r="N1768" i="1"/>
  <c r="M1768" i="1"/>
  <c r="N1767" i="1"/>
  <c r="M1767" i="1"/>
  <c r="N1766" i="1"/>
  <c r="M1766" i="1"/>
  <c r="N1765" i="1"/>
  <c r="M1765" i="1"/>
  <c r="N1764" i="1"/>
  <c r="M1764" i="1"/>
  <c r="N1763" i="1"/>
  <c r="M1763" i="1"/>
  <c r="N1762" i="1"/>
  <c r="M1762" i="1"/>
  <c r="N1761" i="1"/>
  <c r="M1761" i="1"/>
  <c r="N1760" i="1"/>
  <c r="M1760" i="1"/>
  <c r="N1759" i="1"/>
  <c r="M1759" i="1"/>
  <c r="N1758" i="1"/>
  <c r="M1758" i="1"/>
  <c r="N1757" i="1"/>
  <c r="M1757" i="1"/>
  <c r="N1756" i="1"/>
  <c r="M1756" i="1"/>
  <c r="N1755" i="1"/>
  <c r="M1755" i="1"/>
  <c r="N1754" i="1"/>
  <c r="M1754" i="1"/>
  <c r="N1753" i="1"/>
  <c r="M1753" i="1"/>
  <c r="N1752" i="1"/>
  <c r="M1752" i="1"/>
  <c r="N1751" i="1"/>
  <c r="M1751" i="1"/>
  <c r="N1750" i="1"/>
  <c r="M1750" i="1"/>
  <c r="N1749" i="1"/>
  <c r="M1749" i="1"/>
  <c r="N1748" i="1"/>
  <c r="M1748" i="1"/>
  <c r="N1747" i="1"/>
  <c r="M1747" i="1"/>
  <c r="N1746" i="1"/>
  <c r="M1746" i="1"/>
  <c r="N1745" i="1"/>
  <c r="M1745" i="1"/>
  <c r="N1744" i="1"/>
  <c r="M1744" i="1"/>
  <c r="N1743" i="1"/>
  <c r="M1743" i="1"/>
  <c r="N1742" i="1"/>
  <c r="M1742" i="1"/>
  <c r="N1741" i="1"/>
  <c r="M1741" i="1"/>
  <c r="N1740" i="1"/>
  <c r="M1740" i="1"/>
  <c r="N1739" i="1"/>
  <c r="M1739" i="1"/>
  <c r="N1738" i="1"/>
  <c r="M1738" i="1"/>
  <c r="N1737" i="1"/>
  <c r="M1737" i="1"/>
  <c r="N1736" i="1"/>
  <c r="M1736" i="1"/>
  <c r="N1735" i="1"/>
  <c r="M1735" i="1"/>
  <c r="N1734" i="1"/>
  <c r="M1734" i="1"/>
  <c r="N1733" i="1"/>
  <c r="M1733" i="1"/>
  <c r="N1732" i="1"/>
  <c r="M1732" i="1"/>
  <c r="N1731" i="1"/>
  <c r="M1731" i="1"/>
  <c r="N1730" i="1"/>
  <c r="M1730" i="1"/>
  <c r="N1729" i="1"/>
  <c r="M1729" i="1"/>
  <c r="N1728" i="1"/>
  <c r="M1728" i="1"/>
  <c r="N1727" i="1"/>
  <c r="M1727" i="1"/>
  <c r="N1726" i="1"/>
  <c r="M1726" i="1"/>
  <c r="N1725" i="1"/>
  <c r="M1725" i="1"/>
  <c r="N1724" i="1"/>
  <c r="M1724" i="1"/>
  <c r="N1723" i="1"/>
  <c r="M1723" i="1"/>
  <c r="N1722" i="1"/>
  <c r="M1722" i="1"/>
  <c r="N1721" i="1"/>
  <c r="M1721" i="1"/>
  <c r="N1720" i="1"/>
  <c r="M1720" i="1"/>
  <c r="N1719" i="1"/>
  <c r="M1719" i="1"/>
  <c r="N1718" i="1"/>
  <c r="M1718" i="1"/>
  <c r="N1717" i="1"/>
  <c r="M1717" i="1"/>
  <c r="N1716" i="1"/>
  <c r="M1716" i="1"/>
  <c r="N1715" i="1"/>
  <c r="M1715" i="1"/>
  <c r="N1714" i="1"/>
  <c r="M1714" i="1"/>
  <c r="N1713" i="1"/>
  <c r="M1713" i="1"/>
  <c r="N1712" i="1"/>
  <c r="M1712" i="1"/>
  <c r="N1711" i="1"/>
  <c r="M1711" i="1"/>
  <c r="N1710" i="1"/>
  <c r="M1710" i="1"/>
  <c r="N1709" i="1"/>
  <c r="M1709" i="1"/>
  <c r="N1708" i="1"/>
  <c r="M1708" i="1"/>
  <c r="N1707" i="1"/>
  <c r="M1707" i="1"/>
  <c r="N1706" i="1"/>
  <c r="M1706" i="1"/>
  <c r="N1705" i="1"/>
  <c r="M1705" i="1"/>
  <c r="N1704" i="1"/>
  <c r="M1704" i="1"/>
  <c r="N1703" i="1"/>
  <c r="M1703" i="1"/>
  <c r="N1702" i="1"/>
  <c r="M1702" i="1"/>
  <c r="N1701" i="1"/>
  <c r="M1701" i="1"/>
  <c r="N1700" i="1"/>
  <c r="M1700" i="1"/>
  <c r="N1699" i="1"/>
  <c r="M1699" i="1"/>
  <c r="N1698" i="1"/>
  <c r="M1698" i="1"/>
  <c r="N1697" i="1"/>
  <c r="M1697" i="1"/>
  <c r="N1696" i="1"/>
  <c r="M1696" i="1"/>
  <c r="N1695" i="1"/>
  <c r="M1695" i="1"/>
  <c r="N1694" i="1"/>
  <c r="M1694" i="1"/>
  <c r="N1693" i="1"/>
  <c r="M1693" i="1"/>
  <c r="N1692" i="1"/>
  <c r="M1692" i="1"/>
  <c r="N1691" i="1"/>
  <c r="M1691" i="1"/>
  <c r="N1690" i="1"/>
  <c r="M1690" i="1"/>
  <c r="N1689" i="1"/>
  <c r="M1689" i="1"/>
  <c r="N1688" i="1"/>
  <c r="M1688" i="1"/>
  <c r="N1687" i="1"/>
  <c r="M1687" i="1"/>
  <c r="N1686" i="1"/>
  <c r="M1686" i="1"/>
  <c r="N1685" i="1"/>
  <c r="M1685" i="1"/>
  <c r="N1684" i="1"/>
  <c r="M1684" i="1"/>
  <c r="N1683" i="1"/>
  <c r="M1683" i="1"/>
  <c r="N1682" i="1"/>
  <c r="M1682" i="1"/>
  <c r="N1681" i="1"/>
  <c r="M1681" i="1"/>
  <c r="N1680" i="1"/>
  <c r="M1680" i="1"/>
  <c r="N1679" i="1"/>
  <c r="M1679" i="1"/>
  <c r="N1678" i="1"/>
  <c r="M1678" i="1"/>
  <c r="N1677" i="1"/>
  <c r="M1677" i="1"/>
  <c r="N1676" i="1"/>
  <c r="M1676" i="1"/>
  <c r="N1675" i="1"/>
  <c r="M1675" i="1"/>
  <c r="N1674" i="1"/>
  <c r="M1674" i="1"/>
  <c r="N1673" i="1"/>
  <c r="M1673" i="1"/>
  <c r="N1672" i="1"/>
  <c r="M1672" i="1"/>
  <c r="N1671" i="1"/>
  <c r="M1671" i="1"/>
  <c r="N1670" i="1"/>
  <c r="M1670" i="1"/>
  <c r="N1669" i="1"/>
  <c r="M1669" i="1"/>
  <c r="N1668" i="1"/>
  <c r="M1668" i="1"/>
  <c r="N1667" i="1"/>
  <c r="M1667" i="1"/>
  <c r="N1666" i="1"/>
  <c r="M1666" i="1"/>
  <c r="N1665" i="1"/>
  <c r="M1665" i="1"/>
  <c r="N1664" i="1"/>
  <c r="M1664" i="1"/>
  <c r="N1663" i="1"/>
  <c r="M1663" i="1"/>
  <c r="N1662" i="1"/>
  <c r="M1662" i="1"/>
  <c r="N1661" i="1"/>
  <c r="M1661" i="1"/>
  <c r="N1660" i="1"/>
  <c r="M1660" i="1"/>
  <c r="N1659" i="1"/>
  <c r="M1659" i="1"/>
  <c r="N1658" i="1"/>
  <c r="M1658" i="1"/>
  <c r="N1657" i="1"/>
  <c r="M1657" i="1"/>
  <c r="N1656" i="1"/>
  <c r="M1656" i="1"/>
  <c r="N1655" i="1"/>
  <c r="M1655" i="1"/>
  <c r="N1654" i="1"/>
  <c r="M1654" i="1"/>
  <c r="N1653" i="1"/>
  <c r="M1653" i="1"/>
  <c r="N1652" i="1"/>
  <c r="M1652" i="1"/>
  <c r="N1651" i="1"/>
  <c r="M1651" i="1"/>
  <c r="N1650" i="1"/>
  <c r="M1650" i="1"/>
  <c r="N1649" i="1"/>
  <c r="M1649" i="1"/>
  <c r="N1648" i="1"/>
  <c r="M1648" i="1"/>
  <c r="N1647" i="1"/>
  <c r="M1647" i="1"/>
  <c r="N1646" i="1"/>
  <c r="M1646" i="1"/>
  <c r="N1645" i="1"/>
  <c r="M1645" i="1"/>
  <c r="N1644" i="1"/>
  <c r="M1644" i="1"/>
  <c r="N1643" i="1"/>
  <c r="M1643" i="1"/>
  <c r="N1642" i="1"/>
  <c r="M1642" i="1"/>
  <c r="N1641" i="1"/>
  <c r="M1641" i="1"/>
  <c r="N1640" i="1"/>
  <c r="M1640" i="1"/>
  <c r="N1639" i="1"/>
  <c r="M1639" i="1"/>
  <c r="N1638" i="1"/>
  <c r="M1638" i="1"/>
  <c r="N1637" i="1"/>
  <c r="M1637" i="1"/>
  <c r="N1636" i="1"/>
  <c r="M1636" i="1"/>
  <c r="N1635" i="1"/>
  <c r="M1635" i="1"/>
  <c r="N1634" i="1"/>
  <c r="M1634" i="1"/>
  <c r="N1633" i="1"/>
  <c r="M1633" i="1"/>
  <c r="N1632" i="1"/>
  <c r="M1632" i="1"/>
  <c r="N1631" i="1"/>
  <c r="M1631" i="1"/>
  <c r="N1630" i="1"/>
  <c r="M1630" i="1"/>
  <c r="N1629" i="1"/>
  <c r="M1629" i="1"/>
  <c r="N1628" i="1"/>
  <c r="M1628" i="1"/>
  <c r="N1627" i="1"/>
  <c r="M1627" i="1"/>
  <c r="N1626" i="1"/>
  <c r="M1626" i="1"/>
  <c r="N1625" i="1"/>
  <c r="M1625" i="1"/>
  <c r="N1624" i="1"/>
  <c r="M1624" i="1"/>
  <c r="N1623" i="1"/>
  <c r="M1623" i="1"/>
  <c r="N1622" i="1"/>
  <c r="M1622" i="1"/>
  <c r="N1621" i="1"/>
  <c r="M1621" i="1"/>
  <c r="N1620" i="1"/>
  <c r="M1620" i="1"/>
  <c r="N1619" i="1"/>
  <c r="M1619" i="1"/>
  <c r="N1618" i="1"/>
  <c r="M1618" i="1"/>
  <c r="N1617" i="1"/>
  <c r="M1617" i="1"/>
  <c r="N1616" i="1"/>
  <c r="M1616" i="1"/>
  <c r="N1615" i="1"/>
  <c r="M1615" i="1"/>
  <c r="N1614" i="1"/>
  <c r="M1614" i="1"/>
  <c r="N1613" i="1"/>
  <c r="M1613" i="1"/>
  <c r="N1612" i="1"/>
  <c r="M1612" i="1"/>
  <c r="N1611" i="1"/>
  <c r="M1611" i="1"/>
  <c r="N1610" i="1"/>
  <c r="M1610" i="1"/>
  <c r="N1609" i="1"/>
  <c r="M1609" i="1"/>
  <c r="N1608" i="1"/>
  <c r="M1608" i="1"/>
  <c r="N1607" i="1"/>
  <c r="M1607" i="1"/>
  <c r="N1606" i="1"/>
  <c r="M1606" i="1"/>
  <c r="N1605" i="1"/>
  <c r="M1605" i="1"/>
  <c r="N1604" i="1"/>
  <c r="M1604" i="1"/>
  <c r="N1603" i="1"/>
  <c r="M1603" i="1"/>
  <c r="N1602" i="1"/>
  <c r="M1602" i="1"/>
  <c r="N1601" i="1"/>
  <c r="M1601" i="1"/>
  <c r="N1600" i="1"/>
  <c r="M1600" i="1"/>
  <c r="N1599" i="1"/>
  <c r="M1599" i="1"/>
  <c r="N1598" i="1"/>
  <c r="M1598" i="1"/>
  <c r="N1597" i="1"/>
  <c r="M1597" i="1"/>
  <c r="N1596" i="1"/>
  <c r="M1596" i="1"/>
  <c r="N1595" i="1"/>
  <c r="M1595" i="1"/>
  <c r="N1594" i="1"/>
  <c r="M1594" i="1"/>
  <c r="N1593" i="1"/>
  <c r="M1593" i="1"/>
  <c r="N1592" i="1"/>
  <c r="M1592" i="1"/>
  <c r="N1591" i="1"/>
  <c r="M1591" i="1"/>
  <c r="N1590" i="1"/>
  <c r="M1590" i="1"/>
  <c r="N1589" i="1"/>
  <c r="M1589" i="1"/>
  <c r="N1588" i="1"/>
  <c r="M1588" i="1"/>
  <c r="N1587" i="1"/>
  <c r="M1587" i="1"/>
  <c r="N1586" i="1"/>
  <c r="M1586" i="1"/>
  <c r="N1585" i="1"/>
  <c r="M1585" i="1"/>
  <c r="N1584" i="1"/>
  <c r="M1584" i="1"/>
  <c r="N1583" i="1"/>
  <c r="M1583" i="1"/>
  <c r="N1582" i="1"/>
  <c r="M1582" i="1"/>
  <c r="N1581" i="1"/>
  <c r="M1581" i="1"/>
  <c r="N1580" i="1"/>
  <c r="M1580" i="1"/>
  <c r="N1579" i="1"/>
  <c r="M1579" i="1"/>
  <c r="N1578" i="1"/>
  <c r="M1578" i="1"/>
  <c r="N1577" i="1"/>
  <c r="M1577" i="1"/>
  <c r="N1576" i="1"/>
  <c r="M1576" i="1"/>
  <c r="N1575" i="1"/>
  <c r="M1575" i="1"/>
  <c r="N1574" i="1"/>
  <c r="M1574" i="1"/>
  <c r="N1573" i="1"/>
  <c r="M1573" i="1"/>
  <c r="N1572" i="1"/>
  <c r="M1572" i="1"/>
  <c r="N1571" i="1"/>
  <c r="M1571" i="1"/>
  <c r="N1570" i="1"/>
  <c r="M1570" i="1"/>
  <c r="N1569" i="1"/>
  <c r="M1569" i="1"/>
  <c r="N1568" i="1"/>
  <c r="M1568" i="1"/>
  <c r="N1567" i="1"/>
  <c r="M1567" i="1"/>
  <c r="N1566" i="1"/>
  <c r="M1566" i="1"/>
  <c r="N1565" i="1"/>
  <c r="M1565" i="1"/>
  <c r="N1564" i="1"/>
  <c r="M1564" i="1"/>
  <c r="N1563" i="1"/>
  <c r="M1563" i="1"/>
  <c r="N1562" i="1"/>
  <c r="M1562" i="1"/>
  <c r="N1561" i="1"/>
  <c r="M1561" i="1"/>
  <c r="N1560" i="1"/>
  <c r="M1560" i="1"/>
  <c r="N1559" i="1"/>
  <c r="M1559" i="1"/>
  <c r="N1558" i="1"/>
  <c r="M1558" i="1"/>
  <c r="N1557" i="1"/>
  <c r="M1557" i="1"/>
  <c r="N1556" i="1"/>
  <c r="M1556" i="1"/>
  <c r="N1555" i="1"/>
  <c r="M1555" i="1"/>
  <c r="N1554" i="1"/>
  <c r="M1554" i="1"/>
  <c r="N1553" i="1"/>
  <c r="M1553" i="1"/>
  <c r="N1552" i="1"/>
  <c r="M1552" i="1"/>
  <c r="N1551" i="1"/>
  <c r="M1551" i="1"/>
  <c r="N1550" i="1"/>
  <c r="M1550" i="1"/>
  <c r="N1549" i="1"/>
  <c r="M1549" i="1"/>
  <c r="N1548" i="1"/>
  <c r="M1548" i="1"/>
  <c r="N1547" i="1"/>
  <c r="M1547" i="1"/>
  <c r="N1546" i="1"/>
  <c r="M1546" i="1"/>
  <c r="N1545" i="1"/>
  <c r="M1545" i="1"/>
  <c r="N1544" i="1"/>
  <c r="M1544" i="1"/>
  <c r="N1543" i="1"/>
  <c r="M1543" i="1"/>
  <c r="N1542" i="1"/>
  <c r="M1542" i="1"/>
  <c r="N1541" i="1"/>
  <c r="M1541" i="1"/>
  <c r="N1540" i="1"/>
  <c r="M1540" i="1"/>
  <c r="N1539" i="1"/>
  <c r="M1539" i="1"/>
  <c r="N1538" i="1"/>
  <c r="M1538" i="1"/>
  <c r="N1537" i="1"/>
  <c r="M1537" i="1"/>
  <c r="N1536" i="1"/>
  <c r="M1536" i="1"/>
  <c r="N1535" i="1"/>
  <c r="M1535" i="1"/>
  <c r="N1534" i="1"/>
  <c r="M1534" i="1"/>
  <c r="N1533" i="1"/>
  <c r="M1533" i="1"/>
  <c r="N1532" i="1"/>
  <c r="M1532" i="1"/>
  <c r="N1531" i="1"/>
  <c r="M1531" i="1"/>
  <c r="N1530" i="1"/>
  <c r="M1530" i="1"/>
  <c r="N1529" i="1"/>
  <c r="M1529" i="1"/>
  <c r="N1528" i="1"/>
  <c r="M1528" i="1"/>
  <c r="N1527" i="1"/>
  <c r="M1527" i="1"/>
  <c r="N1526" i="1"/>
  <c r="M1526" i="1"/>
  <c r="N1525" i="1"/>
  <c r="M1525" i="1"/>
  <c r="N1524" i="1"/>
  <c r="M1524" i="1"/>
  <c r="N1523" i="1"/>
  <c r="M1523" i="1"/>
  <c r="N1522" i="1"/>
  <c r="M1522" i="1"/>
  <c r="N1521" i="1"/>
  <c r="M1521" i="1"/>
  <c r="N1520" i="1"/>
  <c r="M1520" i="1"/>
  <c r="N1519" i="1"/>
  <c r="M1519" i="1"/>
  <c r="N1518" i="1"/>
  <c r="M1518" i="1"/>
  <c r="N1517" i="1"/>
  <c r="M1517" i="1"/>
  <c r="N1516" i="1"/>
  <c r="M1516" i="1"/>
  <c r="N1515" i="1"/>
  <c r="M1515" i="1"/>
  <c r="N1514" i="1"/>
  <c r="M1514" i="1"/>
  <c r="N1513" i="1"/>
  <c r="M1513" i="1"/>
  <c r="N1512" i="1"/>
  <c r="M1512" i="1"/>
  <c r="N1511" i="1"/>
  <c r="M1511" i="1"/>
  <c r="N1510" i="1"/>
  <c r="M1510" i="1"/>
  <c r="N1509" i="1"/>
  <c r="M1509" i="1"/>
  <c r="N1508" i="1"/>
  <c r="M1508" i="1"/>
  <c r="N1507" i="1"/>
  <c r="M1507" i="1"/>
  <c r="N1506" i="1"/>
  <c r="M1506" i="1"/>
  <c r="N1505" i="1"/>
  <c r="M1505" i="1"/>
  <c r="N1504" i="1"/>
  <c r="M1504" i="1"/>
  <c r="N1503" i="1"/>
  <c r="M1503" i="1"/>
  <c r="N1502" i="1"/>
  <c r="M1502" i="1"/>
  <c r="N1501" i="1"/>
  <c r="M1501" i="1"/>
  <c r="N1500" i="1"/>
  <c r="M1500" i="1"/>
  <c r="N1499" i="1"/>
  <c r="M1499" i="1"/>
  <c r="N1498" i="1"/>
  <c r="M1498" i="1"/>
  <c r="N1497" i="1"/>
  <c r="M1497" i="1"/>
  <c r="N1496" i="1"/>
  <c r="M1496" i="1"/>
  <c r="N1495" i="1"/>
  <c r="M1495" i="1"/>
  <c r="N1494" i="1"/>
  <c r="M1494" i="1"/>
  <c r="N1493" i="1"/>
  <c r="M1493" i="1"/>
  <c r="N1492" i="1"/>
  <c r="M1492" i="1"/>
  <c r="N1491" i="1"/>
  <c r="M1491" i="1"/>
  <c r="N1490" i="1"/>
  <c r="M1490" i="1"/>
  <c r="N1489" i="1"/>
  <c r="M1489" i="1"/>
  <c r="N1488" i="1"/>
  <c r="M1488" i="1"/>
  <c r="N1487" i="1"/>
  <c r="M1487" i="1"/>
  <c r="N1486" i="1"/>
  <c r="M1486" i="1"/>
  <c r="N1485" i="1"/>
  <c r="M1485" i="1"/>
  <c r="N1484" i="1"/>
  <c r="M1484" i="1"/>
  <c r="N1483" i="1"/>
  <c r="M1483" i="1"/>
  <c r="N1482" i="1"/>
  <c r="M1482" i="1"/>
  <c r="N1481" i="1"/>
  <c r="M1481" i="1"/>
  <c r="N1480" i="1"/>
  <c r="M1480" i="1"/>
  <c r="N1479" i="1"/>
  <c r="M1479" i="1"/>
  <c r="N1478" i="1"/>
  <c r="M1478" i="1"/>
  <c r="N1477" i="1"/>
  <c r="M1477" i="1"/>
  <c r="N1476" i="1"/>
  <c r="M1476" i="1"/>
  <c r="N1475" i="1"/>
  <c r="M1475" i="1"/>
  <c r="N1474" i="1"/>
  <c r="M1474" i="1"/>
  <c r="N1473" i="1"/>
  <c r="M1473" i="1"/>
  <c r="N1472" i="1"/>
  <c r="M1472" i="1"/>
  <c r="N1471" i="1"/>
  <c r="M1471" i="1"/>
  <c r="N1470" i="1"/>
  <c r="M1470" i="1"/>
  <c r="N1469" i="1"/>
  <c r="M1469" i="1"/>
  <c r="N1468" i="1"/>
  <c r="M1468" i="1"/>
  <c r="N1467" i="1"/>
  <c r="M1467" i="1"/>
  <c r="N1466" i="1"/>
  <c r="M1466" i="1"/>
  <c r="N1465" i="1"/>
  <c r="M1465" i="1"/>
  <c r="N1464" i="1"/>
  <c r="M1464" i="1"/>
  <c r="N1463" i="1"/>
  <c r="M1463" i="1"/>
  <c r="N1462" i="1"/>
  <c r="M1462" i="1"/>
  <c r="N1461" i="1"/>
  <c r="M1461" i="1"/>
  <c r="N1460" i="1"/>
  <c r="M1460" i="1"/>
  <c r="N1459" i="1"/>
  <c r="M1459" i="1"/>
  <c r="N1458" i="1"/>
  <c r="M1458" i="1"/>
  <c r="N1457" i="1"/>
  <c r="M1457" i="1"/>
  <c r="N1456" i="1"/>
  <c r="M1456" i="1"/>
  <c r="N1455" i="1"/>
  <c r="M1455" i="1"/>
  <c r="N1454" i="1"/>
  <c r="M1454" i="1"/>
  <c r="N1453" i="1"/>
  <c r="M1453" i="1"/>
  <c r="N1452" i="1"/>
  <c r="M1452" i="1"/>
  <c r="N1451" i="1"/>
  <c r="M1451" i="1"/>
  <c r="N1450" i="1"/>
  <c r="M1450" i="1"/>
  <c r="N1449" i="1"/>
  <c r="M1449" i="1"/>
  <c r="N1448" i="1"/>
  <c r="M1448" i="1"/>
  <c r="N1447" i="1"/>
  <c r="M1447" i="1"/>
  <c r="N1446" i="1"/>
  <c r="M1446" i="1"/>
  <c r="N1445" i="1"/>
  <c r="M1445" i="1"/>
  <c r="N1444" i="1"/>
  <c r="M1444" i="1"/>
  <c r="N1443" i="1"/>
  <c r="M1443" i="1"/>
  <c r="N1442" i="1"/>
  <c r="M1442" i="1"/>
  <c r="N1441" i="1"/>
  <c r="M1441" i="1"/>
  <c r="N1440" i="1"/>
  <c r="M1440" i="1"/>
  <c r="N1439" i="1"/>
  <c r="M1439" i="1"/>
  <c r="N1438" i="1"/>
  <c r="M1438" i="1"/>
  <c r="N1437" i="1"/>
  <c r="M1437" i="1"/>
  <c r="N1436" i="1"/>
  <c r="M1436" i="1"/>
  <c r="N1435" i="1"/>
  <c r="M1435" i="1"/>
  <c r="N1434" i="1"/>
  <c r="M1434" i="1"/>
  <c r="N1433" i="1"/>
  <c r="M1433" i="1"/>
  <c r="N1432" i="1"/>
  <c r="M1432" i="1"/>
  <c r="N1431" i="1"/>
  <c r="M1431" i="1"/>
  <c r="N1430" i="1"/>
  <c r="M1430" i="1"/>
  <c r="N1429" i="1"/>
  <c r="M1429" i="1"/>
  <c r="N1428" i="1"/>
  <c r="M1428" i="1"/>
  <c r="N1427" i="1"/>
  <c r="M1427" i="1"/>
  <c r="N1426" i="1"/>
  <c r="M1426" i="1"/>
  <c r="N1425" i="1"/>
  <c r="M1425" i="1"/>
  <c r="N1424" i="1"/>
  <c r="M1424" i="1"/>
  <c r="N1423" i="1"/>
  <c r="M1423" i="1"/>
  <c r="N1422" i="1"/>
  <c r="M1422" i="1"/>
  <c r="N1421" i="1"/>
  <c r="M1421" i="1"/>
  <c r="N1420" i="1"/>
  <c r="M1420" i="1"/>
  <c r="N1419" i="1"/>
  <c r="M1419" i="1"/>
  <c r="N1418" i="1"/>
  <c r="M1418" i="1"/>
  <c r="N1417" i="1"/>
  <c r="M1417" i="1"/>
  <c r="N1416" i="1"/>
  <c r="M1416" i="1"/>
  <c r="N1415" i="1"/>
  <c r="M1415" i="1"/>
  <c r="N1414" i="1"/>
  <c r="M1414" i="1"/>
  <c r="N1413" i="1"/>
  <c r="M1413" i="1"/>
  <c r="N1412" i="1"/>
  <c r="M1412" i="1"/>
  <c r="N1411" i="1"/>
  <c r="M1411" i="1"/>
  <c r="N1410" i="1"/>
  <c r="M1410" i="1"/>
  <c r="N1409" i="1"/>
  <c r="M1409" i="1"/>
  <c r="N1408" i="1"/>
  <c r="M1408" i="1"/>
  <c r="N1407" i="1"/>
  <c r="M1407" i="1"/>
  <c r="N1406" i="1"/>
  <c r="M1406" i="1"/>
  <c r="N1405" i="1"/>
  <c r="M1405" i="1"/>
  <c r="N1404" i="1"/>
  <c r="M1404" i="1"/>
  <c r="N1403" i="1"/>
  <c r="M1403" i="1"/>
  <c r="N1402" i="1"/>
  <c r="M1402" i="1"/>
  <c r="N1401" i="1"/>
  <c r="M1401" i="1"/>
  <c r="N1400" i="1"/>
  <c r="M1400" i="1"/>
  <c r="N1399" i="1"/>
  <c r="M1399" i="1"/>
  <c r="N1398" i="1"/>
  <c r="M1398" i="1"/>
  <c r="N1397" i="1"/>
  <c r="M1397" i="1"/>
  <c r="N1396" i="1"/>
  <c r="M1396" i="1"/>
  <c r="N1395" i="1"/>
  <c r="M1395" i="1"/>
  <c r="N1394" i="1"/>
  <c r="M1394" i="1"/>
  <c r="N1393" i="1"/>
  <c r="M1393" i="1"/>
  <c r="N1392" i="1"/>
  <c r="M1392" i="1"/>
  <c r="N1391" i="1"/>
  <c r="M1391" i="1"/>
  <c r="N1390" i="1"/>
  <c r="M1390" i="1"/>
  <c r="N1389" i="1"/>
  <c r="M1389" i="1"/>
  <c r="N1388" i="1"/>
  <c r="M1388" i="1"/>
  <c r="N1387" i="1"/>
  <c r="M1387" i="1"/>
  <c r="N1386" i="1"/>
  <c r="M1386" i="1"/>
  <c r="N1385" i="1"/>
  <c r="M1385" i="1"/>
  <c r="N1384" i="1"/>
  <c r="M1384" i="1"/>
  <c r="N1383" i="1"/>
  <c r="M1383" i="1"/>
  <c r="N1382" i="1"/>
  <c r="M1382" i="1"/>
  <c r="N1381" i="1"/>
  <c r="M1381" i="1"/>
  <c r="N1380" i="1"/>
  <c r="M1380" i="1"/>
  <c r="N1379" i="1"/>
  <c r="M1379" i="1"/>
  <c r="N1378" i="1"/>
  <c r="M1378" i="1"/>
  <c r="N1377" i="1"/>
  <c r="M1377" i="1"/>
  <c r="N1376" i="1"/>
  <c r="M1376" i="1"/>
  <c r="N1375" i="1"/>
  <c r="M1375" i="1"/>
  <c r="N1374" i="1"/>
  <c r="M1374" i="1"/>
  <c r="N1373" i="1"/>
  <c r="M1373" i="1"/>
  <c r="N1372" i="1"/>
  <c r="M1372" i="1"/>
  <c r="N1371" i="1"/>
  <c r="M1371" i="1"/>
  <c r="N1370" i="1"/>
  <c r="M1370" i="1"/>
  <c r="N1369" i="1"/>
  <c r="M1369" i="1"/>
  <c r="N1368" i="1"/>
  <c r="M1368" i="1"/>
  <c r="N1367" i="1"/>
  <c r="M1367" i="1"/>
  <c r="N1366" i="1"/>
  <c r="M1366" i="1"/>
  <c r="N1365" i="1"/>
  <c r="M1365" i="1"/>
  <c r="N1364" i="1"/>
  <c r="M1364" i="1"/>
  <c r="N1363" i="1"/>
  <c r="M1363" i="1"/>
  <c r="N1362" i="1"/>
  <c r="M1362" i="1"/>
  <c r="N1361" i="1"/>
  <c r="M1361" i="1"/>
  <c r="N1360" i="1"/>
  <c r="M1360" i="1"/>
  <c r="N1359" i="1"/>
  <c r="M1359" i="1"/>
  <c r="N1358" i="1"/>
  <c r="M1358" i="1"/>
  <c r="N1357" i="1"/>
  <c r="M1357" i="1"/>
  <c r="N1356" i="1"/>
  <c r="M1356" i="1"/>
  <c r="N1355" i="1"/>
  <c r="M1355" i="1"/>
  <c r="N1354" i="1"/>
  <c r="M1354" i="1"/>
  <c r="N1353" i="1"/>
  <c r="M1353" i="1"/>
  <c r="N1352" i="1"/>
  <c r="M1352" i="1"/>
  <c r="N1351" i="1"/>
  <c r="M1351" i="1"/>
  <c r="N1350" i="1"/>
  <c r="M1350" i="1"/>
  <c r="N1349" i="1"/>
  <c r="M1349" i="1"/>
  <c r="N1348" i="1"/>
  <c r="M1348" i="1"/>
  <c r="N1347" i="1"/>
  <c r="M1347" i="1"/>
  <c r="N1346" i="1"/>
  <c r="M1346" i="1"/>
  <c r="N1345" i="1"/>
  <c r="M1345" i="1"/>
  <c r="N1344" i="1"/>
  <c r="M1344" i="1"/>
  <c r="N1343" i="1"/>
  <c r="M1343" i="1"/>
  <c r="N1342" i="1"/>
  <c r="M1342" i="1"/>
  <c r="N1341" i="1"/>
  <c r="M1341" i="1"/>
  <c r="N1340" i="1"/>
  <c r="M1340" i="1"/>
  <c r="N1339" i="1"/>
  <c r="M1339" i="1"/>
  <c r="N1338" i="1"/>
  <c r="M1338" i="1"/>
  <c r="N1337" i="1"/>
  <c r="M1337" i="1"/>
  <c r="N1336" i="1"/>
  <c r="M1336" i="1"/>
  <c r="N1335" i="1"/>
  <c r="M1335" i="1"/>
  <c r="N1334" i="1"/>
  <c r="M1334" i="1"/>
  <c r="N1333" i="1"/>
  <c r="M1333" i="1"/>
  <c r="N1332" i="1"/>
  <c r="M1332" i="1"/>
  <c r="N1331" i="1"/>
  <c r="M1331" i="1"/>
  <c r="N1330" i="1"/>
  <c r="M1330" i="1"/>
  <c r="N1329" i="1"/>
  <c r="M1329" i="1"/>
  <c r="N1328" i="1"/>
  <c r="M1328" i="1"/>
  <c r="N1327" i="1"/>
  <c r="M1327" i="1"/>
  <c r="N1326" i="1"/>
  <c r="M1326" i="1"/>
  <c r="N1325" i="1"/>
  <c r="M1325" i="1"/>
  <c r="N1324" i="1"/>
  <c r="M1324" i="1"/>
  <c r="N1323" i="1"/>
  <c r="M1323" i="1"/>
  <c r="N1322" i="1"/>
  <c r="M1322" i="1"/>
  <c r="N1321" i="1"/>
  <c r="M1321" i="1"/>
  <c r="N1320" i="1"/>
  <c r="M1320" i="1"/>
  <c r="N1319" i="1"/>
  <c r="M1319" i="1"/>
  <c r="N1318" i="1"/>
  <c r="M1318" i="1"/>
  <c r="N1317" i="1"/>
  <c r="M1317" i="1"/>
  <c r="N1316" i="1"/>
  <c r="M1316" i="1"/>
  <c r="N1315" i="1"/>
  <c r="M1315" i="1"/>
  <c r="N1314" i="1"/>
  <c r="M1314" i="1"/>
  <c r="N1313" i="1"/>
  <c r="M1313" i="1"/>
  <c r="N1312" i="1"/>
  <c r="M1312" i="1"/>
  <c r="N1311" i="1"/>
  <c r="M1311" i="1"/>
  <c r="N1310" i="1"/>
  <c r="M1310" i="1"/>
  <c r="N1309" i="1"/>
  <c r="M1309" i="1"/>
  <c r="N1308" i="1"/>
  <c r="M1308" i="1"/>
  <c r="N1307" i="1"/>
  <c r="M1307" i="1"/>
  <c r="N1306" i="1"/>
  <c r="M1306" i="1"/>
  <c r="N1305" i="1"/>
  <c r="M1305" i="1"/>
  <c r="N1304" i="1"/>
  <c r="M1304" i="1"/>
  <c r="N1303" i="1"/>
  <c r="M1303" i="1"/>
  <c r="N1302" i="1"/>
  <c r="M1302" i="1"/>
  <c r="N1301" i="1"/>
  <c r="M1301" i="1"/>
  <c r="N1300" i="1"/>
  <c r="M1300" i="1"/>
  <c r="N1299" i="1"/>
  <c r="M1299" i="1"/>
  <c r="N1298" i="1"/>
  <c r="M1298" i="1"/>
  <c r="N1297" i="1"/>
  <c r="M1297" i="1"/>
  <c r="N1296" i="1"/>
  <c r="M1296" i="1"/>
  <c r="N1295" i="1"/>
  <c r="M1295" i="1"/>
  <c r="N1294" i="1"/>
  <c r="M1294" i="1"/>
  <c r="N1293" i="1"/>
  <c r="M1293" i="1"/>
  <c r="N1292" i="1"/>
  <c r="M1292" i="1"/>
  <c r="N1291" i="1"/>
  <c r="M1291" i="1"/>
  <c r="N1290" i="1"/>
  <c r="M1290" i="1"/>
  <c r="N1289" i="1"/>
  <c r="M1289" i="1"/>
  <c r="N1288" i="1"/>
  <c r="M1288" i="1"/>
  <c r="N1287" i="1"/>
  <c r="M1287" i="1"/>
  <c r="N1286" i="1"/>
  <c r="M1286" i="1"/>
  <c r="N1285" i="1"/>
  <c r="M1285" i="1"/>
  <c r="N1284" i="1"/>
  <c r="M1284" i="1"/>
  <c r="N1283" i="1"/>
  <c r="M1283" i="1"/>
  <c r="N1282" i="1"/>
  <c r="M1282" i="1"/>
  <c r="N1281" i="1"/>
  <c r="M1281" i="1"/>
  <c r="N1280" i="1"/>
  <c r="M1280" i="1"/>
  <c r="N1279" i="1"/>
  <c r="M1279" i="1"/>
  <c r="N1278" i="1"/>
  <c r="M1278" i="1"/>
  <c r="N1277" i="1"/>
  <c r="M1277" i="1"/>
  <c r="N1276" i="1"/>
  <c r="M1276" i="1"/>
  <c r="N1275" i="1"/>
  <c r="M1275" i="1"/>
  <c r="N1274" i="1"/>
  <c r="M1274" i="1"/>
  <c r="N1273" i="1"/>
  <c r="M1273" i="1"/>
  <c r="N1272" i="1"/>
  <c r="M1272" i="1"/>
  <c r="N1271" i="1"/>
  <c r="M1271" i="1"/>
  <c r="N1270" i="1"/>
  <c r="M1270" i="1"/>
  <c r="N1269" i="1"/>
  <c r="M1269" i="1"/>
  <c r="N1268" i="1"/>
  <c r="M1268" i="1"/>
  <c r="N1267" i="1"/>
  <c r="M1267" i="1"/>
  <c r="N1266" i="1"/>
  <c r="M1266" i="1"/>
  <c r="N1265" i="1"/>
  <c r="M1265" i="1"/>
  <c r="N1264" i="1"/>
  <c r="M1264" i="1"/>
  <c r="N1263" i="1"/>
  <c r="M1263" i="1"/>
  <c r="N1262" i="1"/>
  <c r="M1262" i="1"/>
  <c r="N1261" i="1"/>
  <c r="M1261" i="1"/>
  <c r="N1260" i="1"/>
  <c r="M1260" i="1"/>
  <c r="N1259" i="1"/>
  <c r="M1259" i="1"/>
  <c r="N1258" i="1"/>
  <c r="M1258" i="1"/>
  <c r="N1257" i="1"/>
  <c r="M1257" i="1"/>
  <c r="N1256" i="1"/>
  <c r="M1256" i="1"/>
  <c r="N1255" i="1"/>
  <c r="M1255" i="1"/>
  <c r="N1254" i="1"/>
  <c r="M1254" i="1"/>
  <c r="N1253" i="1"/>
  <c r="M1253" i="1"/>
  <c r="N1252" i="1"/>
  <c r="M1252" i="1"/>
  <c r="N1251" i="1"/>
  <c r="M1251" i="1"/>
  <c r="N1250" i="1"/>
  <c r="M1250" i="1"/>
  <c r="N1249" i="1"/>
  <c r="M1249" i="1"/>
  <c r="N1248" i="1"/>
  <c r="M1248" i="1"/>
  <c r="N1247" i="1"/>
  <c r="M1247" i="1"/>
  <c r="N1246" i="1"/>
  <c r="M1246" i="1"/>
  <c r="N1245" i="1"/>
  <c r="M1245" i="1"/>
  <c r="N1244" i="1"/>
  <c r="M1244" i="1"/>
  <c r="N1243" i="1"/>
  <c r="M1243" i="1"/>
  <c r="N1242" i="1"/>
  <c r="M1242" i="1"/>
  <c r="N1241" i="1"/>
  <c r="M1241" i="1"/>
  <c r="N1240" i="1"/>
  <c r="M1240" i="1"/>
  <c r="N1239" i="1"/>
  <c r="M1239" i="1"/>
  <c r="N1238" i="1"/>
  <c r="M1238" i="1"/>
  <c r="N1237" i="1"/>
  <c r="M1237" i="1"/>
  <c r="N1236" i="1"/>
  <c r="M1236" i="1"/>
  <c r="N1235" i="1"/>
  <c r="M1235" i="1"/>
  <c r="N1234" i="1"/>
  <c r="M1234" i="1"/>
  <c r="N1233" i="1"/>
  <c r="M1233" i="1"/>
  <c r="N1232" i="1"/>
  <c r="M1232" i="1"/>
  <c r="N1231" i="1"/>
  <c r="M1231" i="1"/>
  <c r="N1230" i="1"/>
  <c r="M1230" i="1"/>
  <c r="N1229" i="1"/>
  <c r="M1229" i="1"/>
  <c r="N1228" i="1"/>
  <c r="M1228" i="1"/>
  <c r="N1227" i="1"/>
  <c r="M1227" i="1"/>
  <c r="N1226" i="1"/>
  <c r="M1226" i="1"/>
  <c r="N1225" i="1"/>
  <c r="M1225" i="1"/>
  <c r="N1224" i="1"/>
  <c r="M1224" i="1"/>
  <c r="N1223" i="1"/>
  <c r="M1223" i="1"/>
  <c r="N1222" i="1"/>
  <c r="M1222" i="1"/>
  <c r="N1221" i="1"/>
  <c r="M1221" i="1"/>
  <c r="N1220" i="1"/>
  <c r="M1220" i="1"/>
  <c r="N1219" i="1"/>
  <c r="M1219" i="1"/>
  <c r="N1218" i="1"/>
  <c r="M1218" i="1"/>
  <c r="N1217" i="1"/>
  <c r="M1217" i="1"/>
  <c r="N1216" i="1"/>
  <c r="M1216" i="1"/>
  <c r="N1215" i="1"/>
  <c r="M1215" i="1"/>
  <c r="N1214" i="1"/>
  <c r="M1214" i="1"/>
  <c r="N1213" i="1"/>
  <c r="M1213" i="1"/>
  <c r="N1212" i="1"/>
  <c r="M1212" i="1"/>
  <c r="N1211" i="1"/>
  <c r="M1211" i="1"/>
  <c r="N1210" i="1"/>
  <c r="M1210" i="1"/>
  <c r="N1209" i="1"/>
  <c r="M1209" i="1"/>
  <c r="N1208" i="1"/>
  <c r="M1208" i="1"/>
  <c r="N1207" i="1"/>
  <c r="M1207" i="1"/>
  <c r="N1206" i="1"/>
  <c r="M1206" i="1"/>
  <c r="N1205" i="1"/>
  <c r="M1205" i="1"/>
  <c r="N1204" i="1"/>
  <c r="M1204" i="1"/>
  <c r="N1203" i="1"/>
  <c r="M1203" i="1"/>
  <c r="N1202" i="1"/>
  <c r="M1202" i="1"/>
  <c r="N1201" i="1"/>
  <c r="M1201" i="1"/>
  <c r="N1200" i="1"/>
  <c r="M1200" i="1"/>
  <c r="N1199" i="1"/>
  <c r="M1199" i="1"/>
  <c r="N1198" i="1"/>
  <c r="M1198" i="1"/>
  <c r="N1197" i="1"/>
  <c r="M1197" i="1"/>
  <c r="N1196" i="1"/>
  <c r="M1196" i="1"/>
  <c r="N1195" i="1"/>
  <c r="M1195" i="1"/>
  <c r="N1194" i="1"/>
  <c r="M1194" i="1"/>
  <c r="N1193" i="1"/>
  <c r="M1193" i="1"/>
  <c r="N1192" i="1"/>
  <c r="M1192" i="1"/>
  <c r="N1191" i="1"/>
  <c r="M1191" i="1"/>
  <c r="N1190" i="1"/>
  <c r="M1190" i="1"/>
  <c r="N1189" i="1"/>
  <c r="M1189" i="1"/>
  <c r="N1188" i="1"/>
  <c r="M1188" i="1"/>
  <c r="N1187" i="1"/>
  <c r="M1187" i="1"/>
  <c r="N1186" i="1"/>
  <c r="M1186" i="1"/>
  <c r="N1185" i="1"/>
  <c r="M1185" i="1"/>
  <c r="N1184" i="1"/>
  <c r="M1184" i="1"/>
  <c r="N1183" i="1"/>
  <c r="M1183" i="1"/>
  <c r="N1182" i="1"/>
  <c r="M1182" i="1"/>
  <c r="N1181" i="1"/>
  <c r="M1181" i="1"/>
  <c r="N1180" i="1"/>
  <c r="M1180" i="1"/>
  <c r="N1179" i="1"/>
  <c r="M1179" i="1"/>
  <c r="N1178" i="1"/>
  <c r="M1178" i="1"/>
  <c r="N1177" i="1"/>
  <c r="M1177" i="1"/>
  <c r="N1176" i="1"/>
  <c r="M1176" i="1"/>
  <c r="N1175" i="1"/>
  <c r="M1175" i="1"/>
  <c r="N1174" i="1"/>
  <c r="M1174" i="1"/>
  <c r="N1173" i="1"/>
  <c r="M1173" i="1"/>
  <c r="N1172" i="1"/>
  <c r="M1172" i="1"/>
  <c r="N1171" i="1"/>
  <c r="M1171" i="1"/>
  <c r="N1170" i="1"/>
  <c r="M1170" i="1"/>
  <c r="N1169" i="1"/>
  <c r="M1169" i="1"/>
  <c r="N1168" i="1"/>
  <c r="M1168" i="1"/>
  <c r="N1167" i="1"/>
  <c r="M1167" i="1"/>
  <c r="N1166" i="1"/>
  <c r="M1166" i="1"/>
  <c r="N1165" i="1"/>
  <c r="M1165" i="1"/>
  <c r="N1164" i="1"/>
  <c r="M1164" i="1"/>
  <c r="N1163" i="1"/>
  <c r="M1163" i="1"/>
  <c r="N1162" i="1"/>
  <c r="M1162" i="1"/>
  <c r="N1161" i="1"/>
  <c r="M1161" i="1"/>
  <c r="N1160" i="1"/>
  <c r="M1160" i="1"/>
  <c r="N1159" i="1"/>
  <c r="M1159" i="1"/>
  <c r="N1158" i="1"/>
  <c r="M1158" i="1"/>
  <c r="N1157" i="1"/>
  <c r="M1157" i="1"/>
  <c r="N1156" i="1"/>
  <c r="M1156" i="1"/>
  <c r="N1155" i="1"/>
  <c r="M1155" i="1"/>
  <c r="N1154" i="1"/>
  <c r="M1154" i="1"/>
  <c r="N1153" i="1"/>
  <c r="M1153" i="1"/>
  <c r="N1152" i="1"/>
  <c r="M1152" i="1"/>
  <c r="N1151" i="1"/>
  <c r="M1151" i="1"/>
  <c r="N1150" i="1"/>
  <c r="M1150" i="1"/>
  <c r="N1149" i="1"/>
  <c r="M1149" i="1"/>
  <c r="N1148" i="1"/>
  <c r="M1148" i="1"/>
  <c r="N1147" i="1"/>
  <c r="M1147" i="1"/>
  <c r="N1146" i="1"/>
  <c r="M1146" i="1"/>
  <c r="N1145" i="1"/>
  <c r="M1145" i="1"/>
  <c r="N1144" i="1"/>
  <c r="M1144" i="1"/>
  <c r="N1143" i="1"/>
  <c r="M1143" i="1"/>
  <c r="N1142" i="1"/>
  <c r="M1142" i="1"/>
  <c r="N1141" i="1"/>
  <c r="M1141" i="1"/>
  <c r="N1140" i="1"/>
  <c r="M1140" i="1"/>
  <c r="N1139" i="1"/>
  <c r="M1139" i="1"/>
  <c r="N1138" i="1"/>
  <c r="M1138" i="1"/>
  <c r="N1137" i="1"/>
  <c r="M1137" i="1"/>
  <c r="N1136" i="1"/>
  <c r="M1136" i="1"/>
  <c r="N1135" i="1"/>
  <c r="M1135" i="1"/>
  <c r="N1134" i="1"/>
  <c r="M1134" i="1"/>
  <c r="N1133" i="1"/>
  <c r="M1133" i="1"/>
  <c r="N1132" i="1"/>
  <c r="M1132" i="1"/>
  <c r="N1131" i="1"/>
  <c r="M1131" i="1"/>
  <c r="N1130" i="1"/>
  <c r="M1130" i="1"/>
  <c r="N1129" i="1"/>
  <c r="M1129" i="1"/>
  <c r="N1128" i="1"/>
  <c r="M1128" i="1"/>
  <c r="N1127" i="1"/>
  <c r="M1127" i="1"/>
  <c r="N1126" i="1"/>
  <c r="M1126" i="1"/>
  <c r="N1125" i="1"/>
  <c r="M1125" i="1"/>
  <c r="N1124" i="1"/>
  <c r="M1124" i="1"/>
  <c r="N1123" i="1"/>
  <c r="M1123" i="1"/>
  <c r="N1122" i="1"/>
  <c r="M1122" i="1"/>
  <c r="N1121" i="1"/>
  <c r="M1121" i="1"/>
  <c r="N1120" i="1"/>
  <c r="M1120" i="1"/>
  <c r="N1119" i="1"/>
  <c r="M1119" i="1"/>
  <c r="N1118" i="1"/>
  <c r="M1118" i="1"/>
  <c r="N1117" i="1"/>
  <c r="M1117" i="1"/>
  <c r="N1116" i="1"/>
  <c r="M1116" i="1"/>
  <c r="N1115" i="1"/>
  <c r="M1115" i="1"/>
  <c r="N1114" i="1"/>
  <c r="M1114" i="1"/>
  <c r="N1113" i="1"/>
  <c r="M1113" i="1"/>
  <c r="N1112" i="1"/>
  <c r="M1112" i="1"/>
  <c r="N1111" i="1"/>
  <c r="M1111" i="1"/>
  <c r="N1110" i="1"/>
  <c r="M1110" i="1"/>
  <c r="N1109" i="1"/>
  <c r="M1109" i="1"/>
  <c r="N1108" i="1"/>
  <c r="M1108" i="1"/>
  <c r="N1107" i="1"/>
  <c r="M1107" i="1"/>
  <c r="N1106" i="1"/>
  <c r="M1106" i="1"/>
  <c r="N1105" i="1"/>
  <c r="M1105" i="1"/>
  <c r="N1104" i="1"/>
  <c r="M1104" i="1"/>
  <c r="N1103" i="1"/>
  <c r="M1103" i="1"/>
  <c r="N1102" i="1"/>
  <c r="M1102" i="1"/>
  <c r="N1101" i="1"/>
  <c r="M1101" i="1"/>
  <c r="N1100" i="1"/>
  <c r="M1100" i="1"/>
  <c r="N1099" i="1"/>
  <c r="M1099" i="1"/>
  <c r="N1098" i="1"/>
  <c r="M1098" i="1"/>
  <c r="N1097" i="1"/>
  <c r="M1097" i="1"/>
  <c r="N1096" i="1"/>
  <c r="M1096" i="1"/>
  <c r="N1095" i="1"/>
  <c r="M1095" i="1"/>
  <c r="N1094" i="1"/>
  <c r="M1094" i="1"/>
  <c r="N1093" i="1"/>
  <c r="M1093" i="1"/>
  <c r="N1092" i="1"/>
  <c r="M1092" i="1"/>
  <c r="N1091" i="1"/>
  <c r="M1091" i="1"/>
  <c r="N1090" i="1"/>
  <c r="M1090" i="1"/>
  <c r="N1089" i="1"/>
  <c r="M1089" i="1"/>
  <c r="N1088" i="1"/>
  <c r="M1088" i="1"/>
  <c r="N1087" i="1"/>
  <c r="M1087" i="1"/>
  <c r="N1086" i="1"/>
  <c r="M1086" i="1"/>
  <c r="N1085" i="1"/>
  <c r="M1085" i="1"/>
  <c r="N1084" i="1"/>
  <c r="M1084" i="1"/>
  <c r="N1083" i="1"/>
  <c r="M1083" i="1"/>
  <c r="N1082" i="1"/>
  <c r="M1082" i="1"/>
  <c r="N1081" i="1"/>
  <c r="M1081" i="1"/>
  <c r="N1080" i="1"/>
  <c r="M1080" i="1"/>
  <c r="N1079" i="1"/>
  <c r="M1079" i="1"/>
  <c r="N1078" i="1"/>
  <c r="M1078" i="1"/>
  <c r="N1077" i="1"/>
  <c r="M1077" i="1"/>
  <c r="N1076" i="1"/>
  <c r="M1076" i="1"/>
  <c r="N1075" i="1"/>
  <c r="M1075" i="1"/>
  <c r="N1074" i="1"/>
  <c r="M1074" i="1"/>
  <c r="N1073" i="1"/>
  <c r="M1073" i="1"/>
  <c r="N1072" i="1"/>
  <c r="M1072" i="1"/>
  <c r="N1071" i="1"/>
  <c r="M1071" i="1"/>
  <c r="N1070" i="1"/>
  <c r="M1070" i="1"/>
  <c r="N1069" i="1"/>
  <c r="M1069" i="1"/>
  <c r="N1068" i="1"/>
  <c r="M1068" i="1"/>
  <c r="N1067" i="1"/>
  <c r="M1067" i="1"/>
  <c r="N1066" i="1"/>
  <c r="M1066" i="1"/>
  <c r="N1065" i="1"/>
  <c r="M1065" i="1"/>
  <c r="N1064" i="1"/>
  <c r="M1064" i="1"/>
  <c r="N1063" i="1"/>
  <c r="M1063" i="1"/>
  <c r="N1062" i="1"/>
  <c r="M1062" i="1"/>
  <c r="N1061" i="1"/>
  <c r="M1061" i="1"/>
  <c r="N1060" i="1"/>
  <c r="M1060" i="1"/>
  <c r="N1059" i="1"/>
  <c r="M1059" i="1"/>
  <c r="N1058" i="1"/>
  <c r="M1058" i="1"/>
  <c r="N1057" i="1"/>
  <c r="M1057" i="1"/>
  <c r="N1056" i="1"/>
  <c r="M1056" i="1"/>
  <c r="N1055" i="1"/>
  <c r="M1055" i="1"/>
  <c r="N1054" i="1"/>
  <c r="M1054" i="1"/>
  <c r="N1053" i="1"/>
  <c r="M1053" i="1"/>
  <c r="N1052" i="1"/>
  <c r="M1052" i="1"/>
  <c r="N1051" i="1"/>
  <c r="M1051" i="1"/>
  <c r="N1050" i="1"/>
  <c r="M1050" i="1"/>
  <c r="N1049" i="1"/>
  <c r="M1049" i="1"/>
  <c r="N1048" i="1"/>
  <c r="M1048" i="1"/>
  <c r="N1047" i="1"/>
  <c r="M1047" i="1"/>
  <c r="N1046" i="1"/>
  <c r="M1046" i="1"/>
  <c r="N1045" i="1"/>
  <c r="M1045" i="1"/>
  <c r="N1044" i="1"/>
  <c r="M1044" i="1"/>
  <c r="N1043" i="1"/>
  <c r="M1043" i="1"/>
  <c r="N1042" i="1"/>
  <c r="M1042" i="1"/>
  <c r="N1041" i="1"/>
  <c r="M1041" i="1"/>
  <c r="N1040" i="1"/>
  <c r="M1040" i="1"/>
  <c r="N1039" i="1"/>
  <c r="M1039" i="1"/>
  <c r="N1038" i="1"/>
  <c r="M1038" i="1"/>
  <c r="N1037" i="1"/>
  <c r="M1037" i="1"/>
  <c r="N1036" i="1"/>
  <c r="M1036" i="1"/>
  <c r="N1035" i="1"/>
  <c r="M1035" i="1"/>
  <c r="N1034" i="1"/>
  <c r="M1034" i="1"/>
  <c r="N1033" i="1"/>
  <c r="M1033" i="1"/>
  <c r="N1032" i="1"/>
  <c r="M1032" i="1"/>
  <c r="N1031" i="1"/>
  <c r="M1031" i="1"/>
  <c r="N1030" i="1"/>
  <c r="M1030" i="1"/>
  <c r="N1029" i="1"/>
  <c r="M1029" i="1"/>
  <c r="N1028" i="1"/>
  <c r="M1028" i="1"/>
  <c r="N1027" i="1"/>
  <c r="M1027" i="1"/>
  <c r="N1026" i="1"/>
  <c r="M1026" i="1"/>
  <c r="N1025" i="1"/>
  <c r="M1025" i="1"/>
  <c r="N1024" i="1"/>
  <c r="M1024" i="1"/>
  <c r="N1023" i="1"/>
  <c r="M1023" i="1"/>
  <c r="N1022" i="1"/>
  <c r="M1022" i="1"/>
  <c r="N1021" i="1"/>
  <c r="M1021" i="1"/>
  <c r="N1020" i="1"/>
  <c r="M1020" i="1"/>
  <c r="N1019" i="1"/>
  <c r="M1019" i="1"/>
  <c r="N1018" i="1"/>
  <c r="M1018" i="1"/>
  <c r="N1017" i="1"/>
  <c r="M1017" i="1"/>
  <c r="N1016" i="1"/>
  <c r="M1016" i="1"/>
  <c r="N1015" i="1"/>
  <c r="M1015" i="1"/>
  <c r="N1014" i="1"/>
  <c r="M1014" i="1"/>
  <c r="N1013" i="1"/>
  <c r="M1013" i="1"/>
  <c r="N1012" i="1"/>
  <c r="M1012" i="1"/>
  <c r="N1011" i="1"/>
  <c r="M1011" i="1"/>
  <c r="N1010" i="1"/>
  <c r="M1010" i="1"/>
  <c r="N1009" i="1"/>
  <c r="M1009" i="1"/>
  <c r="N1008" i="1"/>
  <c r="M1008" i="1"/>
  <c r="N1007" i="1"/>
  <c r="M1007" i="1"/>
  <c r="N1006" i="1"/>
  <c r="M1006" i="1"/>
  <c r="N1005" i="1"/>
  <c r="M1005" i="1"/>
  <c r="N1004" i="1"/>
  <c r="M1004" i="1"/>
  <c r="N1003" i="1"/>
  <c r="M1003" i="1"/>
  <c r="N1002" i="1"/>
  <c r="M1002" i="1"/>
  <c r="N1001" i="1"/>
  <c r="M1001" i="1"/>
  <c r="N1000" i="1"/>
  <c r="M1000" i="1"/>
  <c r="N999" i="1"/>
  <c r="M999" i="1"/>
  <c r="N998" i="1"/>
  <c r="M998" i="1"/>
  <c r="N997" i="1"/>
  <c r="M997" i="1"/>
  <c r="N996" i="1"/>
  <c r="M996" i="1"/>
  <c r="N995" i="1"/>
  <c r="M995" i="1"/>
  <c r="N994" i="1"/>
  <c r="M994" i="1"/>
  <c r="N993" i="1"/>
  <c r="M993" i="1"/>
  <c r="N992" i="1"/>
  <c r="M992" i="1"/>
  <c r="N991" i="1"/>
  <c r="M991" i="1"/>
  <c r="N990" i="1"/>
  <c r="M990" i="1"/>
  <c r="N989" i="1"/>
  <c r="M989" i="1"/>
  <c r="N988" i="1"/>
  <c r="M988" i="1"/>
  <c r="N987" i="1"/>
  <c r="M987" i="1"/>
  <c r="N986" i="1"/>
  <c r="M986" i="1"/>
  <c r="N985" i="1"/>
  <c r="M985" i="1"/>
  <c r="N984" i="1"/>
  <c r="M984" i="1"/>
  <c r="N983" i="1"/>
  <c r="M983" i="1"/>
  <c r="N982" i="1"/>
  <c r="M982" i="1"/>
  <c r="N981" i="1"/>
  <c r="M981" i="1"/>
  <c r="N980" i="1"/>
  <c r="M980" i="1"/>
  <c r="N979" i="1"/>
  <c r="M979" i="1"/>
  <c r="N978" i="1"/>
  <c r="M978" i="1"/>
  <c r="N977" i="1"/>
  <c r="M977" i="1"/>
  <c r="N976" i="1"/>
  <c r="M976" i="1"/>
  <c r="N975" i="1"/>
  <c r="M975" i="1"/>
  <c r="N974" i="1"/>
  <c r="M974" i="1"/>
  <c r="N973" i="1"/>
  <c r="M973" i="1"/>
  <c r="N972" i="1"/>
  <c r="M972" i="1"/>
  <c r="N971" i="1"/>
  <c r="M971" i="1"/>
  <c r="N970" i="1"/>
  <c r="M970" i="1"/>
  <c r="N969" i="1"/>
  <c r="M969" i="1"/>
  <c r="N968" i="1"/>
  <c r="M968" i="1"/>
  <c r="N967" i="1"/>
  <c r="M967" i="1"/>
  <c r="N966" i="1"/>
  <c r="M966" i="1"/>
  <c r="N965" i="1"/>
  <c r="M965" i="1"/>
  <c r="N964" i="1"/>
  <c r="M964" i="1"/>
  <c r="N963" i="1"/>
  <c r="M963" i="1"/>
  <c r="N962" i="1"/>
  <c r="M962" i="1"/>
  <c r="N961" i="1"/>
  <c r="M961" i="1"/>
  <c r="N960" i="1"/>
  <c r="M960" i="1"/>
  <c r="N959" i="1"/>
  <c r="M959" i="1"/>
  <c r="N958" i="1"/>
  <c r="M958" i="1"/>
  <c r="N957" i="1"/>
  <c r="M957" i="1"/>
  <c r="N956" i="1"/>
  <c r="M956" i="1"/>
  <c r="N955" i="1"/>
  <c r="M955" i="1"/>
  <c r="N954" i="1"/>
  <c r="M954" i="1"/>
  <c r="N953" i="1"/>
  <c r="M953" i="1"/>
  <c r="N952" i="1"/>
  <c r="M952" i="1"/>
  <c r="N951" i="1"/>
  <c r="M951" i="1"/>
  <c r="N950" i="1"/>
  <c r="M950" i="1"/>
  <c r="N949" i="1"/>
  <c r="M949" i="1"/>
  <c r="N948" i="1"/>
  <c r="M948" i="1"/>
  <c r="N947" i="1"/>
  <c r="M947" i="1"/>
  <c r="N946" i="1"/>
  <c r="M946" i="1"/>
  <c r="N945" i="1"/>
  <c r="M945" i="1"/>
  <c r="N944" i="1"/>
  <c r="M944" i="1"/>
  <c r="N943" i="1"/>
  <c r="M943" i="1"/>
  <c r="N942" i="1"/>
  <c r="M942" i="1"/>
  <c r="N941" i="1"/>
  <c r="M941" i="1"/>
  <c r="N940" i="1"/>
  <c r="M940" i="1"/>
  <c r="N939" i="1"/>
  <c r="M939" i="1"/>
  <c r="N938" i="1"/>
  <c r="M938" i="1"/>
  <c r="N937" i="1"/>
  <c r="M937" i="1"/>
  <c r="N936" i="1"/>
  <c r="M936" i="1"/>
  <c r="N935" i="1"/>
  <c r="M935" i="1"/>
  <c r="N934" i="1"/>
  <c r="M934" i="1"/>
  <c r="N933" i="1"/>
  <c r="M933" i="1"/>
  <c r="N932" i="1"/>
  <c r="M932" i="1"/>
  <c r="N931" i="1"/>
  <c r="M931" i="1"/>
  <c r="N930" i="1"/>
  <c r="M930" i="1"/>
  <c r="N929" i="1"/>
  <c r="M929" i="1"/>
  <c r="N928" i="1"/>
  <c r="M928" i="1"/>
  <c r="N927" i="1"/>
  <c r="M927" i="1"/>
  <c r="N926" i="1"/>
  <c r="M926" i="1"/>
  <c r="N925" i="1"/>
  <c r="M925" i="1"/>
  <c r="N924" i="1"/>
  <c r="M924" i="1"/>
  <c r="N923" i="1"/>
  <c r="M923" i="1"/>
  <c r="N922" i="1"/>
  <c r="M922" i="1"/>
  <c r="N921" i="1"/>
  <c r="M921" i="1"/>
  <c r="N920" i="1"/>
  <c r="M920" i="1"/>
  <c r="N919" i="1"/>
  <c r="M919" i="1"/>
  <c r="N918" i="1"/>
  <c r="M918" i="1"/>
  <c r="N917" i="1"/>
  <c r="M917" i="1"/>
  <c r="N916" i="1"/>
  <c r="M916" i="1"/>
  <c r="N915" i="1"/>
  <c r="M915" i="1"/>
  <c r="N914" i="1"/>
  <c r="M914" i="1"/>
  <c r="N913" i="1"/>
  <c r="M913" i="1"/>
  <c r="N912" i="1"/>
  <c r="M912" i="1"/>
  <c r="N911" i="1"/>
  <c r="M911" i="1"/>
  <c r="N910" i="1"/>
  <c r="M910" i="1"/>
  <c r="N909" i="1"/>
  <c r="M909" i="1"/>
  <c r="N908" i="1"/>
  <c r="M908" i="1"/>
  <c r="N907" i="1"/>
  <c r="M907" i="1"/>
  <c r="N906" i="1"/>
  <c r="M906" i="1"/>
  <c r="N905" i="1"/>
  <c r="M905" i="1"/>
  <c r="N904" i="1"/>
  <c r="M904" i="1"/>
  <c r="N903" i="1"/>
  <c r="M903" i="1"/>
  <c r="N902" i="1"/>
  <c r="M902" i="1"/>
  <c r="N901" i="1"/>
  <c r="M901" i="1"/>
  <c r="N900" i="1"/>
  <c r="M900" i="1"/>
  <c r="N899" i="1"/>
  <c r="M899" i="1"/>
  <c r="N898" i="1"/>
  <c r="M898" i="1"/>
  <c r="N897" i="1"/>
  <c r="M897" i="1"/>
  <c r="N896" i="1"/>
  <c r="M896" i="1"/>
  <c r="N895" i="1"/>
  <c r="M895" i="1"/>
  <c r="N894" i="1"/>
  <c r="M894" i="1"/>
  <c r="N893" i="1"/>
  <c r="M893" i="1"/>
  <c r="N892" i="1"/>
  <c r="M892" i="1"/>
  <c r="N891" i="1"/>
  <c r="M891" i="1"/>
  <c r="N890" i="1"/>
  <c r="M890" i="1"/>
  <c r="N889" i="1"/>
  <c r="M889" i="1"/>
  <c r="N888" i="1"/>
  <c r="M888" i="1"/>
  <c r="N887" i="1"/>
  <c r="M887" i="1"/>
  <c r="N886" i="1"/>
  <c r="M886" i="1"/>
  <c r="N885" i="1"/>
  <c r="M885" i="1"/>
  <c r="N884" i="1"/>
  <c r="M884" i="1"/>
  <c r="N883" i="1"/>
  <c r="M883" i="1"/>
  <c r="N882" i="1"/>
  <c r="M882" i="1"/>
  <c r="N881" i="1"/>
  <c r="M881" i="1"/>
  <c r="N880" i="1"/>
  <c r="M880" i="1"/>
  <c r="N879" i="1"/>
  <c r="M879" i="1"/>
  <c r="N878" i="1"/>
  <c r="M878" i="1"/>
  <c r="N877" i="1"/>
  <c r="M877" i="1"/>
  <c r="N876" i="1"/>
  <c r="M876" i="1"/>
  <c r="N875" i="1"/>
  <c r="M875" i="1"/>
  <c r="N874" i="1"/>
  <c r="M874" i="1"/>
  <c r="N873" i="1"/>
  <c r="M873" i="1"/>
  <c r="N872" i="1"/>
  <c r="M872" i="1"/>
  <c r="N871" i="1"/>
  <c r="M871" i="1"/>
  <c r="N870" i="1"/>
  <c r="M870" i="1"/>
  <c r="N869" i="1"/>
  <c r="M869" i="1"/>
  <c r="N868" i="1"/>
  <c r="M868" i="1"/>
  <c r="N867" i="1"/>
  <c r="M867" i="1"/>
  <c r="N866" i="1"/>
  <c r="M866" i="1"/>
  <c r="N865" i="1"/>
  <c r="M865" i="1"/>
  <c r="N864" i="1"/>
  <c r="M864" i="1"/>
  <c r="N863" i="1"/>
  <c r="M863" i="1"/>
  <c r="N862" i="1"/>
  <c r="M862" i="1"/>
  <c r="N861" i="1"/>
  <c r="M861" i="1"/>
  <c r="N860" i="1"/>
  <c r="M860" i="1"/>
  <c r="N859" i="1"/>
  <c r="M859" i="1"/>
  <c r="N858" i="1"/>
  <c r="M858" i="1"/>
  <c r="N857" i="1"/>
  <c r="M857" i="1"/>
  <c r="N856" i="1"/>
  <c r="M856" i="1"/>
  <c r="N855" i="1"/>
  <c r="M855" i="1"/>
  <c r="N854" i="1"/>
  <c r="M854" i="1"/>
  <c r="N853" i="1"/>
  <c r="M853" i="1"/>
  <c r="N852" i="1"/>
  <c r="M852" i="1"/>
  <c r="N851" i="1"/>
  <c r="M851" i="1"/>
  <c r="N850" i="1"/>
  <c r="M850" i="1"/>
  <c r="N849" i="1"/>
  <c r="M849" i="1"/>
  <c r="N848" i="1"/>
  <c r="M848" i="1"/>
  <c r="N847" i="1"/>
  <c r="M847" i="1"/>
  <c r="N846" i="1"/>
  <c r="M846" i="1"/>
  <c r="N845" i="1"/>
  <c r="M845" i="1"/>
  <c r="N844" i="1"/>
  <c r="M844" i="1"/>
  <c r="N843" i="1"/>
  <c r="M843" i="1"/>
  <c r="N842" i="1"/>
  <c r="M842" i="1"/>
  <c r="N841" i="1"/>
  <c r="M841" i="1"/>
  <c r="N840" i="1"/>
  <c r="M840" i="1"/>
  <c r="N839" i="1"/>
  <c r="M839" i="1"/>
  <c r="N838" i="1"/>
  <c r="M838" i="1"/>
  <c r="N837" i="1"/>
  <c r="M837" i="1"/>
  <c r="N836" i="1"/>
  <c r="M836" i="1"/>
  <c r="N835" i="1"/>
  <c r="M835" i="1"/>
  <c r="N834" i="1"/>
  <c r="M834" i="1"/>
  <c r="N833" i="1"/>
  <c r="M833" i="1"/>
  <c r="N832" i="1"/>
  <c r="M832" i="1"/>
  <c r="N831" i="1"/>
  <c r="M831" i="1"/>
  <c r="N830" i="1"/>
  <c r="M830" i="1"/>
  <c r="N829" i="1"/>
  <c r="M829" i="1"/>
  <c r="N828" i="1"/>
  <c r="M828" i="1"/>
  <c r="N827" i="1"/>
  <c r="M827" i="1"/>
  <c r="N826" i="1"/>
  <c r="M826" i="1"/>
  <c r="N825" i="1"/>
  <c r="M825" i="1"/>
  <c r="N824" i="1"/>
  <c r="M824" i="1"/>
  <c r="N823" i="1"/>
  <c r="M823" i="1"/>
  <c r="N822" i="1"/>
  <c r="M822" i="1"/>
  <c r="N821" i="1"/>
  <c r="M821" i="1"/>
  <c r="N820" i="1"/>
  <c r="M820" i="1"/>
  <c r="N819" i="1"/>
  <c r="M819" i="1"/>
  <c r="N818" i="1"/>
  <c r="M818" i="1"/>
  <c r="N817" i="1"/>
  <c r="M817" i="1"/>
  <c r="N816" i="1"/>
  <c r="M816" i="1"/>
  <c r="N815" i="1"/>
  <c r="M815" i="1"/>
  <c r="N814" i="1"/>
  <c r="M814" i="1"/>
  <c r="N813" i="1"/>
  <c r="M813" i="1"/>
  <c r="N812" i="1"/>
  <c r="M812" i="1"/>
  <c r="N811" i="1"/>
  <c r="M811" i="1"/>
  <c r="N810" i="1"/>
  <c r="M810" i="1"/>
  <c r="N809" i="1"/>
  <c r="M809" i="1"/>
  <c r="N808" i="1"/>
  <c r="M808" i="1"/>
  <c r="N807" i="1"/>
  <c r="M807" i="1"/>
  <c r="N806" i="1"/>
  <c r="M806" i="1"/>
  <c r="N805" i="1"/>
  <c r="M805" i="1"/>
  <c r="N804" i="1"/>
  <c r="M804" i="1"/>
  <c r="N803" i="1"/>
  <c r="M803" i="1"/>
  <c r="N802" i="1"/>
  <c r="M802" i="1"/>
  <c r="N801" i="1"/>
  <c r="M801" i="1"/>
  <c r="N800" i="1"/>
  <c r="M800" i="1"/>
  <c r="N799" i="1"/>
  <c r="M799" i="1"/>
  <c r="N798" i="1"/>
  <c r="M798" i="1"/>
  <c r="N797" i="1"/>
  <c r="M797" i="1"/>
  <c r="N796" i="1"/>
  <c r="M796" i="1"/>
  <c r="N795" i="1"/>
  <c r="M795" i="1"/>
  <c r="N794" i="1"/>
  <c r="M794" i="1"/>
  <c r="N793" i="1"/>
  <c r="M793" i="1"/>
  <c r="N792" i="1"/>
  <c r="M792" i="1"/>
  <c r="N791" i="1"/>
  <c r="M791" i="1"/>
  <c r="N790" i="1"/>
  <c r="M790" i="1"/>
  <c r="N789" i="1"/>
  <c r="M789" i="1"/>
  <c r="N788" i="1"/>
  <c r="M788" i="1"/>
  <c r="N787" i="1"/>
  <c r="M787" i="1"/>
  <c r="N786" i="1"/>
  <c r="M786" i="1"/>
  <c r="N785" i="1"/>
  <c r="M785" i="1"/>
  <c r="N784" i="1"/>
  <c r="M784" i="1"/>
  <c r="N783" i="1"/>
  <c r="M783" i="1"/>
  <c r="N782" i="1"/>
  <c r="M782" i="1"/>
  <c r="N781" i="1"/>
  <c r="M781" i="1"/>
  <c r="N780" i="1"/>
  <c r="M780" i="1"/>
  <c r="N779" i="1"/>
  <c r="M779" i="1"/>
  <c r="N778" i="1"/>
  <c r="M778" i="1"/>
  <c r="N777" i="1"/>
  <c r="M777" i="1"/>
  <c r="N776" i="1"/>
  <c r="M776" i="1"/>
  <c r="N775" i="1"/>
  <c r="M775" i="1"/>
  <c r="N774" i="1"/>
  <c r="M774" i="1"/>
  <c r="N773" i="1"/>
  <c r="M773" i="1"/>
  <c r="N772" i="1"/>
  <c r="M772" i="1"/>
  <c r="N771" i="1"/>
  <c r="M771" i="1"/>
  <c r="N770" i="1"/>
  <c r="M770" i="1"/>
  <c r="N769" i="1"/>
  <c r="M769" i="1"/>
  <c r="N768" i="1"/>
  <c r="M768" i="1"/>
  <c r="N767" i="1"/>
  <c r="M767" i="1"/>
  <c r="N766" i="1"/>
  <c r="M766" i="1"/>
  <c r="N765" i="1"/>
  <c r="M765" i="1"/>
  <c r="N764" i="1"/>
  <c r="M764" i="1"/>
  <c r="N763" i="1"/>
  <c r="M763" i="1"/>
  <c r="N762" i="1"/>
  <c r="M762" i="1"/>
  <c r="N761" i="1"/>
  <c r="M761" i="1"/>
  <c r="N760" i="1"/>
  <c r="M760" i="1"/>
  <c r="N759" i="1"/>
  <c r="M759" i="1"/>
  <c r="N758" i="1"/>
  <c r="M758" i="1"/>
  <c r="N757" i="1"/>
  <c r="M757" i="1"/>
  <c r="N756" i="1"/>
  <c r="M756" i="1"/>
  <c r="N755" i="1"/>
  <c r="M755" i="1"/>
  <c r="N754" i="1"/>
  <c r="M754" i="1"/>
  <c r="N753" i="1"/>
  <c r="M753" i="1"/>
  <c r="N752" i="1"/>
  <c r="M752" i="1"/>
  <c r="N751" i="1"/>
  <c r="M751" i="1"/>
  <c r="N750" i="1"/>
  <c r="M750" i="1"/>
  <c r="N749" i="1"/>
  <c r="M749" i="1"/>
  <c r="N748" i="1"/>
  <c r="M748" i="1"/>
  <c r="N747" i="1"/>
  <c r="M747" i="1"/>
  <c r="N746" i="1"/>
  <c r="M746" i="1"/>
  <c r="N745" i="1"/>
  <c r="M745" i="1"/>
  <c r="N640" i="1"/>
  <c r="M640" i="1"/>
  <c r="N743" i="1"/>
  <c r="M743" i="1"/>
  <c r="N591" i="1"/>
  <c r="M591" i="1"/>
  <c r="N741" i="1"/>
  <c r="M741" i="1"/>
  <c r="N740" i="1"/>
  <c r="M740" i="1"/>
  <c r="N739" i="1"/>
  <c r="M739" i="1"/>
  <c r="N738" i="1"/>
  <c r="M738" i="1"/>
  <c r="N737" i="1"/>
  <c r="M737" i="1"/>
  <c r="N678" i="1"/>
  <c r="M678" i="1"/>
  <c r="N735" i="1"/>
  <c r="M735" i="1"/>
  <c r="N659" i="1"/>
  <c r="M659" i="1"/>
  <c r="N618" i="1"/>
  <c r="M618" i="1"/>
  <c r="N732" i="1"/>
  <c r="M732" i="1"/>
  <c r="N731" i="1"/>
  <c r="M731" i="1"/>
  <c r="N594" i="1"/>
  <c r="M594" i="1"/>
  <c r="N729" i="1"/>
  <c r="M729" i="1"/>
  <c r="N728" i="1"/>
  <c r="M728" i="1"/>
  <c r="N727" i="1"/>
  <c r="M727" i="1"/>
  <c r="N726" i="1"/>
  <c r="M726" i="1"/>
  <c r="N725" i="1"/>
  <c r="M725" i="1"/>
  <c r="N724" i="1"/>
  <c r="M724" i="1"/>
  <c r="N687" i="1"/>
  <c r="M687" i="1"/>
  <c r="N722" i="1"/>
  <c r="M722" i="1"/>
  <c r="N721" i="1"/>
  <c r="M721" i="1"/>
  <c r="N720" i="1"/>
  <c r="M720" i="1"/>
  <c r="N730" i="1"/>
  <c r="M730" i="1"/>
  <c r="N718" i="1"/>
  <c r="M718" i="1"/>
  <c r="N717" i="1"/>
  <c r="M717" i="1"/>
  <c r="N716" i="1"/>
  <c r="M716" i="1"/>
  <c r="N715" i="1"/>
  <c r="M715" i="1"/>
  <c r="N714" i="1"/>
  <c r="M714" i="1"/>
  <c r="N713" i="1"/>
  <c r="M713" i="1"/>
  <c r="N666" i="1"/>
  <c r="M666" i="1"/>
  <c r="N711" i="1"/>
  <c r="M711" i="1"/>
  <c r="N598" i="1"/>
  <c r="M598" i="1"/>
  <c r="N709" i="1"/>
  <c r="M709" i="1"/>
  <c r="N708" i="1"/>
  <c r="M708" i="1"/>
  <c r="N707" i="1"/>
  <c r="M707" i="1"/>
  <c r="N706" i="1"/>
  <c r="M706" i="1"/>
  <c r="N705" i="1"/>
  <c r="M705" i="1"/>
  <c r="N704" i="1"/>
  <c r="M704" i="1"/>
  <c r="N703" i="1"/>
  <c r="M703" i="1"/>
  <c r="N702" i="1"/>
  <c r="M702" i="1"/>
  <c r="N701" i="1"/>
  <c r="M701" i="1"/>
  <c r="N700" i="1"/>
  <c r="M700" i="1"/>
  <c r="N699" i="1"/>
  <c r="M699" i="1"/>
  <c r="N698" i="1"/>
  <c r="M698" i="1"/>
  <c r="N697" i="1"/>
  <c r="M697" i="1"/>
  <c r="N696" i="1"/>
  <c r="M696" i="1"/>
  <c r="N662" i="1"/>
  <c r="M662" i="1"/>
  <c r="N694" i="1"/>
  <c r="M694" i="1"/>
  <c r="N693" i="1"/>
  <c r="M693" i="1"/>
  <c r="N692" i="1"/>
  <c r="M692" i="1"/>
  <c r="N691" i="1"/>
  <c r="M691" i="1"/>
  <c r="N690" i="1"/>
  <c r="M690" i="1"/>
  <c r="N689" i="1"/>
  <c r="M689" i="1"/>
  <c r="N688" i="1"/>
  <c r="M688" i="1"/>
  <c r="N651" i="1"/>
  <c r="M651" i="1"/>
  <c r="N686" i="1"/>
  <c r="M686" i="1"/>
  <c r="N685" i="1"/>
  <c r="M685" i="1"/>
  <c r="N684" i="1"/>
  <c r="M684" i="1"/>
  <c r="N683" i="1"/>
  <c r="M683" i="1"/>
  <c r="N682" i="1"/>
  <c r="M682" i="1"/>
  <c r="N681" i="1"/>
  <c r="M681" i="1"/>
  <c r="N744" i="1"/>
  <c r="M744" i="1"/>
  <c r="N679" i="1"/>
  <c r="M679" i="1"/>
  <c r="N654" i="1"/>
  <c r="M654" i="1"/>
  <c r="N677" i="1"/>
  <c r="M677" i="1"/>
  <c r="N676" i="1"/>
  <c r="M676" i="1"/>
  <c r="N675" i="1"/>
  <c r="M675" i="1"/>
  <c r="N674" i="1"/>
  <c r="M674" i="1"/>
  <c r="N673" i="1"/>
  <c r="M673" i="1"/>
  <c r="N672" i="1"/>
  <c r="M672" i="1"/>
  <c r="N736" i="1"/>
  <c r="M736" i="1"/>
  <c r="N670" i="1"/>
  <c r="M670" i="1"/>
  <c r="N733" i="1"/>
  <c r="M733" i="1"/>
  <c r="N668" i="1"/>
  <c r="M668" i="1"/>
  <c r="N667" i="1"/>
  <c r="M667" i="1"/>
  <c r="N599" i="1"/>
  <c r="M599" i="1"/>
  <c r="N665" i="1"/>
  <c r="M665" i="1"/>
  <c r="N664" i="1"/>
  <c r="M664" i="1"/>
  <c r="N663" i="1"/>
  <c r="M663" i="1"/>
  <c r="N628" i="1"/>
  <c r="M628" i="1"/>
  <c r="N661" i="1"/>
  <c r="M661" i="1"/>
  <c r="N660" i="1"/>
  <c r="M660" i="1"/>
  <c r="N634" i="1"/>
  <c r="M634" i="1"/>
  <c r="N658" i="1"/>
  <c r="M658" i="1"/>
  <c r="N657" i="1"/>
  <c r="M657" i="1"/>
  <c r="N656" i="1"/>
  <c r="M656" i="1"/>
  <c r="N655" i="1"/>
  <c r="M655" i="1"/>
  <c r="N653" i="1"/>
  <c r="M653" i="1"/>
  <c r="N734" i="1"/>
  <c r="M734" i="1"/>
  <c r="N652" i="1"/>
  <c r="M652" i="1"/>
  <c r="N627" i="1"/>
  <c r="M627" i="1"/>
  <c r="N650" i="1"/>
  <c r="M650" i="1"/>
  <c r="N649" i="1"/>
  <c r="M649" i="1"/>
  <c r="N648" i="1"/>
  <c r="M648" i="1"/>
  <c r="N647" i="1"/>
  <c r="M647" i="1"/>
  <c r="N646" i="1"/>
  <c r="M646" i="1"/>
  <c r="N645" i="1"/>
  <c r="M645" i="1"/>
  <c r="N644" i="1"/>
  <c r="M644" i="1"/>
  <c r="N643" i="1"/>
  <c r="M643" i="1"/>
  <c r="N642" i="1"/>
  <c r="M642" i="1"/>
  <c r="N641" i="1"/>
  <c r="M641" i="1"/>
  <c r="N596" i="1"/>
  <c r="M596" i="1"/>
  <c r="N639" i="1"/>
  <c r="M639" i="1"/>
  <c r="N638" i="1"/>
  <c r="M638" i="1"/>
  <c r="N637" i="1"/>
  <c r="M637" i="1"/>
  <c r="N636" i="1"/>
  <c r="M636" i="1"/>
  <c r="N635" i="1"/>
  <c r="M635" i="1"/>
  <c r="N680" i="1"/>
  <c r="M680" i="1"/>
  <c r="N633" i="1"/>
  <c r="M633" i="1"/>
  <c r="N632" i="1"/>
  <c r="M632" i="1"/>
  <c r="N631" i="1"/>
  <c r="M631" i="1"/>
  <c r="N630" i="1"/>
  <c r="M630" i="1"/>
  <c r="N723" i="1"/>
  <c r="M723" i="1"/>
  <c r="N712" i="1"/>
  <c r="M712" i="1"/>
  <c r="N619" i="1"/>
  <c r="M619" i="1"/>
  <c r="N626" i="1"/>
  <c r="M626" i="1"/>
  <c r="N625" i="1"/>
  <c r="M625" i="1"/>
  <c r="N624" i="1"/>
  <c r="M624" i="1"/>
  <c r="N623" i="1"/>
  <c r="M623" i="1"/>
  <c r="N622" i="1"/>
  <c r="M622" i="1"/>
  <c r="N621" i="1"/>
  <c r="M621" i="1"/>
  <c r="N620" i="1"/>
  <c r="M620" i="1"/>
  <c r="N742" i="1"/>
  <c r="M742" i="1"/>
  <c r="N669" i="1"/>
  <c r="M669" i="1"/>
  <c r="N617" i="1"/>
  <c r="M617" i="1"/>
  <c r="N616" i="1"/>
  <c r="M616" i="1"/>
  <c r="N615" i="1"/>
  <c r="M615" i="1"/>
  <c r="N614" i="1"/>
  <c r="M614" i="1"/>
  <c r="N613" i="1"/>
  <c r="M613" i="1"/>
  <c r="N612" i="1"/>
  <c r="M612" i="1"/>
  <c r="N611" i="1"/>
  <c r="M611" i="1"/>
  <c r="N610" i="1"/>
  <c r="M610" i="1"/>
  <c r="N609" i="1"/>
  <c r="M609" i="1"/>
  <c r="N608" i="1"/>
  <c r="M608" i="1"/>
  <c r="N607" i="1"/>
  <c r="M607" i="1"/>
  <c r="N606" i="1"/>
  <c r="M606" i="1"/>
  <c r="N605" i="1"/>
  <c r="M605" i="1"/>
  <c r="N604" i="1"/>
  <c r="M604" i="1"/>
  <c r="N603" i="1"/>
  <c r="M603" i="1"/>
  <c r="N602" i="1"/>
  <c r="M602" i="1"/>
  <c r="N601" i="1"/>
  <c r="M601" i="1"/>
  <c r="N600" i="1"/>
  <c r="M600" i="1"/>
  <c r="N710" i="1"/>
  <c r="M710" i="1"/>
  <c r="N695" i="1"/>
  <c r="M695" i="1"/>
  <c r="N597" i="1"/>
  <c r="M597" i="1"/>
  <c r="N671" i="1"/>
  <c r="M671" i="1"/>
  <c r="N595" i="1"/>
  <c r="M595" i="1"/>
  <c r="N719" i="1"/>
  <c r="M719" i="1"/>
  <c r="N593" i="1"/>
  <c r="M593" i="1"/>
  <c r="N592" i="1"/>
  <c r="M592" i="1"/>
  <c r="N629" i="1"/>
  <c r="M629" i="1"/>
  <c r="N590" i="1"/>
  <c r="M590" i="1"/>
  <c r="N589" i="1"/>
  <c r="M589" i="1"/>
  <c r="N588" i="1"/>
  <c r="M588" i="1"/>
  <c r="N587" i="1"/>
  <c r="M587" i="1"/>
  <c r="N586" i="1"/>
  <c r="M586" i="1"/>
  <c r="N585" i="1"/>
  <c r="M585" i="1"/>
  <c r="N584" i="1"/>
  <c r="M584" i="1"/>
  <c r="N583" i="1"/>
  <c r="M583" i="1"/>
  <c r="N582" i="1"/>
  <c r="M582" i="1"/>
  <c r="N581" i="1"/>
  <c r="M581" i="1"/>
  <c r="N580" i="1"/>
  <c r="M580" i="1"/>
  <c r="N579" i="1"/>
  <c r="M579" i="1"/>
  <c r="N578" i="1"/>
  <c r="M578" i="1"/>
  <c r="N577" i="1"/>
  <c r="M577" i="1"/>
  <c r="N576" i="1"/>
  <c r="M576" i="1"/>
  <c r="N575" i="1"/>
  <c r="M575" i="1"/>
  <c r="N574" i="1"/>
  <c r="M574" i="1"/>
  <c r="N573" i="1"/>
  <c r="M573" i="1"/>
  <c r="N572" i="1"/>
  <c r="M572" i="1"/>
  <c r="N571" i="1"/>
  <c r="M571" i="1"/>
  <c r="N570" i="1"/>
  <c r="M570" i="1"/>
  <c r="N569" i="1"/>
  <c r="M569" i="1"/>
  <c r="N568" i="1"/>
  <c r="M568" i="1"/>
  <c r="N567" i="1"/>
  <c r="M567" i="1"/>
  <c r="N566" i="1"/>
  <c r="M566" i="1"/>
  <c r="N565" i="1"/>
  <c r="M565" i="1"/>
  <c r="N564" i="1"/>
  <c r="M564" i="1"/>
  <c r="N563" i="1"/>
  <c r="M563" i="1"/>
  <c r="N562" i="1"/>
  <c r="M562" i="1"/>
  <c r="N561" i="1"/>
  <c r="M561" i="1"/>
  <c r="N560" i="1"/>
  <c r="M560" i="1"/>
  <c r="N559" i="1"/>
  <c r="M559" i="1"/>
  <c r="N558" i="1"/>
  <c r="M558" i="1"/>
  <c r="N557" i="1"/>
  <c r="M557" i="1"/>
  <c r="N556" i="1"/>
  <c r="M556" i="1"/>
  <c r="N555" i="1"/>
  <c r="M555" i="1"/>
  <c r="N554" i="1"/>
  <c r="M554" i="1"/>
  <c r="N553" i="1"/>
  <c r="M553" i="1"/>
  <c r="N552" i="1"/>
  <c r="M552" i="1"/>
  <c r="N551" i="1"/>
  <c r="M551" i="1"/>
  <c r="N550" i="1"/>
  <c r="M550" i="1"/>
  <c r="N549" i="1"/>
  <c r="M549" i="1"/>
  <c r="N548" i="1"/>
  <c r="M548" i="1"/>
  <c r="N547" i="1"/>
  <c r="M547" i="1"/>
  <c r="N546" i="1"/>
  <c r="M546" i="1"/>
  <c r="N545" i="1"/>
  <c r="M545" i="1"/>
  <c r="N544" i="1"/>
  <c r="M544" i="1"/>
  <c r="N543" i="1"/>
  <c r="M543" i="1"/>
  <c r="N542" i="1"/>
  <c r="M542" i="1"/>
  <c r="N541" i="1"/>
  <c r="M541" i="1"/>
  <c r="N540" i="1"/>
  <c r="M540" i="1"/>
  <c r="N539" i="1"/>
  <c r="M539" i="1"/>
  <c r="N538" i="1"/>
  <c r="M538" i="1"/>
  <c r="N537" i="1"/>
  <c r="M537" i="1"/>
  <c r="N536" i="1"/>
  <c r="M536" i="1"/>
  <c r="N535" i="1"/>
  <c r="M535" i="1"/>
  <c r="N534" i="1"/>
  <c r="M534" i="1"/>
  <c r="N533" i="1"/>
  <c r="M533" i="1"/>
  <c r="N532" i="1"/>
  <c r="M532" i="1"/>
  <c r="N531" i="1"/>
  <c r="M531" i="1"/>
  <c r="N530" i="1"/>
  <c r="M530" i="1"/>
  <c r="N529" i="1"/>
  <c r="M529" i="1"/>
  <c r="N528" i="1"/>
  <c r="M528" i="1"/>
  <c r="N527" i="1"/>
  <c r="M527" i="1"/>
  <c r="N526" i="1"/>
  <c r="M526" i="1"/>
  <c r="N525" i="1"/>
  <c r="M525" i="1"/>
  <c r="N524" i="1"/>
  <c r="M524" i="1"/>
  <c r="N523" i="1"/>
  <c r="M523" i="1"/>
  <c r="N522" i="1"/>
  <c r="M522" i="1"/>
  <c r="N521" i="1"/>
  <c r="M521" i="1"/>
  <c r="N520" i="1"/>
  <c r="M520" i="1"/>
  <c r="N519" i="1"/>
  <c r="M519" i="1"/>
  <c r="N518" i="1"/>
  <c r="M518" i="1"/>
  <c r="N517" i="1"/>
  <c r="M517" i="1"/>
  <c r="N516" i="1"/>
  <c r="M516" i="1"/>
  <c r="N515" i="1"/>
  <c r="M515" i="1"/>
  <c r="N514" i="1"/>
  <c r="M514" i="1"/>
  <c r="N513" i="1"/>
  <c r="M513" i="1"/>
  <c r="N512" i="1"/>
  <c r="M512" i="1"/>
  <c r="N511" i="1"/>
  <c r="M511" i="1"/>
  <c r="N510" i="1"/>
  <c r="M510" i="1"/>
  <c r="N509" i="1"/>
  <c r="M509" i="1"/>
  <c r="N508" i="1"/>
  <c r="M508" i="1"/>
  <c r="N507" i="1"/>
  <c r="M507" i="1"/>
  <c r="N506" i="1"/>
  <c r="M506" i="1"/>
  <c r="N505" i="1"/>
  <c r="M505" i="1"/>
  <c r="N504" i="1"/>
  <c r="M504" i="1"/>
  <c r="N503" i="1"/>
  <c r="M503" i="1"/>
  <c r="N502" i="1"/>
  <c r="M502" i="1"/>
  <c r="N501" i="1"/>
  <c r="M501" i="1"/>
  <c r="N500" i="1"/>
  <c r="M500" i="1"/>
  <c r="N499" i="1"/>
  <c r="M499" i="1"/>
  <c r="N498" i="1"/>
  <c r="M498" i="1"/>
  <c r="N497" i="1"/>
  <c r="M497" i="1"/>
  <c r="N496" i="1"/>
  <c r="M496" i="1"/>
  <c r="N495" i="1"/>
  <c r="M495" i="1"/>
  <c r="N494" i="1"/>
  <c r="M494" i="1"/>
  <c r="N493" i="1"/>
  <c r="M493" i="1"/>
  <c r="N492" i="1"/>
  <c r="M492" i="1"/>
  <c r="N491" i="1"/>
  <c r="M491" i="1"/>
  <c r="N490" i="1"/>
  <c r="M490" i="1"/>
  <c r="N489" i="1"/>
  <c r="M489" i="1"/>
  <c r="N488" i="1"/>
  <c r="M488" i="1"/>
  <c r="N487" i="1"/>
  <c r="M487" i="1"/>
  <c r="N486" i="1"/>
  <c r="M486" i="1"/>
  <c r="N485" i="1"/>
  <c r="M485" i="1"/>
  <c r="N484" i="1"/>
  <c r="M484" i="1"/>
  <c r="N483" i="1"/>
  <c r="M483" i="1"/>
  <c r="N482" i="1"/>
  <c r="M482" i="1"/>
  <c r="N481" i="1"/>
  <c r="M481" i="1"/>
  <c r="N480" i="1"/>
  <c r="M480" i="1"/>
  <c r="N479" i="1"/>
  <c r="M479" i="1"/>
  <c r="N478" i="1"/>
  <c r="M478" i="1"/>
  <c r="N477" i="1"/>
  <c r="M477" i="1"/>
  <c r="N476" i="1"/>
  <c r="M476" i="1"/>
  <c r="N475" i="1"/>
  <c r="M475" i="1"/>
  <c r="N474" i="1"/>
  <c r="M474" i="1"/>
  <c r="N473" i="1"/>
  <c r="M473" i="1"/>
  <c r="N472" i="1"/>
  <c r="M472" i="1"/>
  <c r="N471" i="1"/>
  <c r="M471" i="1"/>
  <c r="N470" i="1"/>
  <c r="M470" i="1"/>
  <c r="N469" i="1"/>
  <c r="M469" i="1"/>
  <c r="N468" i="1"/>
  <c r="M468" i="1"/>
  <c r="N467" i="1"/>
  <c r="M467" i="1"/>
  <c r="N466" i="1"/>
  <c r="M466" i="1"/>
  <c r="N465" i="1"/>
  <c r="M465" i="1"/>
  <c r="N464" i="1"/>
  <c r="M464" i="1"/>
  <c r="N463" i="1"/>
  <c r="M463" i="1"/>
  <c r="N462" i="1"/>
  <c r="M462" i="1"/>
  <c r="N461" i="1"/>
  <c r="M461" i="1"/>
  <c r="N460" i="1"/>
  <c r="M460" i="1"/>
  <c r="N459" i="1"/>
  <c r="M459" i="1"/>
  <c r="N458" i="1"/>
  <c r="M458" i="1"/>
  <c r="N457" i="1"/>
  <c r="M457" i="1"/>
  <c r="N456" i="1"/>
  <c r="M456" i="1"/>
  <c r="N455" i="1"/>
  <c r="M455" i="1"/>
  <c r="N454" i="1"/>
  <c r="M454" i="1"/>
  <c r="N453" i="1"/>
  <c r="M453" i="1"/>
  <c r="N452" i="1"/>
  <c r="M452" i="1"/>
  <c r="N451" i="1"/>
  <c r="M451" i="1"/>
  <c r="N450" i="1"/>
  <c r="M450" i="1"/>
  <c r="N449" i="1"/>
  <c r="M449" i="1"/>
  <c r="N448" i="1"/>
  <c r="M448" i="1"/>
  <c r="N447" i="1"/>
  <c r="M447" i="1"/>
  <c r="N446" i="1"/>
  <c r="M446" i="1"/>
  <c r="N445" i="1"/>
  <c r="M445" i="1"/>
  <c r="N444" i="1"/>
  <c r="M444" i="1"/>
  <c r="N443" i="1"/>
  <c r="M443" i="1"/>
  <c r="N442" i="1"/>
  <c r="M442" i="1"/>
  <c r="N441" i="1"/>
  <c r="M441" i="1"/>
  <c r="N440" i="1"/>
  <c r="M440" i="1"/>
  <c r="N439" i="1"/>
  <c r="M439" i="1"/>
  <c r="N438" i="1"/>
  <c r="M438" i="1"/>
  <c r="N437" i="1"/>
  <c r="M437" i="1"/>
  <c r="N436" i="1"/>
  <c r="M436" i="1"/>
  <c r="N435" i="1"/>
  <c r="M435" i="1"/>
  <c r="N434" i="1"/>
  <c r="M434" i="1"/>
  <c r="N433" i="1"/>
  <c r="M433" i="1"/>
  <c r="N432" i="1"/>
  <c r="M432" i="1"/>
  <c r="N431" i="1"/>
  <c r="M431" i="1"/>
  <c r="N430" i="1"/>
  <c r="M430" i="1"/>
  <c r="N429" i="1"/>
  <c r="M429" i="1"/>
  <c r="N428" i="1"/>
  <c r="M428" i="1"/>
  <c r="N427" i="1"/>
  <c r="M427" i="1"/>
  <c r="N426" i="1"/>
  <c r="M426" i="1"/>
  <c r="N425" i="1"/>
  <c r="M425" i="1"/>
  <c r="N424" i="1"/>
  <c r="M424" i="1"/>
  <c r="N423" i="1"/>
  <c r="M423" i="1"/>
  <c r="N422" i="1"/>
  <c r="M422" i="1"/>
  <c r="N421" i="1"/>
  <c r="M421" i="1"/>
  <c r="N420" i="1"/>
  <c r="M420" i="1"/>
  <c r="N419" i="1"/>
  <c r="M419" i="1"/>
  <c r="N418" i="1"/>
  <c r="M418" i="1"/>
  <c r="N417" i="1"/>
  <c r="M417" i="1"/>
  <c r="N416" i="1"/>
  <c r="M416" i="1"/>
  <c r="N415" i="1"/>
  <c r="M415" i="1"/>
  <c r="N414" i="1"/>
  <c r="M414" i="1"/>
  <c r="N413" i="1"/>
  <c r="M413" i="1"/>
  <c r="N412" i="1"/>
  <c r="M412" i="1"/>
  <c r="N411" i="1"/>
  <c r="M411" i="1"/>
  <c r="N410" i="1"/>
  <c r="M410" i="1"/>
  <c r="N409" i="1"/>
  <c r="M409" i="1"/>
  <c r="N408" i="1"/>
  <c r="M408" i="1"/>
  <c r="N407" i="1"/>
  <c r="M407" i="1"/>
  <c r="N406" i="1"/>
  <c r="M406" i="1"/>
  <c r="N405" i="1"/>
  <c r="M405" i="1"/>
  <c r="N404" i="1"/>
  <c r="M404" i="1"/>
  <c r="N403" i="1"/>
  <c r="M403" i="1"/>
  <c r="N402" i="1"/>
  <c r="M402" i="1"/>
  <c r="N401" i="1"/>
  <c r="M401" i="1"/>
  <c r="N400" i="1"/>
  <c r="M400" i="1"/>
  <c r="N399" i="1"/>
  <c r="M399" i="1"/>
  <c r="N398" i="1"/>
  <c r="M398" i="1"/>
  <c r="N397" i="1"/>
  <c r="M397" i="1"/>
  <c r="N396" i="1"/>
  <c r="M396" i="1"/>
  <c r="N395" i="1"/>
  <c r="M395" i="1"/>
  <c r="N394" i="1"/>
  <c r="M394" i="1"/>
  <c r="N393" i="1"/>
  <c r="M393" i="1"/>
  <c r="N392" i="1"/>
  <c r="M392" i="1"/>
  <c r="N391" i="1"/>
  <c r="M391" i="1"/>
  <c r="N390" i="1"/>
  <c r="M390" i="1"/>
  <c r="N389" i="1"/>
  <c r="M389" i="1"/>
  <c r="N388" i="1"/>
  <c r="M388" i="1"/>
  <c r="N387" i="1"/>
  <c r="M387" i="1"/>
  <c r="N386" i="1"/>
  <c r="M386" i="1"/>
  <c r="N385" i="1"/>
  <c r="M385" i="1"/>
  <c r="N384" i="1"/>
  <c r="M384" i="1"/>
  <c r="N383" i="1"/>
  <c r="M383" i="1"/>
  <c r="N382" i="1"/>
  <c r="M382" i="1"/>
  <c r="N381" i="1"/>
  <c r="M381" i="1"/>
  <c r="N380" i="1"/>
  <c r="M380" i="1"/>
  <c r="N379" i="1"/>
  <c r="M379" i="1"/>
  <c r="N378" i="1"/>
  <c r="M378" i="1"/>
  <c r="N377" i="1"/>
  <c r="M377" i="1"/>
  <c r="N376" i="1"/>
  <c r="M376" i="1"/>
  <c r="N375" i="1"/>
  <c r="M375" i="1"/>
  <c r="N374" i="1"/>
  <c r="M374" i="1"/>
  <c r="N373" i="1"/>
  <c r="M373" i="1"/>
  <c r="N372" i="1"/>
  <c r="M372" i="1"/>
  <c r="N371" i="1"/>
  <c r="M371" i="1"/>
  <c r="N370" i="1"/>
  <c r="M370" i="1"/>
  <c r="N369" i="1"/>
  <c r="M369" i="1"/>
  <c r="N368" i="1"/>
  <c r="M368" i="1"/>
  <c r="N367" i="1"/>
  <c r="M367" i="1"/>
  <c r="N366" i="1"/>
  <c r="M366" i="1"/>
  <c r="N365" i="1"/>
  <c r="M365" i="1"/>
  <c r="N364" i="1"/>
  <c r="M364" i="1"/>
  <c r="N363" i="1"/>
  <c r="M363" i="1"/>
  <c r="N362" i="1"/>
  <c r="M362" i="1"/>
  <c r="N361" i="1"/>
  <c r="M361" i="1"/>
  <c r="N360" i="1"/>
  <c r="M360" i="1"/>
  <c r="N359" i="1"/>
  <c r="M359" i="1"/>
  <c r="N358" i="1"/>
  <c r="M358" i="1"/>
  <c r="N357" i="1"/>
  <c r="M357" i="1"/>
  <c r="N356" i="1"/>
  <c r="M356" i="1"/>
  <c r="N355" i="1"/>
  <c r="M355" i="1"/>
  <c r="N354" i="1"/>
  <c r="M354" i="1"/>
  <c r="N353" i="1"/>
  <c r="M353" i="1"/>
  <c r="N352" i="1"/>
  <c r="M352" i="1"/>
  <c r="N351" i="1"/>
  <c r="M351" i="1"/>
  <c r="N350" i="1"/>
  <c r="M350" i="1"/>
  <c r="N349" i="1"/>
  <c r="M349" i="1"/>
  <c r="N348" i="1"/>
  <c r="M348" i="1"/>
  <c r="N347" i="1"/>
  <c r="M347" i="1"/>
  <c r="N346" i="1"/>
  <c r="M346" i="1"/>
  <c r="N345" i="1"/>
  <c r="M345" i="1"/>
  <c r="N344" i="1"/>
  <c r="M344" i="1"/>
  <c r="N343" i="1"/>
  <c r="M343" i="1"/>
  <c r="N342" i="1"/>
  <c r="M342" i="1"/>
  <c r="N341" i="1"/>
  <c r="M341" i="1"/>
  <c r="N340" i="1"/>
  <c r="M340" i="1"/>
  <c r="N339" i="1"/>
  <c r="M339" i="1"/>
  <c r="N338" i="1"/>
  <c r="M338" i="1"/>
  <c r="N337" i="1"/>
  <c r="M337" i="1"/>
  <c r="N336" i="1"/>
  <c r="M336" i="1"/>
  <c r="N335" i="1"/>
  <c r="M335" i="1"/>
  <c r="N334" i="1"/>
  <c r="M334" i="1"/>
  <c r="N333" i="1"/>
  <c r="M333" i="1"/>
  <c r="N332" i="1"/>
  <c r="M332" i="1"/>
  <c r="N331" i="1"/>
  <c r="M331" i="1"/>
  <c r="N330" i="1"/>
  <c r="M330" i="1"/>
  <c r="N329" i="1"/>
  <c r="M329" i="1"/>
  <c r="N328" i="1"/>
  <c r="M328" i="1"/>
  <c r="N327" i="1"/>
  <c r="M327" i="1"/>
  <c r="N326" i="1"/>
  <c r="M326" i="1"/>
  <c r="N325" i="1"/>
  <c r="M325" i="1"/>
  <c r="N324" i="1"/>
  <c r="M324" i="1"/>
  <c r="N323" i="1"/>
  <c r="M323" i="1"/>
  <c r="N322" i="1"/>
  <c r="M322" i="1"/>
  <c r="N321" i="1"/>
  <c r="M321" i="1"/>
  <c r="N320" i="1"/>
  <c r="M320" i="1"/>
  <c r="N319" i="1"/>
  <c r="M319" i="1"/>
  <c r="N318" i="1"/>
  <c r="M318" i="1"/>
  <c r="N317" i="1"/>
  <c r="M317" i="1"/>
  <c r="N316" i="1"/>
  <c r="M316" i="1"/>
  <c r="N315" i="1"/>
  <c r="M315" i="1"/>
  <c r="N314" i="1"/>
  <c r="M314" i="1"/>
  <c r="N313" i="1"/>
  <c r="M313" i="1"/>
  <c r="N312" i="1"/>
  <c r="M312" i="1"/>
  <c r="N311" i="1"/>
  <c r="M311" i="1"/>
  <c r="N310" i="1"/>
  <c r="M310" i="1"/>
  <c r="N309" i="1"/>
  <c r="M309" i="1"/>
  <c r="N308" i="1"/>
  <c r="M308" i="1"/>
  <c r="N307" i="1"/>
  <c r="M307" i="1"/>
  <c r="N306" i="1"/>
  <c r="M306" i="1"/>
  <c r="N305" i="1"/>
  <c r="M305" i="1"/>
  <c r="N304" i="1"/>
  <c r="M304" i="1"/>
  <c r="N303" i="1"/>
  <c r="M303" i="1"/>
  <c r="N302" i="1"/>
  <c r="M302" i="1"/>
  <c r="N301" i="1"/>
  <c r="M301" i="1"/>
  <c r="N300" i="1"/>
  <c r="M300" i="1"/>
  <c r="N299" i="1"/>
  <c r="M299" i="1"/>
  <c r="N298" i="1"/>
  <c r="M298" i="1"/>
  <c r="N297" i="1"/>
  <c r="M297" i="1"/>
  <c r="N296" i="1"/>
  <c r="M296" i="1"/>
  <c r="N295" i="1"/>
  <c r="M295" i="1"/>
  <c r="N294" i="1"/>
  <c r="M294" i="1"/>
  <c r="N293" i="1"/>
  <c r="M293" i="1"/>
  <c r="N292" i="1"/>
  <c r="M292" i="1"/>
  <c r="N291" i="1"/>
  <c r="M291" i="1"/>
  <c r="N290" i="1"/>
  <c r="M290" i="1"/>
  <c r="N289" i="1"/>
  <c r="M289" i="1"/>
  <c r="N288" i="1"/>
  <c r="M288" i="1"/>
  <c r="N287" i="1"/>
  <c r="M287" i="1"/>
  <c r="N286" i="1"/>
  <c r="M286" i="1"/>
  <c r="N285" i="1"/>
  <c r="M285" i="1"/>
  <c r="N284" i="1"/>
  <c r="M284" i="1"/>
  <c r="N283" i="1"/>
  <c r="M283" i="1"/>
  <c r="N282" i="1"/>
  <c r="M282" i="1"/>
  <c r="N281" i="1"/>
  <c r="M281" i="1"/>
  <c r="N280" i="1"/>
  <c r="M280" i="1"/>
  <c r="N279" i="1"/>
  <c r="M279" i="1"/>
  <c r="N278" i="1"/>
  <c r="M278" i="1"/>
  <c r="N277" i="1"/>
  <c r="M277" i="1"/>
  <c r="N276" i="1"/>
  <c r="M276" i="1"/>
  <c r="N275" i="1"/>
  <c r="M275" i="1"/>
  <c r="N274" i="1"/>
  <c r="M274" i="1"/>
  <c r="N273" i="1"/>
  <c r="M273" i="1"/>
  <c r="N272" i="1"/>
  <c r="M272" i="1"/>
  <c r="N271" i="1"/>
  <c r="M271" i="1"/>
  <c r="N270" i="1"/>
  <c r="M270" i="1"/>
  <c r="N269" i="1"/>
  <c r="M269" i="1"/>
  <c r="N268" i="1"/>
  <c r="M268" i="1"/>
  <c r="N267" i="1"/>
  <c r="M267" i="1"/>
  <c r="N266" i="1"/>
  <c r="M266" i="1"/>
  <c r="N265" i="1"/>
  <c r="M265" i="1"/>
  <c r="N264" i="1"/>
  <c r="M264" i="1"/>
  <c r="N263" i="1"/>
  <c r="M263" i="1"/>
  <c r="N262" i="1"/>
  <c r="M262" i="1"/>
  <c r="N261" i="1"/>
  <c r="M261" i="1"/>
  <c r="N260" i="1"/>
  <c r="M260" i="1"/>
  <c r="N259" i="1"/>
  <c r="M259" i="1"/>
  <c r="N258" i="1"/>
  <c r="M258" i="1"/>
  <c r="N257" i="1"/>
  <c r="M257" i="1"/>
  <c r="N256" i="1"/>
  <c r="M256" i="1"/>
  <c r="N255" i="1"/>
  <c r="M255" i="1"/>
  <c r="N254" i="1"/>
  <c r="M254" i="1"/>
  <c r="N253" i="1"/>
  <c r="M253" i="1"/>
  <c r="N252" i="1"/>
  <c r="M252" i="1"/>
  <c r="N251" i="1"/>
  <c r="M251" i="1"/>
  <c r="N250" i="1"/>
  <c r="M250" i="1"/>
  <c r="N249" i="1"/>
  <c r="M249" i="1"/>
  <c r="N248" i="1"/>
  <c r="M248" i="1"/>
  <c r="N247" i="1"/>
  <c r="M247" i="1"/>
  <c r="N246" i="1"/>
  <c r="M246" i="1"/>
  <c r="N245" i="1"/>
  <c r="M245" i="1"/>
  <c r="N244" i="1"/>
  <c r="M244" i="1"/>
  <c r="N243" i="1"/>
  <c r="M243" i="1"/>
  <c r="N242" i="1"/>
  <c r="M242" i="1"/>
  <c r="N241" i="1"/>
  <c r="M241" i="1"/>
  <c r="N240" i="1"/>
  <c r="M240" i="1"/>
  <c r="N239" i="1"/>
  <c r="M239" i="1"/>
  <c r="N238" i="1"/>
  <c r="M238" i="1"/>
  <c r="N237" i="1"/>
  <c r="M237" i="1"/>
  <c r="N236" i="1"/>
  <c r="M236" i="1"/>
  <c r="N235" i="1"/>
  <c r="M235" i="1"/>
  <c r="N234" i="1"/>
  <c r="M234" i="1"/>
  <c r="N233" i="1"/>
  <c r="M233" i="1"/>
  <c r="N232" i="1"/>
  <c r="M232" i="1"/>
  <c r="N231" i="1"/>
  <c r="M231" i="1"/>
  <c r="N230" i="1"/>
  <c r="M230" i="1"/>
  <c r="N229" i="1"/>
  <c r="M229" i="1"/>
  <c r="N228" i="1"/>
  <c r="M228" i="1"/>
  <c r="N227" i="1"/>
  <c r="M227" i="1"/>
  <c r="N226" i="1"/>
  <c r="M226" i="1"/>
  <c r="N225" i="1"/>
  <c r="M225" i="1"/>
  <c r="N224" i="1"/>
  <c r="M224" i="1"/>
  <c r="N223" i="1"/>
  <c r="M223" i="1"/>
  <c r="N222" i="1"/>
  <c r="M222" i="1"/>
  <c r="N221" i="1"/>
  <c r="M221" i="1"/>
  <c r="N220" i="1"/>
  <c r="M220" i="1"/>
  <c r="N219" i="1"/>
  <c r="M219" i="1"/>
  <c r="N218" i="1"/>
  <c r="M218" i="1"/>
  <c r="N217" i="1"/>
  <c r="M217" i="1"/>
  <c r="N216" i="1"/>
  <c r="M216" i="1"/>
  <c r="N215" i="1"/>
  <c r="M215" i="1"/>
  <c r="N214" i="1"/>
  <c r="M214" i="1"/>
  <c r="N213" i="1"/>
  <c r="M213" i="1"/>
  <c r="N212" i="1"/>
  <c r="M212" i="1"/>
  <c r="N211" i="1"/>
  <c r="M211" i="1"/>
  <c r="N210" i="1"/>
  <c r="M210" i="1"/>
  <c r="N209" i="1"/>
  <c r="M209" i="1"/>
  <c r="N208" i="1"/>
  <c r="M208" i="1"/>
  <c r="N207" i="1"/>
  <c r="M207" i="1"/>
  <c r="N206" i="1"/>
  <c r="M206" i="1"/>
  <c r="N205" i="1"/>
  <c r="M205" i="1"/>
  <c r="N204" i="1"/>
  <c r="M204" i="1"/>
  <c r="N203" i="1"/>
  <c r="M203" i="1"/>
  <c r="N202" i="1"/>
  <c r="M202" i="1"/>
  <c r="N201" i="1"/>
  <c r="M201" i="1"/>
  <c r="N200" i="1"/>
  <c r="M200" i="1"/>
  <c r="N199" i="1"/>
  <c r="M199" i="1"/>
  <c r="N198" i="1"/>
  <c r="M198" i="1"/>
  <c r="N197" i="1"/>
  <c r="M197" i="1"/>
  <c r="N196" i="1"/>
  <c r="M196" i="1"/>
  <c r="N195" i="1"/>
  <c r="M195" i="1"/>
  <c r="N194" i="1"/>
  <c r="M194" i="1"/>
  <c r="N193" i="1"/>
  <c r="M193" i="1"/>
  <c r="N192" i="1"/>
  <c r="M192" i="1"/>
  <c r="N191" i="1"/>
  <c r="M191" i="1"/>
  <c r="N190" i="1"/>
  <c r="M190" i="1"/>
  <c r="N189" i="1"/>
  <c r="M189" i="1"/>
  <c r="N188" i="1"/>
  <c r="M188" i="1"/>
  <c r="N187" i="1"/>
  <c r="M187" i="1"/>
  <c r="N186" i="1"/>
  <c r="M186" i="1"/>
  <c r="N185" i="1"/>
  <c r="M185" i="1"/>
  <c r="N184" i="1"/>
  <c r="M184" i="1"/>
  <c r="N183" i="1"/>
  <c r="M183" i="1"/>
  <c r="N182" i="1"/>
  <c r="M182" i="1"/>
  <c r="N181" i="1"/>
  <c r="M181" i="1"/>
  <c r="N180" i="1"/>
  <c r="M180" i="1"/>
  <c r="N179" i="1"/>
  <c r="M179" i="1"/>
  <c r="N178" i="1"/>
  <c r="M178" i="1"/>
  <c r="N177" i="1"/>
  <c r="M177" i="1"/>
  <c r="N176" i="1"/>
  <c r="M176" i="1"/>
  <c r="N175" i="1"/>
  <c r="M175" i="1"/>
  <c r="N174" i="1"/>
  <c r="M174" i="1"/>
  <c r="N173" i="1"/>
  <c r="M173" i="1"/>
  <c r="N172" i="1"/>
  <c r="M172" i="1"/>
  <c r="N171" i="1"/>
  <c r="M171" i="1"/>
  <c r="N170" i="1"/>
  <c r="M170" i="1"/>
  <c r="N169" i="1"/>
  <c r="M169" i="1"/>
  <c r="N168" i="1"/>
  <c r="M168" i="1"/>
  <c r="N167" i="1"/>
  <c r="M167" i="1"/>
  <c r="N166" i="1"/>
  <c r="M166" i="1"/>
  <c r="N165" i="1"/>
  <c r="M165" i="1"/>
  <c r="N164" i="1"/>
  <c r="M164" i="1"/>
  <c r="N163" i="1"/>
  <c r="M163" i="1"/>
  <c r="N162" i="1"/>
  <c r="M162" i="1"/>
  <c r="N161" i="1"/>
  <c r="M161" i="1"/>
  <c r="N160" i="1"/>
  <c r="M160" i="1"/>
  <c r="N159" i="1"/>
  <c r="M159" i="1"/>
  <c r="N158" i="1"/>
  <c r="M158" i="1"/>
  <c r="N157" i="1"/>
  <c r="M157" i="1"/>
  <c r="N156" i="1"/>
  <c r="M156" i="1"/>
  <c r="N155" i="1"/>
  <c r="M155" i="1"/>
  <c r="N154" i="1"/>
  <c r="M154" i="1"/>
  <c r="N153" i="1"/>
  <c r="M153" i="1"/>
  <c r="N152" i="1"/>
  <c r="M152" i="1"/>
  <c r="N151" i="1"/>
  <c r="M151" i="1"/>
  <c r="N150" i="1"/>
  <c r="M150" i="1"/>
  <c r="N149" i="1"/>
  <c r="M149" i="1"/>
  <c r="N148" i="1"/>
  <c r="M148" i="1"/>
  <c r="N147" i="1"/>
  <c r="M147" i="1"/>
  <c r="N146" i="1"/>
  <c r="M146" i="1"/>
  <c r="N145" i="1"/>
  <c r="M145" i="1"/>
  <c r="N144" i="1"/>
  <c r="M144" i="1"/>
  <c r="N143" i="1"/>
  <c r="M143" i="1"/>
  <c r="N142" i="1"/>
  <c r="M142" i="1"/>
  <c r="N141" i="1"/>
  <c r="M141" i="1"/>
  <c r="N140" i="1"/>
  <c r="M140" i="1"/>
  <c r="N139" i="1"/>
  <c r="M139" i="1"/>
  <c r="N138" i="1"/>
  <c r="M138" i="1"/>
  <c r="N137" i="1"/>
  <c r="M137" i="1"/>
  <c r="N136" i="1"/>
  <c r="M136" i="1"/>
  <c r="N135" i="1"/>
  <c r="M135" i="1"/>
  <c r="N134" i="1"/>
  <c r="M134" i="1"/>
  <c r="N133" i="1"/>
  <c r="M133" i="1"/>
  <c r="N132" i="1"/>
  <c r="M132" i="1"/>
  <c r="N131" i="1"/>
  <c r="M131" i="1"/>
  <c r="N130" i="1"/>
  <c r="M130" i="1"/>
  <c r="N129" i="1"/>
  <c r="M129" i="1"/>
  <c r="N128" i="1"/>
  <c r="M128" i="1"/>
  <c r="N127" i="1"/>
  <c r="M127" i="1"/>
  <c r="N126" i="1"/>
  <c r="M126" i="1"/>
  <c r="N125" i="1"/>
  <c r="M125" i="1"/>
  <c r="N124" i="1"/>
  <c r="M124" i="1"/>
  <c r="N123" i="1"/>
  <c r="M123" i="1"/>
  <c r="N122" i="1"/>
  <c r="M122" i="1"/>
  <c r="N121" i="1"/>
  <c r="M121" i="1"/>
  <c r="N120" i="1"/>
  <c r="M120" i="1"/>
  <c r="N119" i="1"/>
  <c r="M119" i="1"/>
  <c r="N118" i="1"/>
  <c r="M118" i="1"/>
  <c r="N117" i="1"/>
  <c r="M117" i="1"/>
  <c r="N116" i="1"/>
  <c r="M116" i="1"/>
  <c r="N115" i="1"/>
  <c r="M115" i="1"/>
  <c r="N114" i="1"/>
  <c r="M114" i="1"/>
  <c r="N113" i="1"/>
  <c r="M113" i="1"/>
  <c r="N112" i="1"/>
  <c r="M112" i="1"/>
  <c r="N111" i="1"/>
  <c r="M111" i="1"/>
  <c r="N110" i="1"/>
  <c r="M110" i="1"/>
  <c r="N109" i="1"/>
  <c r="M109" i="1"/>
  <c r="N108" i="1"/>
  <c r="M108" i="1"/>
  <c r="N107" i="1"/>
  <c r="M107" i="1"/>
  <c r="N106" i="1"/>
  <c r="M106" i="1"/>
  <c r="N105" i="1"/>
  <c r="M105" i="1"/>
  <c r="N104" i="1"/>
  <c r="M104" i="1"/>
  <c r="N103" i="1"/>
  <c r="M103" i="1"/>
  <c r="N102" i="1"/>
  <c r="M102" i="1"/>
  <c r="N101" i="1"/>
  <c r="M101" i="1"/>
  <c r="N100" i="1"/>
  <c r="M100" i="1"/>
  <c r="N99" i="1"/>
  <c r="M99" i="1"/>
  <c r="N98" i="1"/>
  <c r="M98" i="1"/>
  <c r="N97" i="1"/>
  <c r="M97" i="1"/>
  <c r="N96" i="1"/>
  <c r="M96" i="1"/>
  <c r="N95" i="1"/>
  <c r="M95" i="1"/>
  <c r="N94" i="1"/>
  <c r="M94" i="1"/>
  <c r="N93" i="1"/>
  <c r="M93" i="1"/>
  <c r="N92" i="1"/>
  <c r="M92" i="1"/>
  <c r="N91" i="1"/>
  <c r="M91" i="1"/>
  <c r="N90" i="1"/>
  <c r="M90" i="1"/>
  <c r="N89" i="1"/>
  <c r="M89" i="1"/>
  <c r="N88" i="1"/>
  <c r="M88" i="1"/>
  <c r="N87" i="1"/>
  <c r="M87" i="1"/>
  <c r="N86" i="1"/>
  <c r="M86" i="1"/>
  <c r="N85" i="1"/>
  <c r="M85" i="1"/>
  <c r="N84" i="1"/>
  <c r="M84" i="1"/>
  <c r="N83" i="1"/>
  <c r="M83" i="1"/>
  <c r="N82" i="1"/>
  <c r="M82" i="1"/>
  <c r="N81" i="1"/>
  <c r="M81" i="1"/>
  <c r="N80" i="1"/>
  <c r="M80" i="1"/>
  <c r="N79" i="1"/>
  <c r="M79" i="1"/>
  <c r="N78" i="1"/>
  <c r="M78" i="1"/>
  <c r="N77" i="1"/>
  <c r="M77" i="1"/>
  <c r="N76" i="1"/>
  <c r="M76" i="1"/>
  <c r="N75" i="1"/>
  <c r="M75" i="1"/>
  <c r="N74" i="1"/>
  <c r="M74" i="1"/>
  <c r="N73" i="1"/>
  <c r="M73" i="1"/>
  <c r="N72" i="1"/>
  <c r="M72" i="1"/>
  <c r="N71" i="1"/>
  <c r="M71" i="1"/>
  <c r="N70" i="1"/>
  <c r="M70" i="1"/>
  <c r="N69" i="1"/>
  <c r="M69" i="1"/>
  <c r="N68" i="1"/>
  <c r="M68" i="1"/>
  <c r="N67" i="1"/>
  <c r="M67" i="1"/>
  <c r="N66" i="1"/>
  <c r="M66" i="1"/>
  <c r="N65" i="1"/>
  <c r="M65" i="1"/>
  <c r="N64" i="1"/>
  <c r="M64" i="1"/>
  <c r="N63" i="1"/>
  <c r="M63" i="1"/>
  <c r="N62" i="1"/>
  <c r="M62" i="1"/>
  <c r="N61" i="1"/>
  <c r="M61" i="1"/>
  <c r="N60" i="1"/>
  <c r="M60" i="1"/>
  <c r="N59" i="1"/>
  <c r="M59" i="1"/>
  <c r="N58" i="1"/>
  <c r="M58" i="1"/>
  <c r="N57" i="1"/>
  <c r="M57" i="1"/>
  <c r="N56" i="1"/>
  <c r="M56" i="1"/>
  <c r="N55" i="1"/>
  <c r="M55" i="1"/>
  <c r="N54" i="1"/>
  <c r="M54" i="1"/>
  <c r="N53" i="1"/>
  <c r="M53" i="1"/>
  <c r="N52" i="1"/>
  <c r="M52" i="1"/>
  <c r="N51" i="1"/>
  <c r="M51" i="1"/>
  <c r="N50" i="1"/>
  <c r="M50" i="1"/>
  <c r="N49" i="1"/>
  <c r="M49" i="1"/>
  <c r="N48" i="1"/>
  <c r="M48" i="1"/>
  <c r="N47" i="1"/>
  <c r="M47" i="1"/>
  <c r="N46" i="1"/>
  <c r="M46" i="1"/>
  <c r="N45" i="1"/>
  <c r="M45" i="1"/>
  <c r="N44" i="1"/>
  <c r="M44" i="1"/>
  <c r="N43" i="1"/>
  <c r="M43" i="1"/>
  <c r="N42" i="1"/>
  <c r="M42" i="1"/>
  <c r="N41" i="1"/>
  <c r="M41" i="1"/>
  <c r="N40" i="1"/>
  <c r="M40" i="1"/>
  <c r="N39" i="1"/>
  <c r="M39" i="1"/>
  <c r="N38" i="1"/>
  <c r="M38" i="1"/>
  <c r="N37" i="1"/>
  <c r="M37" i="1"/>
  <c r="N36" i="1"/>
  <c r="M36" i="1"/>
  <c r="N35" i="1"/>
  <c r="M35" i="1"/>
  <c r="N34" i="1"/>
  <c r="M34" i="1"/>
  <c r="N33" i="1"/>
  <c r="M33" i="1"/>
  <c r="N32" i="1"/>
  <c r="M32" i="1"/>
  <c r="N31" i="1"/>
  <c r="M31" i="1"/>
  <c r="N30" i="1"/>
  <c r="M30" i="1"/>
  <c r="N29" i="1"/>
  <c r="M29" i="1"/>
  <c r="N28" i="1"/>
  <c r="M28" i="1"/>
  <c r="N27" i="1"/>
  <c r="M27" i="1"/>
  <c r="N26" i="1"/>
  <c r="M26" i="1"/>
  <c r="N25" i="1"/>
  <c r="M25" i="1"/>
  <c r="N24" i="1"/>
  <c r="M24" i="1"/>
  <c r="N23" i="1"/>
  <c r="M23" i="1"/>
  <c r="N22" i="1"/>
  <c r="M22" i="1"/>
  <c r="N21" i="1"/>
  <c r="M21" i="1"/>
  <c r="N20" i="1"/>
  <c r="M20" i="1"/>
  <c r="N19" i="1"/>
  <c r="M19" i="1"/>
  <c r="N18" i="1"/>
  <c r="M18" i="1"/>
  <c r="N17" i="1"/>
  <c r="M17" i="1"/>
  <c r="N16" i="1"/>
  <c r="M16" i="1"/>
  <c r="N15" i="1"/>
  <c r="M15" i="1"/>
  <c r="N14" i="1"/>
  <c r="M14" i="1"/>
  <c r="N13" i="1"/>
  <c r="M13" i="1"/>
  <c r="N12" i="1"/>
  <c r="M12" i="1"/>
  <c r="N11" i="1"/>
  <c r="M11" i="1"/>
  <c r="N10" i="1"/>
  <c r="M10" i="1"/>
  <c r="N9" i="1"/>
  <c r="M9" i="1"/>
  <c r="N8" i="1"/>
  <c r="M8" i="1"/>
  <c r="N7" i="1"/>
  <c r="M7" i="1"/>
  <c r="N6" i="1"/>
  <c r="M6" i="1"/>
  <c r="N5" i="1"/>
  <c r="M5" i="1"/>
  <c r="N4" i="1"/>
  <c r="M4" i="1"/>
  <c r="N3" i="1"/>
  <c r="M3" i="1"/>
  <c r="N2" i="1"/>
  <c r="M2" i="1"/>
</calcChain>
</file>

<file path=xl/sharedStrings.xml><?xml version="1.0" encoding="utf-8"?>
<sst xmlns="http://schemas.openxmlformats.org/spreadsheetml/2006/main" count="15011" uniqueCount="2582">
  <si>
    <t>TX ID</t>
  </si>
  <si>
    <t>Product</t>
  </si>
  <si>
    <t>Quantity</t>
  </si>
  <si>
    <t>Unit Price</t>
  </si>
  <si>
    <t>Amount</t>
  </si>
  <si>
    <t>Order Date</t>
  </si>
  <si>
    <t>Ship Date</t>
  </si>
  <si>
    <t>Customer Gender</t>
  </si>
  <si>
    <t>Order Mode</t>
  </si>
  <si>
    <t>Rating C</t>
  </si>
  <si>
    <t>State</t>
  </si>
  <si>
    <t>County</t>
  </si>
  <si>
    <t>Days to Deliver</t>
  </si>
  <si>
    <t>Weeknum</t>
  </si>
  <si>
    <t>Gender Value</t>
  </si>
  <si>
    <t>TX500001</t>
  </si>
  <si>
    <t>Shorts</t>
  </si>
  <si>
    <t/>
  </si>
  <si>
    <t>App</t>
  </si>
  <si>
    <t>California</t>
  </si>
  <si>
    <t>Alpine County</t>
  </si>
  <si>
    <t>TX500002</t>
  </si>
  <si>
    <t>Tank Tops</t>
  </si>
  <si>
    <t>M</t>
  </si>
  <si>
    <t>Contra Costa County</t>
  </si>
  <si>
    <t>TX500003</t>
  </si>
  <si>
    <t>Sneakers</t>
  </si>
  <si>
    <t>F</t>
  </si>
  <si>
    <t>Fresno County</t>
  </si>
  <si>
    <t>TX500004</t>
  </si>
  <si>
    <t>Workout Tops</t>
  </si>
  <si>
    <t>TX500005</t>
  </si>
  <si>
    <t>Graphic Tees</t>
  </si>
  <si>
    <t>Los Angeles County</t>
  </si>
  <si>
    <t>TX500006</t>
  </si>
  <si>
    <t>Website</t>
  </si>
  <si>
    <t>TX500007</t>
  </si>
  <si>
    <t>Sandals</t>
  </si>
  <si>
    <t>TX500008</t>
  </si>
  <si>
    <t>Jeans</t>
  </si>
  <si>
    <t>Target.com</t>
  </si>
  <si>
    <t>TX500009</t>
  </si>
  <si>
    <t>Hoodies &amp; Sweatshirts</t>
  </si>
  <si>
    <t>TX500010</t>
  </si>
  <si>
    <t>T-Shirts</t>
  </si>
  <si>
    <t>TX500011</t>
  </si>
  <si>
    <t>Sundresses</t>
  </si>
  <si>
    <t>TX500012</t>
  </si>
  <si>
    <t>TX500013</t>
  </si>
  <si>
    <t>Nevada County</t>
  </si>
  <si>
    <t>TX500014</t>
  </si>
  <si>
    <t>Instagram</t>
  </si>
  <si>
    <t>Placer County</t>
  </si>
  <si>
    <t>TX500015</t>
  </si>
  <si>
    <t>Bikinis</t>
  </si>
  <si>
    <t>Sacramento County</t>
  </si>
  <si>
    <t>TX500016</t>
  </si>
  <si>
    <t>TX500017</t>
  </si>
  <si>
    <t>TX500018</t>
  </si>
  <si>
    <t>San Bernardino County</t>
  </si>
  <si>
    <t>TX500019</t>
  </si>
  <si>
    <t>TX500020</t>
  </si>
  <si>
    <t>San Diego County</t>
  </si>
  <si>
    <t>TX500021</t>
  </si>
  <si>
    <t>TX500022</t>
  </si>
  <si>
    <t>TX500023</t>
  </si>
  <si>
    <t>TX500024</t>
  </si>
  <si>
    <t>Maxi Dresses</t>
  </si>
  <si>
    <t>TX500025</t>
  </si>
  <si>
    <t>Casual Dresses</t>
  </si>
  <si>
    <t>Partner App</t>
  </si>
  <si>
    <t>TX500026</t>
  </si>
  <si>
    <t>San Mateo County</t>
  </si>
  <si>
    <t>TX500027</t>
  </si>
  <si>
    <t>Santa Barbara County</t>
  </si>
  <si>
    <t>TX500028</t>
  </si>
  <si>
    <t>Tote Bags</t>
  </si>
  <si>
    <t>Santa Clara County</t>
  </si>
  <si>
    <t>TX500029</t>
  </si>
  <si>
    <t>Tehama County</t>
  </si>
  <si>
    <t>TX500030</t>
  </si>
  <si>
    <t>Baseball Caps</t>
  </si>
  <si>
    <t>Ventura County</t>
  </si>
  <si>
    <t>TX500031</t>
  </si>
  <si>
    <t>Calaveras County</t>
  </si>
  <si>
    <t>TX500032</t>
  </si>
  <si>
    <t>Inyo County</t>
  </si>
  <si>
    <t>TX500033</t>
  </si>
  <si>
    <t>TX500034</t>
  </si>
  <si>
    <t>O</t>
  </si>
  <si>
    <t>TX500035</t>
  </si>
  <si>
    <t>TX500036</t>
  </si>
  <si>
    <t>TX500037</t>
  </si>
  <si>
    <t>TX500038</t>
  </si>
  <si>
    <t>TX500039</t>
  </si>
  <si>
    <t>TX500040</t>
  </si>
  <si>
    <t>TX500041</t>
  </si>
  <si>
    <t>TX500042</t>
  </si>
  <si>
    <t>Napa County</t>
  </si>
  <si>
    <t>TX500043</t>
  </si>
  <si>
    <t>TX500044</t>
  </si>
  <si>
    <t>TX500045</t>
  </si>
  <si>
    <t>TX500046</t>
  </si>
  <si>
    <t>San Francisco</t>
  </si>
  <si>
    <t>TX500047</t>
  </si>
  <si>
    <t>TX500048</t>
  </si>
  <si>
    <t>TX500049</t>
  </si>
  <si>
    <t>TX500050</t>
  </si>
  <si>
    <t>Sonoma County</t>
  </si>
  <si>
    <t>TX500051</t>
  </si>
  <si>
    <t>Stanislaus County</t>
  </si>
  <si>
    <t>TX500052</t>
  </si>
  <si>
    <t>TX500053</t>
  </si>
  <si>
    <t>Tulare County</t>
  </si>
  <si>
    <t>TX500054</t>
  </si>
  <si>
    <t>Alameda County</t>
  </si>
  <si>
    <t>TX500055</t>
  </si>
  <si>
    <t>TX500056</t>
  </si>
  <si>
    <t>TX500057</t>
  </si>
  <si>
    <t>TX500058</t>
  </si>
  <si>
    <t>TX500059</t>
  </si>
  <si>
    <t>TX500060</t>
  </si>
  <si>
    <t>TX500061</t>
  </si>
  <si>
    <t>Crop Tops</t>
  </si>
  <si>
    <t>TX500062</t>
  </si>
  <si>
    <t>TX500063</t>
  </si>
  <si>
    <t>TX500064</t>
  </si>
  <si>
    <t>TX500065</t>
  </si>
  <si>
    <t>Sunglasses</t>
  </si>
  <si>
    <t>TX500066</t>
  </si>
  <si>
    <t>TX500067</t>
  </si>
  <si>
    <t>TX500068</t>
  </si>
  <si>
    <t>TX500069</t>
  </si>
  <si>
    <t>TX500070</t>
  </si>
  <si>
    <t>TX500071</t>
  </si>
  <si>
    <t>Pajama Sets</t>
  </si>
  <si>
    <t>TX500072</t>
  </si>
  <si>
    <t>TX500073</t>
  </si>
  <si>
    <t>TX500074</t>
  </si>
  <si>
    <t>TX500075</t>
  </si>
  <si>
    <t>TX500076</t>
  </si>
  <si>
    <t>TX500077</t>
  </si>
  <si>
    <t>TX500078</t>
  </si>
  <si>
    <t>TX500079</t>
  </si>
  <si>
    <t>TX500080</t>
  </si>
  <si>
    <t>TX500081</t>
  </si>
  <si>
    <t>Leggings</t>
  </si>
  <si>
    <t>Kern County</t>
  </si>
  <si>
    <t>TX500082</t>
  </si>
  <si>
    <t>TX500083</t>
  </si>
  <si>
    <t>TX500084</t>
  </si>
  <si>
    <t>TX500085</t>
  </si>
  <si>
    <t>TX500086</t>
  </si>
  <si>
    <t>TX500087</t>
  </si>
  <si>
    <t>TX500088</t>
  </si>
  <si>
    <t>TX500089</t>
  </si>
  <si>
    <t>TX500090</t>
  </si>
  <si>
    <t>TX500091</t>
  </si>
  <si>
    <t>Riverside County</t>
  </si>
  <si>
    <t>TX500092</t>
  </si>
  <si>
    <t>TX500093</t>
  </si>
  <si>
    <t>TX500094</t>
  </si>
  <si>
    <t>TX500095</t>
  </si>
  <si>
    <t>TX500096</t>
  </si>
  <si>
    <t>TX500097</t>
  </si>
  <si>
    <t>TX500098</t>
  </si>
  <si>
    <t>TX500099</t>
  </si>
  <si>
    <t>TX500100</t>
  </si>
  <si>
    <t>TX500101</t>
  </si>
  <si>
    <t>TX500102</t>
  </si>
  <si>
    <t>TX500103</t>
  </si>
  <si>
    <t>Jewelry</t>
  </si>
  <si>
    <t>TX500104</t>
  </si>
  <si>
    <t>TX500105</t>
  </si>
  <si>
    <t>TX500106</t>
  </si>
  <si>
    <t>TX500107</t>
  </si>
  <si>
    <t>TX500108</t>
  </si>
  <si>
    <t>TX500109</t>
  </si>
  <si>
    <t>TX500110</t>
  </si>
  <si>
    <t>TX500111</t>
  </si>
  <si>
    <t>TX500112</t>
  </si>
  <si>
    <t>TX500113</t>
  </si>
  <si>
    <t>TX500114</t>
  </si>
  <si>
    <t>TX500115</t>
  </si>
  <si>
    <t>TX500116</t>
  </si>
  <si>
    <t>TX500117</t>
  </si>
  <si>
    <t>Merced County</t>
  </si>
  <si>
    <t>TX500118</t>
  </si>
  <si>
    <t>Orange County</t>
  </si>
  <si>
    <t>TX500119</t>
  </si>
  <si>
    <t>TX500120</t>
  </si>
  <si>
    <t>TX500121</t>
  </si>
  <si>
    <t>TX500122</t>
  </si>
  <si>
    <t>TX500123</t>
  </si>
  <si>
    <t>TX500124</t>
  </si>
  <si>
    <t>TX500125</t>
  </si>
  <si>
    <t>TX500126</t>
  </si>
  <si>
    <t>TX500127</t>
  </si>
  <si>
    <t>TX500128</t>
  </si>
  <si>
    <t>TX500129</t>
  </si>
  <si>
    <t>TX500130</t>
  </si>
  <si>
    <t>San Joaquin County</t>
  </si>
  <si>
    <t>TX500131</t>
  </si>
  <si>
    <t>TX500132</t>
  </si>
  <si>
    <t>TX500133</t>
  </si>
  <si>
    <t>TX500134</t>
  </si>
  <si>
    <t>TX500135</t>
  </si>
  <si>
    <t>TX500136</t>
  </si>
  <si>
    <t>Glenn County</t>
  </si>
  <si>
    <t>TX500137</t>
  </si>
  <si>
    <t>TX500138</t>
  </si>
  <si>
    <t>TX500139</t>
  </si>
  <si>
    <t>TX500140</t>
  </si>
  <si>
    <t>TX500141</t>
  </si>
  <si>
    <t>TX500142</t>
  </si>
  <si>
    <t>TX500143</t>
  </si>
  <si>
    <t>TX500144</t>
  </si>
  <si>
    <t>TX500145</t>
  </si>
  <si>
    <t>TX500146</t>
  </si>
  <si>
    <t>TX500147</t>
  </si>
  <si>
    <t>TX500148</t>
  </si>
  <si>
    <t>TX500149</t>
  </si>
  <si>
    <t>TX500150</t>
  </si>
  <si>
    <t>TX500151</t>
  </si>
  <si>
    <t>TX500152</t>
  </si>
  <si>
    <t>TX500153</t>
  </si>
  <si>
    <t>TX500154</t>
  </si>
  <si>
    <t>TX500155</t>
  </si>
  <si>
    <t>TX500156</t>
  </si>
  <si>
    <t>TX500157</t>
  </si>
  <si>
    <t>TX500158</t>
  </si>
  <si>
    <t>TX500159</t>
  </si>
  <si>
    <t>TX500160</t>
  </si>
  <si>
    <t>TX500161</t>
  </si>
  <si>
    <t>TX500162</t>
  </si>
  <si>
    <t>TX500163</t>
  </si>
  <si>
    <t>TX500164</t>
  </si>
  <si>
    <t>TX500165</t>
  </si>
  <si>
    <t>TX500166</t>
  </si>
  <si>
    <t>TX500167</t>
  </si>
  <si>
    <t>TX500168</t>
  </si>
  <si>
    <t>TX500169</t>
  </si>
  <si>
    <t>TX500170</t>
  </si>
  <si>
    <t>Yolo County</t>
  </si>
  <si>
    <t>TX500171</t>
  </si>
  <si>
    <t>TX500172</t>
  </si>
  <si>
    <t>TX500173</t>
  </si>
  <si>
    <t>TX500174</t>
  </si>
  <si>
    <t>TX500175</t>
  </si>
  <si>
    <t>TX500176</t>
  </si>
  <si>
    <t>TX500177</t>
  </si>
  <si>
    <t>TX500178</t>
  </si>
  <si>
    <t>TX500179</t>
  </si>
  <si>
    <t>TX500180</t>
  </si>
  <si>
    <t>TX500181</t>
  </si>
  <si>
    <t>TX500182</t>
  </si>
  <si>
    <t>TX500183</t>
  </si>
  <si>
    <t>TX500184</t>
  </si>
  <si>
    <t>Mendocino County</t>
  </si>
  <si>
    <t>TX500185</t>
  </si>
  <si>
    <t>TX500186</t>
  </si>
  <si>
    <t>TX500187</t>
  </si>
  <si>
    <t>TX500188</t>
  </si>
  <si>
    <t>TX500189</t>
  </si>
  <si>
    <t>TX500190</t>
  </si>
  <si>
    <t>TX500191</t>
  </si>
  <si>
    <t>TX500192</t>
  </si>
  <si>
    <t>TX500193</t>
  </si>
  <si>
    <t>Siskiyou County</t>
  </si>
  <si>
    <t>TX500194</t>
  </si>
  <si>
    <t>TX500195</t>
  </si>
  <si>
    <t>TX500196</t>
  </si>
  <si>
    <t>TX500197</t>
  </si>
  <si>
    <t>TX500198</t>
  </si>
  <si>
    <t>TX500199</t>
  </si>
  <si>
    <t>TX500200</t>
  </si>
  <si>
    <t>TX500201</t>
  </si>
  <si>
    <t>TX500202</t>
  </si>
  <si>
    <t>TX500203</t>
  </si>
  <si>
    <t>TX500204</t>
  </si>
  <si>
    <t>TX500205</t>
  </si>
  <si>
    <t>TX500206</t>
  </si>
  <si>
    <t>TX500207</t>
  </si>
  <si>
    <t>TX500208</t>
  </si>
  <si>
    <t>TX500209</t>
  </si>
  <si>
    <t>TX500210</t>
  </si>
  <si>
    <t>TX500211</t>
  </si>
  <si>
    <t>TX500212</t>
  </si>
  <si>
    <t>TX500213</t>
  </si>
  <si>
    <t>TX500214</t>
  </si>
  <si>
    <t>TX500215</t>
  </si>
  <si>
    <t>TX500216</t>
  </si>
  <si>
    <t>Sutter County</t>
  </si>
  <si>
    <t>TX500217</t>
  </si>
  <si>
    <t>TX500218</t>
  </si>
  <si>
    <t>TX500219</t>
  </si>
  <si>
    <t>TX500220</t>
  </si>
  <si>
    <t>TX500221</t>
  </si>
  <si>
    <t>TX500222</t>
  </si>
  <si>
    <t>TX500223</t>
  </si>
  <si>
    <t>TX500224</t>
  </si>
  <si>
    <t>TX500225</t>
  </si>
  <si>
    <t>TX500226</t>
  </si>
  <si>
    <t>TX500227</t>
  </si>
  <si>
    <t>TX500228</t>
  </si>
  <si>
    <t>TX500229</t>
  </si>
  <si>
    <t>TX500230</t>
  </si>
  <si>
    <t>TX500231</t>
  </si>
  <si>
    <t>TX500232</t>
  </si>
  <si>
    <t>Santa Cruz County</t>
  </si>
  <si>
    <t>TX500233</t>
  </si>
  <si>
    <t>TX500234</t>
  </si>
  <si>
    <t>TX500235</t>
  </si>
  <si>
    <t>TX500236</t>
  </si>
  <si>
    <t>TX500237</t>
  </si>
  <si>
    <t>TX500238</t>
  </si>
  <si>
    <t>TX500239</t>
  </si>
  <si>
    <t>TX500240</t>
  </si>
  <si>
    <t>TX500241</t>
  </si>
  <si>
    <t>TX500242</t>
  </si>
  <si>
    <t>TX500243</t>
  </si>
  <si>
    <t>TX500244</t>
  </si>
  <si>
    <t>TX500245</t>
  </si>
  <si>
    <t>TX500246</t>
  </si>
  <si>
    <t>TX500247</t>
  </si>
  <si>
    <t>TX500248</t>
  </si>
  <si>
    <t>TX500249</t>
  </si>
  <si>
    <t>TX500250</t>
  </si>
  <si>
    <t>TX500251</t>
  </si>
  <si>
    <t>TX500252</t>
  </si>
  <si>
    <t>TX500253</t>
  </si>
  <si>
    <t>Imperial County</t>
  </si>
  <si>
    <t>TX500254</t>
  </si>
  <si>
    <t>TX500255</t>
  </si>
  <si>
    <t>Kings County</t>
  </si>
  <si>
    <t>TX500256</t>
  </si>
  <si>
    <t>TX500257</t>
  </si>
  <si>
    <t>TX500258</t>
  </si>
  <si>
    <t>Plumas County</t>
  </si>
  <si>
    <t>TX500259</t>
  </si>
  <si>
    <t>TX500260</t>
  </si>
  <si>
    <t>TX500261</t>
  </si>
  <si>
    <t>San Benito County</t>
  </si>
  <si>
    <t>TX500262</t>
  </si>
  <si>
    <t>TX500263</t>
  </si>
  <si>
    <t>TX500264</t>
  </si>
  <si>
    <t>TX500265</t>
  </si>
  <si>
    <t>TX500266</t>
  </si>
  <si>
    <t>TX500267</t>
  </si>
  <si>
    <t>TX500268</t>
  </si>
  <si>
    <t>TX500269</t>
  </si>
  <si>
    <t>TX500270</t>
  </si>
  <si>
    <t>TX500271</t>
  </si>
  <si>
    <t>TX500272</t>
  </si>
  <si>
    <t>TX500273</t>
  </si>
  <si>
    <t>TX500274</t>
  </si>
  <si>
    <t>TX500275</t>
  </si>
  <si>
    <t>TX500276</t>
  </si>
  <si>
    <t>TX500277</t>
  </si>
  <si>
    <t>TX500278</t>
  </si>
  <si>
    <t>TX500279</t>
  </si>
  <si>
    <t>TX500280</t>
  </si>
  <si>
    <t>TX500281</t>
  </si>
  <si>
    <t>TX500282</t>
  </si>
  <si>
    <t>Madera County</t>
  </si>
  <si>
    <t>TX500283</t>
  </si>
  <si>
    <t>TX500284</t>
  </si>
  <si>
    <t>TX500285</t>
  </si>
  <si>
    <t>TX500286</t>
  </si>
  <si>
    <t>TX500287</t>
  </si>
  <si>
    <t>TX500288</t>
  </si>
  <si>
    <t>TX500289</t>
  </si>
  <si>
    <t>TX500290</t>
  </si>
  <si>
    <t>TX500291</t>
  </si>
  <si>
    <t>TX500292</t>
  </si>
  <si>
    <t>TX500293</t>
  </si>
  <si>
    <t>TX500294</t>
  </si>
  <si>
    <t>Solano County</t>
  </si>
  <si>
    <t>TX500295</t>
  </si>
  <si>
    <t>TX500296</t>
  </si>
  <si>
    <t>TX500297</t>
  </si>
  <si>
    <t>TX500298</t>
  </si>
  <si>
    <t>TX500299</t>
  </si>
  <si>
    <t>TX500300</t>
  </si>
  <si>
    <t>TX500301</t>
  </si>
  <si>
    <t>TX500302</t>
  </si>
  <si>
    <t>TX500303</t>
  </si>
  <si>
    <t>TX500304</t>
  </si>
  <si>
    <t>TX500305</t>
  </si>
  <si>
    <t>TX500306</t>
  </si>
  <si>
    <t>TX500307</t>
  </si>
  <si>
    <t>TX500308</t>
  </si>
  <si>
    <t>Modoc County</t>
  </si>
  <si>
    <t>TX500309</t>
  </si>
  <si>
    <t>TX500310</t>
  </si>
  <si>
    <t>TX500311</t>
  </si>
  <si>
    <t>TX500312</t>
  </si>
  <si>
    <t>TX500313</t>
  </si>
  <si>
    <t>TX500314</t>
  </si>
  <si>
    <t>TX500315</t>
  </si>
  <si>
    <t>TX500316</t>
  </si>
  <si>
    <t>TX500317</t>
  </si>
  <si>
    <t>TX500318</t>
  </si>
  <si>
    <t>TX500319</t>
  </si>
  <si>
    <t>TX500320</t>
  </si>
  <si>
    <t>TX500321</t>
  </si>
  <si>
    <t>TX500322</t>
  </si>
  <si>
    <t>TX500323</t>
  </si>
  <si>
    <t>TX500324</t>
  </si>
  <si>
    <t>TX500325</t>
  </si>
  <si>
    <t>TX500326</t>
  </si>
  <si>
    <t>TX500327</t>
  </si>
  <si>
    <t>TX500328</t>
  </si>
  <si>
    <t>TX500329</t>
  </si>
  <si>
    <t>TX500330</t>
  </si>
  <si>
    <t>TX500331</t>
  </si>
  <si>
    <t>Mariposa County</t>
  </si>
  <si>
    <t>TX500332</t>
  </si>
  <si>
    <t>TX500333</t>
  </si>
  <si>
    <t>TX500334</t>
  </si>
  <si>
    <t>TX500335</t>
  </si>
  <si>
    <t>TX500336</t>
  </si>
  <si>
    <t>TX500337</t>
  </si>
  <si>
    <t>TX500338</t>
  </si>
  <si>
    <t>TX500339</t>
  </si>
  <si>
    <t>TX500340</t>
  </si>
  <si>
    <t>TX500341</t>
  </si>
  <si>
    <t>TX500342</t>
  </si>
  <si>
    <t>TX500343</t>
  </si>
  <si>
    <t>San Luis Obispo County</t>
  </si>
  <si>
    <t>TX500344</t>
  </si>
  <si>
    <t>TX500345</t>
  </si>
  <si>
    <t>TX500346</t>
  </si>
  <si>
    <t>TX500347</t>
  </si>
  <si>
    <t>TX500348</t>
  </si>
  <si>
    <t>TX500349</t>
  </si>
  <si>
    <t>TX500350</t>
  </si>
  <si>
    <t>El Dorado County</t>
  </si>
  <si>
    <t>TX500351</t>
  </si>
  <si>
    <t>TX500352</t>
  </si>
  <si>
    <t>TX500353</t>
  </si>
  <si>
    <t>TX500354</t>
  </si>
  <si>
    <t>TX500355</t>
  </si>
  <si>
    <t>TX500356</t>
  </si>
  <si>
    <t>TX500357</t>
  </si>
  <si>
    <t>TX500358</t>
  </si>
  <si>
    <t>TX500359</t>
  </si>
  <si>
    <t>TX500360</t>
  </si>
  <si>
    <t>TX500361</t>
  </si>
  <si>
    <t>TX500362</t>
  </si>
  <si>
    <t>TX500363</t>
  </si>
  <si>
    <t>TX500364</t>
  </si>
  <si>
    <t>TX500365</t>
  </si>
  <si>
    <t>TX500366</t>
  </si>
  <si>
    <t>TX500367</t>
  </si>
  <si>
    <t>TX500368</t>
  </si>
  <si>
    <t>TX500369</t>
  </si>
  <si>
    <t>TX500370</t>
  </si>
  <si>
    <t>TX500371</t>
  </si>
  <si>
    <t>TX500372</t>
  </si>
  <si>
    <t>TX500373</t>
  </si>
  <si>
    <t>TX500374</t>
  </si>
  <si>
    <t>TX500375</t>
  </si>
  <si>
    <t>TX500376</t>
  </si>
  <si>
    <t>TX500377</t>
  </si>
  <si>
    <t>TX500378</t>
  </si>
  <si>
    <t>TX500379</t>
  </si>
  <si>
    <t>TX500380</t>
  </si>
  <si>
    <t>TX500381</t>
  </si>
  <si>
    <t>TX500382</t>
  </si>
  <si>
    <t>TX500383</t>
  </si>
  <si>
    <t>TX500384</t>
  </si>
  <si>
    <t>TX500385</t>
  </si>
  <si>
    <t>TX500386</t>
  </si>
  <si>
    <t>TX500387</t>
  </si>
  <si>
    <t>TX500388</t>
  </si>
  <si>
    <t>TX500389</t>
  </si>
  <si>
    <t>TX500390</t>
  </si>
  <si>
    <t>TX500391</t>
  </si>
  <si>
    <t>TX500392</t>
  </si>
  <si>
    <t>TX500393</t>
  </si>
  <si>
    <t>TX500394</t>
  </si>
  <si>
    <t>TX500395</t>
  </si>
  <si>
    <t>TX500396</t>
  </si>
  <si>
    <t>TX500397</t>
  </si>
  <si>
    <t>TX500398</t>
  </si>
  <si>
    <t>TX500399</t>
  </si>
  <si>
    <t>TX500400</t>
  </si>
  <si>
    <t>TX500401</t>
  </si>
  <si>
    <t>TX500402</t>
  </si>
  <si>
    <t>TX500403</t>
  </si>
  <si>
    <t>TX500404</t>
  </si>
  <si>
    <t>TX500405</t>
  </si>
  <si>
    <t>TX500406</t>
  </si>
  <si>
    <t>TX500407</t>
  </si>
  <si>
    <t>TX500408</t>
  </si>
  <si>
    <t>TX500409</t>
  </si>
  <si>
    <t>TX500410</t>
  </si>
  <si>
    <t>TX500411</t>
  </si>
  <si>
    <t>TX500412</t>
  </si>
  <si>
    <t>TX500413</t>
  </si>
  <si>
    <t>TX500414</t>
  </si>
  <si>
    <t>TX500415</t>
  </si>
  <si>
    <t>TX500416</t>
  </si>
  <si>
    <t>TX500417</t>
  </si>
  <si>
    <t>TX500418</t>
  </si>
  <si>
    <t>TX500419</t>
  </si>
  <si>
    <t>TX500420</t>
  </si>
  <si>
    <t>TX500421</t>
  </si>
  <si>
    <t>TX500422</t>
  </si>
  <si>
    <t>TX500423</t>
  </si>
  <si>
    <t>TX500424</t>
  </si>
  <si>
    <t>TX500425</t>
  </si>
  <si>
    <t>TX500426</t>
  </si>
  <si>
    <t>TX500427</t>
  </si>
  <si>
    <t>TX500428</t>
  </si>
  <si>
    <t>TX500429</t>
  </si>
  <si>
    <t>TX500430</t>
  </si>
  <si>
    <t>TX500431</t>
  </si>
  <si>
    <t>TX500432</t>
  </si>
  <si>
    <t>TX500433</t>
  </si>
  <si>
    <t>TX500434</t>
  </si>
  <si>
    <t>TX500435</t>
  </si>
  <si>
    <t>TX500436</t>
  </si>
  <si>
    <t>TX500437</t>
  </si>
  <si>
    <t>TX500438</t>
  </si>
  <si>
    <t>TX500439</t>
  </si>
  <si>
    <t>TX500440</t>
  </si>
  <si>
    <t>TX500441</t>
  </si>
  <si>
    <t>TX500442</t>
  </si>
  <si>
    <t>TX500443</t>
  </si>
  <si>
    <t>TX500444</t>
  </si>
  <si>
    <t>TX500445</t>
  </si>
  <si>
    <t>TX500446</t>
  </si>
  <si>
    <t>TX500447</t>
  </si>
  <si>
    <t>TX500448</t>
  </si>
  <si>
    <t>TX500449</t>
  </si>
  <si>
    <t>TX500450</t>
  </si>
  <si>
    <t>TX500451</t>
  </si>
  <si>
    <t>TX500452</t>
  </si>
  <si>
    <t>TX500453</t>
  </si>
  <si>
    <t>TX500454</t>
  </si>
  <si>
    <t>TX500455</t>
  </si>
  <si>
    <t>TX500456</t>
  </si>
  <si>
    <t>TX500457</t>
  </si>
  <si>
    <t>Marin County</t>
  </si>
  <si>
    <t>TX500458</t>
  </si>
  <si>
    <t>TX500459</t>
  </si>
  <si>
    <t>TX500460</t>
  </si>
  <si>
    <t>TX500461</t>
  </si>
  <si>
    <t>TX500462</t>
  </si>
  <si>
    <t>TX500463</t>
  </si>
  <si>
    <t>TX500464</t>
  </si>
  <si>
    <t>TX500465</t>
  </si>
  <si>
    <t>TX500466</t>
  </si>
  <si>
    <t>TX500467</t>
  </si>
  <si>
    <t>TX500468</t>
  </si>
  <si>
    <t>TX500469</t>
  </si>
  <si>
    <t>TX500470</t>
  </si>
  <si>
    <t>TX500471</t>
  </si>
  <si>
    <t>TX500472</t>
  </si>
  <si>
    <t>TX500473</t>
  </si>
  <si>
    <t>TX500474</t>
  </si>
  <si>
    <t>TX500475</t>
  </si>
  <si>
    <t>TX500476</t>
  </si>
  <si>
    <t>TX500477</t>
  </si>
  <si>
    <t>TX500478</t>
  </si>
  <si>
    <t>TX500479</t>
  </si>
  <si>
    <t>TX500480</t>
  </si>
  <si>
    <t>TX500481</t>
  </si>
  <si>
    <t>TX500482</t>
  </si>
  <si>
    <t>TX500483</t>
  </si>
  <si>
    <t>TX500484</t>
  </si>
  <si>
    <t>TX500485</t>
  </si>
  <si>
    <t>TX500486</t>
  </si>
  <si>
    <t>TX500487</t>
  </si>
  <si>
    <t>TX500488</t>
  </si>
  <si>
    <t>TX500489</t>
  </si>
  <si>
    <t>TX500490</t>
  </si>
  <si>
    <t>TX500491</t>
  </si>
  <si>
    <t>TX500492</t>
  </si>
  <si>
    <t>TX500493</t>
  </si>
  <si>
    <t>TX500494</t>
  </si>
  <si>
    <t>TX500495</t>
  </si>
  <si>
    <t>TX500496</t>
  </si>
  <si>
    <t>TX500497</t>
  </si>
  <si>
    <t>TX500498</t>
  </si>
  <si>
    <t>Humboldt County</t>
  </si>
  <si>
    <t>TX500499</t>
  </si>
  <si>
    <t>TX500500</t>
  </si>
  <si>
    <t>TX500501</t>
  </si>
  <si>
    <t>TX500502</t>
  </si>
  <si>
    <t>TX500503</t>
  </si>
  <si>
    <t>TX500504</t>
  </si>
  <si>
    <t>TX500505</t>
  </si>
  <si>
    <t>TX500506</t>
  </si>
  <si>
    <t>TX500507</t>
  </si>
  <si>
    <t>TX500508</t>
  </si>
  <si>
    <t>TX500509</t>
  </si>
  <si>
    <t>TX500510</t>
  </si>
  <si>
    <t>TX500511</t>
  </si>
  <si>
    <t>TX500512</t>
  </si>
  <si>
    <t>TX500513</t>
  </si>
  <si>
    <t>TX500514</t>
  </si>
  <si>
    <t>TX500515</t>
  </si>
  <si>
    <t>TX500516</t>
  </si>
  <si>
    <t>TX500517</t>
  </si>
  <si>
    <t>TX500518</t>
  </si>
  <si>
    <t>Trinity County</t>
  </si>
  <si>
    <t>TX500519</t>
  </si>
  <si>
    <t>TX500520</t>
  </si>
  <si>
    <t>TX500521</t>
  </si>
  <si>
    <t>TX500522</t>
  </si>
  <si>
    <t>TX500523</t>
  </si>
  <si>
    <t>TX500524</t>
  </si>
  <si>
    <t>TX500525</t>
  </si>
  <si>
    <t>TX500526</t>
  </si>
  <si>
    <t>TX500527</t>
  </si>
  <si>
    <t>TX500528</t>
  </si>
  <si>
    <t>TX500529</t>
  </si>
  <si>
    <t>TX500530</t>
  </si>
  <si>
    <t>TX500531</t>
  </si>
  <si>
    <t>TX500532</t>
  </si>
  <si>
    <t>TX500533</t>
  </si>
  <si>
    <t>TX500534</t>
  </si>
  <si>
    <t>TX500535</t>
  </si>
  <si>
    <t>TX500536</t>
  </si>
  <si>
    <t>TX500537</t>
  </si>
  <si>
    <t>TX500538</t>
  </si>
  <si>
    <t>TX500539</t>
  </si>
  <si>
    <t>TX500540</t>
  </si>
  <si>
    <t>TX500541</t>
  </si>
  <si>
    <t>TX500542</t>
  </si>
  <si>
    <t>TX500543</t>
  </si>
  <si>
    <t>TX500544</t>
  </si>
  <si>
    <t>TX500545</t>
  </si>
  <si>
    <t>TX500546</t>
  </si>
  <si>
    <t>TX500547</t>
  </si>
  <si>
    <t>TX500548</t>
  </si>
  <si>
    <t>TX500549</t>
  </si>
  <si>
    <t>TX500550</t>
  </si>
  <si>
    <t>Amador County</t>
  </si>
  <si>
    <t>TX500551</t>
  </si>
  <si>
    <t>TX500552</t>
  </si>
  <si>
    <t>TX500553</t>
  </si>
  <si>
    <t>TX500554</t>
  </si>
  <si>
    <t>TX500555</t>
  </si>
  <si>
    <t>TX500556</t>
  </si>
  <si>
    <t>TX500557</t>
  </si>
  <si>
    <t>TX500558</t>
  </si>
  <si>
    <t>TX500559</t>
  </si>
  <si>
    <t>TX500560</t>
  </si>
  <si>
    <t>TX500561</t>
  </si>
  <si>
    <t>TX500562</t>
  </si>
  <si>
    <t>TX500563</t>
  </si>
  <si>
    <t>TX500564</t>
  </si>
  <si>
    <t>TX500565</t>
  </si>
  <si>
    <t>TX500566</t>
  </si>
  <si>
    <t>TX500567</t>
  </si>
  <si>
    <t>TX500568</t>
  </si>
  <si>
    <t>TX500569</t>
  </si>
  <si>
    <t>TX500570</t>
  </si>
  <si>
    <t>TX500571</t>
  </si>
  <si>
    <t>TX500572</t>
  </si>
  <si>
    <t>TX500573</t>
  </si>
  <si>
    <t>TX500574</t>
  </si>
  <si>
    <t>TX500575</t>
  </si>
  <si>
    <t>TX500576</t>
  </si>
  <si>
    <t>TX500577</t>
  </si>
  <si>
    <t>TX500578</t>
  </si>
  <si>
    <t>Mono County</t>
  </si>
  <si>
    <t>TX500579</t>
  </si>
  <si>
    <t>TX500580</t>
  </si>
  <si>
    <t>TX500581</t>
  </si>
  <si>
    <t>TX500582</t>
  </si>
  <si>
    <t>TX500583</t>
  </si>
  <si>
    <t>TX500584</t>
  </si>
  <si>
    <t>TX500585</t>
  </si>
  <si>
    <t>TX500586</t>
  </si>
  <si>
    <t>TX500587</t>
  </si>
  <si>
    <t>TX500588</t>
  </si>
  <si>
    <t>TX500589</t>
  </si>
  <si>
    <t>TX500590</t>
  </si>
  <si>
    <t>TX500591</t>
  </si>
  <si>
    <t>TX500592</t>
  </si>
  <si>
    <t>TX500593</t>
  </si>
  <si>
    <t>TX500594</t>
  </si>
  <si>
    <t>TX500595</t>
  </si>
  <si>
    <t>TX500596</t>
  </si>
  <si>
    <t>TX500597</t>
  </si>
  <si>
    <t>TX500598</t>
  </si>
  <si>
    <t>TX500599</t>
  </si>
  <si>
    <t>TX500600</t>
  </si>
  <si>
    <t>TX500601</t>
  </si>
  <si>
    <t>TX500602</t>
  </si>
  <si>
    <t>TX500603</t>
  </si>
  <si>
    <t>TX500604</t>
  </si>
  <si>
    <t>TX500605</t>
  </si>
  <si>
    <t>TX500606</t>
  </si>
  <si>
    <t>TX500607</t>
  </si>
  <si>
    <t>Sierra County</t>
  </si>
  <si>
    <t>TX500608</t>
  </si>
  <si>
    <t>TX500609</t>
  </si>
  <si>
    <t>TX500610</t>
  </si>
  <si>
    <t>TX500611</t>
  </si>
  <si>
    <t>TX500612</t>
  </si>
  <si>
    <t>TX500613</t>
  </si>
  <si>
    <t>TX500614</t>
  </si>
  <si>
    <t>TX500615</t>
  </si>
  <si>
    <t>TX500616</t>
  </si>
  <si>
    <t>TX500617</t>
  </si>
  <si>
    <t>TX500618</t>
  </si>
  <si>
    <t>TX500619</t>
  </si>
  <si>
    <t>TX500620</t>
  </si>
  <si>
    <t>TX500621</t>
  </si>
  <si>
    <t>TX500622</t>
  </si>
  <si>
    <t>TX500623</t>
  </si>
  <si>
    <t>TX500624</t>
  </si>
  <si>
    <t>TX500625</t>
  </si>
  <si>
    <t>TX500626</t>
  </si>
  <si>
    <t>TX500627</t>
  </si>
  <si>
    <t>TX500628</t>
  </si>
  <si>
    <t>TX500629</t>
  </si>
  <si>
    <t>TX500630</t>
  </si>
  <si>
    <t>TX500631</t>
  </si>
  <si>
    <t>TX500632</t>
  </si>
  <si>
    <t>TX500633</t>
  </si>
  <si>
    <t>TX500634</t>
  </si>
  <si>
    <t>TX500635</t>
  </si>
  <si>
    <t>TX500636</t>
  </si>
  <si>
    <t>TX500637</t>
  </si>
  <si>
    <t>TX500638</t>
  </si>
  <si>
    <t>TX500639</t>
  </si>
  <si>
    <t>TX500640</t>
  </si>
  <si>
    <t>TX500641</t>
  </si>
  <si>
    <t>TX500642</t>
  </si>
  <si>
    <t>TX500643</t>
  </si>
  <si>
    <t>TX500644</t>
  </si>
  <si>
    <t>TX500645</t>
  </si>
  <si>
    <t>TX500646</t>
  </si>
  <si>
    <t>TX500647</t>
  </si>
  <si>
    <t>TX500648</t>
  </si>
  <si>
    <t>TX500649</t>
  </si>
  <si>
    <t>TX500650</t>
  </si>
  <si>
    <t>TX500651</t>
  </si>
  <si>
    <t>TX500652</t>
  </si>
  <si>
    <t>TX500653</t>
  </si>
  <si>
    <t>TX500654</t>
  </si>
  <si>
    <t>TX500655</t>
  </si>
  <si>
    <t>TX500656</t>
  </si>
  <si>
    <t>TX500657</t>
  </si>
  <si>
    <t>TX500658</t>
  </si>
  <si>
    <t>TX500659</t>
  </si>
  <si>
    <t>TX500660</t>
  </si>
  <si>
    <t>TX500661</t>
  </si>
  <si>
    <t>TX500662</t>
  </si>
  <si>
    <t>TX500663</t>
  </si>
  <si>
    <t>TX500664</t>
  </si>
  <si>
    <t>TX500665</t>
  </si>
  <si>
    <t>TX500666</t>
  </si>
  <si>
    <t>TX500667</t>
  </si>
  <si>
    <t>TX500668</t>
  </si>
  <si>
    <t>TX500669</t>
  </si>
  <si>
    <t>TX500670</t>
  </si>
  <si>
    <t>TX500671</t>
  </si>
  <si>
    <t>TX500672</t>
  </si>
  <si>
    <t>TX500673</t>
  </si>
  <si>
    <t>TX500674</t>
  </si>
  <si>
    <t>TX500675</t>
  </si>
  <si>
    <t>TX500676</t>
  </si>
  <si>
    <t>TX500677</t>
  </si>
  <si>
    <t>TX500678</t>
  </si>
  <si>
    <t>TX500679</t>
  </si>
  <si>
    <t>TX500680</t>
  </si>
  <si>
    <t>TX500681</t>
  </si>
  <si>
    <t>TX500682</t>
  </si>
  <si>
    <t>TX500683</t>
  </si>
  <si>
    <t>TX500684</t>
  </si>
  <si>
    <t>TX500685</t>
  </si>
  <si>
    <t>TX500686</t>
  </si>
  <si>
    <t>TX500687</t>
  </si>
  <si>
    <t>TX500688</t>
  </si>
  <si>
    <t>TX500689</t>
  </si>
  <si>
    <t>TX500690</t>
  </si>
  <si>
    <t>TX500691</t>
  </si>
  <si>
    <t>TX500692</t>
  </si>
  <si>
    <t>TX500693</t>
  </si>
  <si>
    <t>TX500694</t>
  </si>
  <si>
    <t>TX500695</t>
  </si>
  <si>
    <t>TX500696</t>
  </si>
  <si>
    <t>TX500697</t>
  </si>
  <si>
    <t>TX500698</t>
  </si>
  <si>
    <t>TX500699</t>
  </si>
  <si>
    <t>TX500700</t>
  </si>
  <si>
    <t>TX500701</t>
  </si>
  <si>
    <t>TX500702</t>
  </si>
  <si>
    <t>TX500703</t>
  </si>
  <si>
    <t>TX500704</t>
  </si>
  <si>
    <t>TX500705</t>
  </si>
  <si>
    <t>TX500706</t>
  </si>
  <si>
    <t>TX500707</t>
  </si>
  <si>
    <t>TX500708</t>
  </si>
  <si>
    <t>Monterey County</t>
  </si>
  <si>
    <t>TX500709</t>
  </si>
  <si>
    <t>TX500710</t>
  </si>
  <si>
    <t>TX500711</t>
  </si>
  <si>
    <t>TX500712</t>
  </si>
  <si>
    <t>TX500713</t>
  </si>
  <si>
    <t>TX500714</t>
  </si>
  <si>
    <t>TX500715</t>
  </si>
  <si>
    <t>TX500716</t>
  </si>
  <si>
    <t>TX500717</t>
  </si>
  <si>
    <t>TX500718</t>
  </si>
  <si>
    <t>TX500719</t>
  </si>
  <si>
    <t>TX500720</t>
  </si>
  <si>
    <t>TX500721</t>
  </si>
  <si>
    <t>TX500722</t>
  </si>
  <si>
    <t>TX500723</t>
  </si>
  <si>
    <t>TX500724</t>
  </si>
  <si>
    <t>TX500725</t>
  </si>
  <si>
    <t>TX500726</t>
  </si>
  <si>
    <t>TX500727</t>
  </si>
  <si>
    <t>TX500728</t>
  </si>
  <si>
    <t>TX500729</t>
  </si>
  <si>
    <t>TX500730</t>
  </si>
  <si>
    <t>TX500731</t>
  </si>
  <si>
    <t>TX500732</t>
  </si>
  <si>
    <t>TX500733</t>
  </si>
  <si>
    <t>TX500734</t>
  </si>
  <si>
    <t>TX500735</t>
  </si>
  <si>
    <t>TX500736</t>
  </si>
  <si>
    <t>TX500737</t>
  </si>
  <si>
    <t>TX500738</t>
  </si>
  <si>
    <t>TX500739</t>
  </si>
  <si>
    <t>TX500740</t>
  </si>
  <si>
    <t>TX500741</t>
  </si>
  <si>
    <t>TX500742</t>
  </si>
  <si>
    <t>TX500743</t>
  </si>
  <si>
    <t>TX500744</t>
  </si>
  <si>
    <t>TX500745</t>
  </si>
  <si>
    <t>TX500746</t>
  </si>
  <si>
    <t>TX500747</t>
  </si>
  <si>
    <t>TX500748</t>
  </si>
  <si>
    <t>TX500749</t>
  </si>
  <si>
    <t>TX500750</t>
  </si>
  <si>
    <t>TX500751</t>
  </si>
  <si>
    <t>TX500752</t>
  </si>
  <si>
    <t>TX500753</t>
  </si>
  <si>
    <t>TX500754</t>
  </si>
  <si>
    <t>TX500755</t>
  </si>
  <si>
    <t>TX500756</t>
  </si>
  <si>
    <t>TX500757</t>
  </si>
  <si>
    <t>TX500758</t>
  </si>
  <si>
    <t>TX500759</t>
  </si>
  <si>
    <t>TX500760</t>
  </si>
  <si>
    <t>TX500761</t>
  </si>
  <si>
    <t>TX500762</t>
  </si>
  <si>
    <t>TX500763</t>
  </si>
  <si>
    <t>TX500764</t>
  </si>
  <si>
    <t>TX500765</t>
  </si>
  <si>
    <t>TX500766</t>
  </si>
  <si>
    <t>TX500767</t>
  </si>
  <si>
    <t>TX500768</t>
  </si>
  <si>
    <t>TX500769</t>
  </si>
  <si>
    <t>TX500770</t>
  </si>
  <si>
    <t>TX500771</t>
  </si>
  <si>
    <t>TX500772</t>
  </si>
  <si>
    <t>TX500773</t>
  </si>
  <si>
    <t>TX500774</t>
  </si>
  <si>
    <t>TX500775</t>
  </si>
  <si>
    <t>TX500776</t>
  </si>
  <si>
    <t>TX500777</t>
  </si>
  <si>
    <t>TX500778</t>
  </si>
  <si>
    <t>TX500779</t>
  </si>
  <si>
    <t>TX500780</t>
  </si>
  <si>
    <t>TX500781</t>
  </si>
  <si>
    <t>TX500782</t>
  </si>
  <si>
    <t>TX500783</t>
  </si>
  <si>
    <t>TX500784</t>
  </si>
  <si>
    <t>TX500785</t>
  </si>
  <si>
    <t>TX500786</t>
  </si>
  <si>
    <t>TX500787</t>
  </si>
  <si>
    <t>TX500788</t>
  </si>
  <si>
    <t>TX500789</t>
  </si>
  <si>
    <t>TX500790</t>
  </si>
  <si>
    <t>TX500791</t>
  </si>
  <si>
    <t>TX500792</t>
  </si>
  <si>
    <t>TX500793</t>
  </si>
  <si>
    <t>TX500794</t>
  </si>
  <si>
    <t>TX500795</t>
  </si>
  <si>
    <t>TX500796</t>
  </si>
  <si>
    <t>TX500797</t>
  </si>
  <si>
    <t>TX500798</t>
  </si>
  <si>
    <t>TX500799</t>
  </si>
  <si>
    <t>TX500800</t>
  </si>
  <si>
    <t>TX500801</t>
  </si>
  <si>
    <t>TX500802</t>
  </si>
  <si>
    <t>TX500803</t>
  </si>
  <si>
    <t>TX500804</t>
  </si>
  <si>
    <t>TX500805</t>
  </si>
  <si>
    <t>TX500806</t>
  </si>
  <si>
    <t>TX500807</t>
  </si>
  <si>
    <t>TX500808</t>
  </si>
  <si>
    <t>TX500809</t>
  </si>
  <si>
    <t>TX500810</t>
  </si>
  <si>
    <t>TX500811</t>
  </si>
  <si>
    <t>TX500812</t>
  </si>
  <si>
    <t>TX500813</t>
  </si>
  <si>
    <t>TX500814</t>
  </si>
  <si>
    <t>TX500815</t>
  </si>
  <si>
    <t>TX500816</t>
  </si>
  <si>
    <t>TX500817</t>
  </si>
  <si>
    <t>TX500818</t>
  </si>
  <si>
    <t>TX500819</t>
  </si>
  <si>
    <t>TX500820</t>
  </si>
  <si>
    <t>TX500821</t>
  </si>
  <si>
    <t>TX500822</t>
  </si>
  <si>
    <t>TX500823</t>
  </si>
  <si>
    <t>TX500824</t>
  </si>
  <si>
    <t>TX500825</t>
  </si>
  <si>
    <t>TX500826</t>
  </si>
  <si>
    <t>TX500827</t>
  </si>
  <si>
    <t>TX500828</t>
  </si>
  <si>
    <t>TX500829</t>
  </si>
  <si>
    <t>TX500830</t>
  </si>
  <si>
    <t>TX500831</t>
  </si>
  <si>
    <t>TX500832</t>
  </si>
  <si>
    <t>TX500833</t>
  </si>
  <si>
    <t>TX500834</t>
  </si>
  <si>
    <t>TX500835</t>
  </si>
  <si>
    <t>TX500836</t>
  </si>
  <si>
    <t>TX500837</t>
  </si>
  <si>
    <t>TX500838</t>
  </si>
  <si>
    <t>TX500839</t>
  </si>
  <si>
    <t>TX500840</t>
  </si>
  <si>
    <t>TX500841</t>
  </si>
  <si>
    <t>TX500842</t>
  </si>
  <si>
    <t>TX500843</t>
  </si>
  <si>
    <t>TX500844</t>
  </si>
  <si>
    <t>TX500845</t>
  </si>
  <si>
    <t>TX500846</t>
  </si>
  <si>
    <t>TX500847</t>
  </si>
  <si>
    <t>TX500848</t>
  </si>
  <si>
    <t>TX500849</t>
  </si>
  <si>
    <t>TX500850</t>
  </si>
  <si>
    <t>TX500851</t>
  </si>
  <si>
    <t>TX500852</t>
  </si>
  <si>
    <t>TX500853</t>
  </si>
  <si>
    <t>TX500854</t>
  </si>
  <si>
    <t>Lake County</t>
  </si>
  <si>
    <t>TX500855</t>
  </si>
  <si>
    <t>TX500856</t>
  </si>
  <si>
    <t>TX500857</t>
  </si>
  <si>
    <t>TX500858</t>
  </si>
  <si>
    <t>TX500859</t>
  </si>
  <si>
    <t>TX500860</t>
  </si>
  <si>
    <t>TX500861</t>
  </si>
  <si>
    <t>TX500862</t>
  </si>
  <si>
    <t>TX500863</t>
  </si>
  <si>
    <t>TX500864</t>
  </si>
  <si>
    <t>TX500865</t>
  </si>
  <si>
    <t>TX500866</t>
  </si>
  <si>
    <t>TX500867</t>
  </si>
  <si>
    <t>TX500868</t>
  </si>
  <si>
    <t>TX500869</t>
  </si>
  <si>
    <t>TX500870</t>
  </si>
  <si>
    <t>TX500871</t>
  </si>
  <si>
    <t>Butte County</t>
  </si>
  <si>
    <t>TX500872</t>
  </si>
  <si>
    <t>TX500873</t>
  </si>
  <si>
    <t>TX500874</t>
  </si>
  <si>
    <t>TX500875</t>
  </si>
  <si>
    <t>TX500876</t>
  </si>
  <si>
    <t>TX500877</t>
  </si>
  <si>
    <t>TX500878</t>
  </si>
  <si>
    <t>TX500879</t>
  </si>
  <si>
    <t>TX500880</t>
  </si>
  <si>
    <t>TX500881</t>
  </si>
  <si>
    <t>TX500882</t>
  </si>
  <si>
    <t>TX500883</t>
  </si>
  <si>
    <t>TX500884</t>
  </si>
  <si>
    <t>TX500885</t>
  </si>
  <si>
    <t>TX500886</t>
  </si>
  <si>
    <t>TX500887</t>
  </si>
  <si>
    <t>TX500888</t>
  </si>
  <si>
    <t>TX500889</t>
  </si>
  <si>
    <t>TX500890</t>
  </si>
  <si>
    <t>TX500891</t>
  </si>
  <si>
    <t>TX500892</t>
  </si>
  <si>
    <t>TX500893</t>
  </si>
  <si>
    <t>TX500894</t>
  </si>
  <si>
    <t>TX500895</t>
  </si>
  <si>
    <t>TX500896</t>
  </si>
  <si>
    <t>TX500897</t>
  </si>
  <si>
    <t>TX500898</t>
  </si>
  <si>
    <t>TX500899</t>
  </si>
  <si>
    <t>TX500900</t>
  </si>
  <si>
    <t>Tuolumne County</t>
  </si>
  <si>
    <t>TX500901</t>
  </si>
  <si>
    <t>TX500902</t>
  </si>
  <si>
    <t>TX500903</t>
  </si>
  <si>
    <t>TX500904</t>
  </si>
  <si>
    <t>TX500905</t>
  </si>
  <si>
    <t>TX500906</t>
  </si>
  <si>
    <t>TX500907</t>
  </si>
  <si>
    <t>TX500908</t>
  </si>
  <si>
    <t>TX500909</t>
  </si>
  <si>
    <t>TX500910</t>
  </si>
  <si>
    <t>TX500911</t>
  </si>
  <si>
    <t>TX500912</t>
  </si>
  <si>
    <t>TX500913</t>
  </si>
  <si>
    <t>TX500914</t>
  </si>
  <si>
    <t>TX500915</t>
  </si>
  <si>
    <t>TX500916</t>
  </si>
  <si>
    <t>TX500917</t>
  </si>
  <si>
    <t>TX500918</t>
  </si>
  <si>
    <t>TX500919</t>
  </si>
  <si>
    <t>TX500920</t>
  </si>
  <si>
    <t>TX500921</t>
  </si>
  <si>
    <t>TX500922</t>
  </si>
  <si>
    <t>TX500923</t>
  </si>
  <si>
    <t>TX500924</t>
  </si>
  <si>
    <t>TX500925</t>
  </si>
  <si>
    <t>TX500926</t>
  </si>
  <si>
    <t>TX500927</t>
  </si>
  <si>
    <t>TX500928</t>
  </si>
  <si>
    <t>TX500929</t>
  </si>
  <si>
    <t>TX500930</t>
  </si>
  <si>
    <t>TX500931</t>
  </si>
  <si>
    <t>TX500932</t>
  </si>
  <si>
    <t>TX500933</t>
  </si>
  <si>
    <t>TX500934</t>
  </si>
  <si>
    <t>TX500935</t>
  </si>
  <si>
    <t>TX500936</t>
  </si>
  <si>
    <t>TX500937</t>
  </si>
  <si>
    <t>TX500938</t>
  </si>
  <si>
    <t>TX500939</t>
  </si>
  <si>
    <t>TX500940</t>
  </si>
  <si>
    <t>TX500941</t>
  </si>
  <si>
    <t>TX500942</t>
  </si>
  <si>
    <t>TX500943</t>
  </si>
  <si>
    <t>TX500944</t>
  </si>
  <si>
    <t>TX500945</t>
  </si>
  <si>
    <t>TX500946</t>
  </si>
  <si>
    <t>TX500947</t>
  </si>
  <si>
    <t>TX500948</t>
  </si>
  <si>
    <t>TX500949</t>
  </si>
  <si>
    <t>TX500950</t>
  </si>
  <si>
    <t>TX500951</t>
  </si>
  <si>
    <t>TX500952</t>
  </si>
  <si>
    <t>TX500953</t>
  </si>
  <si>
    <t>TX500954</t>
  </si>
  <si>
    <t>TX500955</t>
  </si>
  <si>
    <t>TX500956</t>
  </si>
  <si>
    <t>TX500957</t>
  </si>
  <si>
    <t>TX500958</t>
  </si>
  <si>
    <t>TX500959</t>
  </si>
  <si>
    <t>TX500960</t>
  </si>
  <si>
    <t>TX500961</t>
  </si>
  <si>
    <t>TX500962</t>
  </si>
  <si>
    <t>TX500963</t>
  </si>
  <si>
    <t>TX500964</t>
  </si>
  <si>
    <t>TX500965</t>
  </si>
  <si>
    <t>TX500966</t>
  </si>
  <si>
    <t>TX500967</t>
  </si>
  <si>
    <t>TX500968</t>
  </si>
  <si>
    <t>TX500969</t>
  </si>
  <si>
    <t>TX500970</t>
  </si>
  <si>
    <t>TX500971</t>
  </si>
  <si>
    <t>TX500972</t>
  </si>
  <si>
    <t>TX500973</t>
  </si>
  <si>
    <t>TX500974</t>
  </si>
  <si>
    <t>TX500975</t>
  </si>
  <si>
    <t>TX500976</t>
  </si>
  <si>
    <t>TX500977</t>
  </si>
  <si>
    <t>TX500978</t>
  </si>
  <si>
    <t>TX500979</t>
  </si>
  <si>
    <t>TX500980</t>
  </si>
  <si>
    <t>TX500981</t>
  </si>
  <si>
    <t>TX500982</t>
  </si>
  <si>
    <t>TX500983</t>
  </si>
  <si>
    <t>TX500984</t>
  </si>
  <si>
    <t>TX500985</t>
  </si>
  <si>
    <t>TX500986</t>
  </si>
  <si>
    <t>TX500987</t>
  </si>
  <si>
    <t>TX500988</t>
  </si>
  <si>
    <t>TX500989</t>
  </si>
  <si>
    <t>TX500990</t>
  </si>
  <si>
    <t>TX500991</t>
  </si>
  <si>
    <t>TX500992</t>
  </si>
  <si>
    <t>TX500993</t>
  </si>
  <si>
    <t>TX500994</t>
  </si>
  <si>
    <t>TX500995</t>
  </si>
  <si>
    <t>TX500996</t>
  </si>
  <si>
    <t>TX500997</t>
  </si>
  <si>
    <t>TX500998</t>
  </si>
  <si>
    <t>TX500999</t>
  </si>
  <si>
    <t>TX501000</t>
  </si>
  <si>
    <t>TX501001</t>
  </si>
  <si>
    <t>TX501002</t>
  </si>
  <si>
    <t>TX501003</t>
  </si>
  <si>
    <t>TX501004</t>
  </si>
  <si>
    <t>TX501005</t>
  </si>
  <si>
    <t>TX501006</t>
  </si>
  <si>
    <t>TX501007</t>
  </si>
  <si>
    <t>TX501008</t>
  </si>
  <si>
    <t>TX501009</t>
  </si>
  <si>
    <t>TX501010</t>
  </si>
  <si>
    <t>TX501011</t>
  </si>
  <si>
    <t>TX501012</t>
  </si>
  <si>
    <t>TX501013</t>
  </si>
  <si>
    <t>TX501014</t>
  </si>
  <si>
    <t>TX501015</t>
  </si>
  <si>
    <t>TX501016</t>
  </si>
  <si>
    <t>TX501017</t>
  </si>
  <si>
    <t>TX501018</t>
  </si>
  <si>
    <t>Shasta County</t>
  </si>
  <si>
    <t>TX501019</t>
  </si>
  <si>
    <t>TX501020</t>
  </si>
  <si>
    <t>TX501021</t>
  </si>
  <si>
    <t>TX501022</t>
  </si>
  <si>
    <t>TX501023</t>
  </si>
  <si>
    <t>TX501024</t>
  </si>
  <si>
    <t>TX501025</t>
  </si>
  <si>
    <t>TX501026</t>
  </si>
  <si>
    <t>TX501027</t>
  </si>
  <si>
    <t>TX501028</t>
  </si>
  <si>
    <t>TX501029</t>
  </si>
  <si>
    <t>TX501030</t>
  </si>
  <si>
    <t>TX501031</t>
  </si>
  <si>
    <t>TX501032</t>
  </si>
  <si>
    <t>TX501033</t>
  </si>
  <si>
    <t>TX501034</t>
  </si>
  <si>
    <t>TX501035</t>
  </si>
  <si>
    <t>TX501036</t>
  </si>
  <si>
    <t>TX501037</t>
  </si>
  <si>
    <t>TX501038</t>
  </si>
  <si>
    <t>TX501039</t>
  </si>
  <si>
    <t>TX501040</t>
  </si>
  <si>
    <t>TX501041</t>
  </si>
  <si>
    <t>TX501042</t>
  </si>
  <si>
    <t>TX501043</t>
  </si>
  <si>
    <t>TX501044</t>
  </si>
  <si>
    <t>TX501045</t>
  </si>
  <si>
    <t>TX501046</t>
  </si>
  <si>
    <t>TX501047</t>
  </si>
  <si>
    <t>TX501048</t>
  </si>
  <si>
    <t>TX501049</t>
  </si>
  <si>
    <t>TX501050</t>
  </si>
  <si>
    <t>TX501051</t>
  </si>
  <si>
    <t>TX501052</t>
  </si>
  <si>
    <t>TX501053</t>
  </si>
  <si>
    <t>TX501054</t>
  </si>
  <si>
    <t>TX501055</t>
  </si>
  <si>
    <t>TX501056</t>
  </si>
  <si>
    <t>TX501057</t>
  </si>
  <si>
    <t>TX501058</t>
  </si>
  <si>
    <t>TX501059</t>
  </si>
  <si>
    <t>TX501060</t>
  </si>
  <si>
    <t>TX501061</t>
  </si>
  <si>
    <t>TX501062</t>
  </si>
  <si>
    <t>TX501063</t>
  </si>
  <si>
    <t>TX501064</t>
  </si>
  <si>
    <t>TX501065</t>
  </si>
  <si>
    <t>TX501066</t>
  </si>
  <si>
    <t>TX501067</t>
  </si>
  <si>
    <t>TX501068</t>
  </si>
  <si>
    <t>TX501069</t>
  </si>
  <si>
    <t>TX501070</t>
  </si>
  <si>
    <t>TX501071</t>
  </si>
  <si>
    <t>TX501072</t>
  </si>
  <si>
    <t>TX501073</t>
  </si>
  <si>
    <t>TX501074</t>
  </si>
  <si>
    <t>TX501075</t>
  </si>
  <si>
    <t>TX501076</t>
  </si>
  <si>
    <t>TX501077</t>
  </si>
  <si>
    <t>TX501078</t>
  </si>
  <si>
    <t>TX501079</t>
  </si>
  <si>
    <t>TX501080</t>
  </si>
  <si>
    <t>TX501081</t>
  </si>
  <si>
    <t>TX501082</t>
  </si>
  <si>
    <t>TX501083</t>
  </si>
  <si>
    <t>TX501084</t>
  </si>
  <si>
    <t>TX501085</t>
  </si>
  <si>
    <t>TX501086</t>
  </si>
  <si>
    <t>TX501087</t>
  </si>
  <si>
    <t>TX501088</t>
  </si>
  <si>
    <t>TX501089</t>
  </si>
  <si>
    <t>TX501090</t>
  </si>
  <si>
    <t>TX501091</t>
  </si>
  <si>
    <t>TX501092</t>
  </si>
  <si>
    <t>TX501093</t>
  </si>
  <si>
    <t>TX501094</t>
  </si>
  <si>
    <t>TX501095</t>
  </si>
  <si>
    <t>TX501096</t>
  </si>
  <si>
    <t>TX501097</t>
  </si>
  <si>
    <t>TX501098</t>
  </si>
  <si>
    <t>TX501099</t>
  </si>
  <si>
    <t>TX501100</t>
  </si>
  <si>
    <t>TX501101</t>
  </si>
  <si>
    <t>TX501102</t>
  </si>
  <si>
    <t>TX501103</t>
  </si>
  <si>
    <t>TX501104</t>
  </si>
  <si>
    <t>TX501105</t>
  </si>
  <si>
    <t>TX501106</t>
  </si>
  <si>
    <t>TX501107</t>
  </si>
  <si>
    <t>TX501108</t>
  </si>
  <si>
    <t>TX501109</t>
  </si>
  <si>
    <t>TX501110</t>
  </si>
  <si>
    <t>TX501111</t>
  </si>
  <si>
    <t>TX501112</t>
  </si>
  <si>
    <t>TX501113</t>
  </si>
  <si>
    <t>TX501114</t>
  </si>
  <si>
    <t>TX501115</t>
  </si>
  <si>
    <t>TX501116</t>
  </si>
  <si>
    <t>TX501117</t>
  </si>
  <si>
    <t>TX501118</t>
  </si>
  <si>
    <t>TX501119</t>
  </si>
  <si>
    <t>TX501120</t>
  </si>
  <si>
    <t>TX501121</t>
  </si>
  <si>
    <t>TX501122</t>
  </si>
  <si>
    <t>TX501123</t>
  </si>
  <si>
    <t>TX501124</t>
  </si>
  <si>
    <t>TX501125</t>
  </si>
  <si>
    <t>TX501126</t>
  </si>
  <si>
    <t>TX501127</t>
  </si>
  <si>
    <t>TX501128</t>
  </si>
  <si>
    <t>TX501129</t>
  </si>
  <si>
    <t>TX501130</t>
  </si>
  <si>
    <t>TX501131</t>
  </si>
  <si>
    <t>TX501132</t>
  </si>
  <si>
    <t>TX501133</t>
  </si>
  <si>
    <t>TX501134</t>
  </si>
  <si>
    <t>TX501135</t>
  </si>
  <si>
    <t>TX501136</t>
  </si>
  <si>
    <t>TX501137</t>
  </si>
  <si>
    <t>TX501138</t>
  </si>
  <si>
    <t>TX501139</t>
  </si>
  <si>
    <t>TX501140</t>
  </si>
  <si>
    <t>TX501141</t>
  </si>
  <si>
    <t>TX501142</t>
  </si>
  <si>
    <t>TX501143</t>
  </si>
  <si>
    <t>TX501144</t>
  </si>
  <si>
    <t>TX501145</t>
  </si>
  <si>
    <t>TX501146</t>
  </si>
  <si>
    <t>TX501147</t>
  </si>
  <si>
    <t>TX501148</t>
  </si>
  <si>
    <t>TX501149</t>
  </si>
  <si>
    <t>TX501150</t>
  </si>
  <si>
    <t>TX501151</t>
  </si>
  <si>
    <t>TX501152</t>
  </si>
  <si>
    <t>TX501153</t>
  </si>
  <si>
    <t>TX501154</t>
  </si>
  <si>
    <t>TX501155</t>
  </si>
  <si>
    <t>TX501156</t>
  </si>
  <si>
    <t>TX501157</t>
  </si>
  <si>
    <t>TX501158</t>
  </si>
  <si>
    <t>TX501159</t>
  </si>
  <si>
    <t>TX501160</t>
  </si>
  <si>
    <t>TX501161</t>
  </si>
  <si>
    <t>TX501162</t>
  </si>
  <si>
    <t>TX501163</t>
  </si>
  <si>
    <t>TX501164</t>
  </si>
  <si>
    <t>TX501165</t>
  </si>
  <si>
    <t>TX501166</t>
  </si>
  <si>
    <t>TX501167</t>
  </si>
  <si>
    <t>TX501168</t>
  </si>
  <si>
    <t>TX501169</t>
  </si>
  <si>
    <t>TX501170</t>
  </si>
  <si>
    <t>TX501171</t>
  </si>
  <si>
    <t>TX501172</t>
  </si>
  <si>
    <t>TX501173</t>
  </si>
  <si>
    <t>TX501174</t>
  </si>
  <si>
    <t>TX501175</t>
  </si>
  <si>
    <t>TX501176</t>
  </si>
  <si>
    <t>TX501177</t>
  </si>
  <si>
    <t>TX501178</t>
  </si>
  <si>
    <t>TX501179</t>
  </si>
  <si>
    <t>TX501180</t>
  </si>
  <si>
    <t>TX501181</t>
  </si>
  <si>
    <t>TX501182</t>
  </si>
  <si>
    <t>TX501183</t>
  </si>
  <si>
    <t>TX501184</t>
  </si>
  <si>
    <t>TX501185</t>
  </si>
  <si>
    <t>TX501186</t>
  </si>
  <si>
    <t>TX501187</t>
  </si>
  <si>
    <t>TX501188</t>
  </si>
  <si>
    <t>TX501189</t>
  </si>
  <si>
    <t>TX501190</t>
  </si>
  <si>
    <t>TX501191</t>
  </si>
  <si>
    <t>TX501192</t>
  </si>
  <si>
    <t>TX501193</t>
  </si>
  <si>
    <t>TX501194</t>
  </si>
  <si>
    <t>TX501195</t>
  </si>
  <si>
    <t>TX501196</t>
  </si>
  <si>
    <t>TX501197</t>
  </si>
  <si>
    <t>TX501198</t>
  </si>
  <si>
    <t>TX501199</t>
  </si>
  <si>
    <t>TX501200</t>
  </si>
  <si>
    <t>TX501201</t>
  </si>
  <si>
    <t>TX501202</t>
  </si>
  <si>
    <t>TX501203</t>
  </si>
  <si>
    <t>TX501204</t>
  </si>
  <si>
    <t>TX501205</t>
  </si>
  <si>
    <t>TX501206</t>
  </si>
  <si>
    <t>TX501207</t>
  </si>
  <si>
    <t>TX501208</t>
  </si>
  <si>
    <t>TX501209</t>
  </si>
  <si>
    <t>TX501210</t>
  </si>
  <si>
    <t>TX501211</t>
  </si>
  <si>
    <t>TX501212</t>
  </si>
  <si>
    <t>TX501213</t>
  </si>
  <si>
    <t>TX501214</t>
  </si>
  <si>
    <t>TX501215</t>
  </si>
  <si>
    <t>TX501216</t>
  </si>
  <si>
    <t>TX501217</t>
  </si>
  <si>
    <t>TX501218</t>
  </si>
  <si>
    <t>TX501219</t>
  </si>
  <si>
    <t>TX501220</t>
  </si>
  <si>
    <t>TX501221</t>
  </si>
  <si>
    <t>TX501222</t>
  </si>
  <si>
    <t>TX501223</t>
  </si>
  <si>
    <t>TX501224</t>
  </si>
  <si>
    <t>TX501225</t>
  </si>
  <si>
    <t>TX501226</t>
  </si>
  <si>
    <t>TX501227</t>
  </si>
  <si>
    <t>TX501228</t>
  </si>
  <si>
    <t>TX501229</t>
  </si>
  <si>
    <t>TX501230</t>
  </si>
  <si>
    <t>TX501231</t>
  </si>
  <si>
    <t>TX501232</t>
  </si>
  <si>
    <t>TX501233</t>
  </si>
  <si>
    <t>TX501234</t>
  </si>
  <si>
    <t>TX501235</t>
  </si>
  <si>
    <t>TX501236</t>
  </si>
  <si>
    <t>TX501237</t>
  </si>
  <si>
    <t>TX501238</t>
  </si>
  <si>
    <t>TX501239</t>
  </si>
  <si>
    <t>TX501240</t>
  </si>
  <si>
    <t>TX501241</t>
  </si>
  <si>
    <t>TX501242</t>
  </si>
  <si>
    <t>TX501243</t>
  </si>
  <si>
    <t>TX501244</t>
  </si>
  <si>
    <t>TX501245</t>
  </si>
  <si>
    <t>TX501246</t>
  </si>
  <si>
    <t>TX501247</t>
  </si>
  <si>
    <t>TX501248</t>
  </si>
  <si>
    <t>TX501249</t>
  </si>
  <si>
    <t>TX501250</t>
  </si>
  <si>
    <t>TX501251</t>
  </si>
  <si>
    <t>TX501252</t>
  </si>
  <si>
    <t>TX501253</t>
  </si>
  <si>
    <t>TX501254</t>
  </si>
  <si>
    <t>TX501255</t>
  </si>
  <si>
    <t>TX501256</t>
  </si>
  <si>
    <t>TX501257</t>
  </si>
  <si>
    <t>TX501258</t>
  </si>
  <si>
    <t>TX501259</t>
  </si>
  <si>
    <t>TX501260</t>
  </si>
  <si>
    <t>TX501261</t>
  </si>
  <si>
    <t>TX501262</t>
  </si>
  <si>
    <t>TX501263</t>
  </si>
  <si>
    <t>TX501264</t>
  </si>
  <si>
    <t>TX501265</t>
  </si>
  <si>
    <t>TX501266</t>
  </si>
  <si>
    <t>TX501267</t>
  </si>
  <si>
    <t>TX501268</t>
  </si>
  <si>
    <t>TX501269</t>
  </si>
  <si>
    <t>TX501270</t>
  </si>
  <si>
    <t>TX501271</t>
  </si>
  <si>
    <t>TX501272</t>
  </si>
  <si>
    <t>TX501273</t>
  </si>
  <si>
    <t>TX501274</t>
  </si>
  <si>
    <t>TX501275</t>
  </si>
  <si>
    <t>TX501276</t>
  </si>
  <si>
    <t>TX501277</t>
  </si>
  <si>
    <t>TX501278</t>
  </si>
  <si>
    <t>TX501279</t>
  </si>
  <si>
    <t>TX501280</t>
  </si>
  <si>
    <t>TX501281</t>
  </si>
  <si>
    <t>TX501282</t>
  </si>
  <si>
    <t>TX501283</t>
  </si>
  <si>
    <t>TX501284</t>
  </si>
  <si>
    <t>Colusa County</t>
  </si>
  <si>
    <t>TX501285</t>
  </si>
  <si>
    <t>TX501286</t>
  </si>
  <si>
    <t>TX501287</t>
  </si>
  <si>
    <t>TX501288</t>
  </si>
  <si>
    <t>TX501289</t>
  </si>
  <si>
    <t>TX501290</t>
  </si>
  <si>
    <t>TX501291</t>
  </si>
  <si>
    <t>TX501292</t>
  </si>
  <si>
    <t>TX501293</t>
  </si>
  <si>
    <t>TX501294</t>
  </si>
  <si>
    <t>TX501295</t>
  </si>
  <si>
    <t>TX501296</t>
  </si>
  <si>
    <t>TX501297</t>
  </si>
  <si>
    <t>TX501298</t>
  </si>
  <si>
    <t>TX501299</t>
  </si>
  <si>
    <t>TX501300</t>
  </si>
  <si>
    <t>TX501301</t>
  </si>
  <si>
    <t>TX501302</t>
  </si>
  <si>
    <t>TX501303</t>
  </si>
  <si>
    <t>TX501304</t>
  </si>
  <si>
    <t>TX501305</t>
  </si>
  <si>
    <t>TX501306</t>
  </si>
  <si>
    <t>TX501307</t>
  </si>
  <si>
    <t>TX501308</t>
  </si>
  <si>
    <t>TX501309</t>
  </si>
  <si>
    <t>TX501310</t>
  </si>
  <si>
    <t>TX501311</t>
  </si>
  <si>
    <t>TX501312</t>
  </si>
  <si>
    <t>TX501313</t>
  </si>
  <si>
    <t>TX501314</t>
  </si>
  <si>
    <t>TX501315</t>
  </si>
  <si>
    <t>TX501316</t>
  </si>
  <si>
    <t>TX501317</t>
  </si>
  <si>
    <t>TX501318</t>
  </si>
  <si>
    <t>TX501319</t>
  </si>
  <si>
    <t>TX501320</t>
  </si>
  <si>
    <t>TX501321</t>
  </si>
  <si>
    <t>TX501322</t>
  </si>
  <si>
    <t>TX501323</t>
  </si>
  <si>
    <t>TX501324</t>
  </si>
  <si>
    <t>TX501325</t>
  </si>
  <si>
    <t>TX501326</t>
  </si>
  <si>
    <t>Lassen County</t>
  </si>
  <si>
    <t>TX501327</t>
  </si>
  <si>
    <t>TX501328</t>
  </si>
  <si>
    <t>TX501329</t>
  </si>
  <si>
    <t>TX501330</t>
  </si>
  <si>
    <t>TX501331</t>
  </si>
  <si>
    <t>TX501332</t>
  </si>
  <si>
    <t>TX501333</t>
  </si>
  <si>
    <t>TX501334</t>
  </si>
  <si>
    <t>TX501335</t>
  </si>
  <si>
    <t>TX501336</t>
  </si>
  <si>
    <t>TX501337</t>
  </si>
  <si>
    <t>TX501338</t>
  </si>
  <si>
    <t>TX501339</t>
  </si>
  <si>
    <t>TX501340</t>
  </si>
  <si>
    <t>TX501341</t>
  </si>
  <si>
    <t>TX501342</t>
  </si>
  <si>
    <t>TX501343</t>
  </si>
  <si>
    <t>TX501344</t>
  </si>
  <si>
    <t>TX501345</t>
  </si>
  <si>
    <t>TX501346</t>
  </si>
  <si>
    <t>TX501347</t>
  </si>
  <si>
    <t>TX501348</t>
  </si>
  <si>
    <t>TX501349</t>
  </si>
  <si>
    <t>TX501350</t>
  </si>
  <si>
    <t>TX501351</t>
  </si>
  <si>
    <t>TX501352</t>
  </si>
  <si>
    <t>TX501353</t>
  </si>
  <si>
    <t>TX501354</t>
  </si>
  <si>
    <t>TX501355</t>
  </si>
  <si>
    <t>TX501356</t>
  </si>
  <si>
    <t>TX501357</t>
  </si>
  <si>
    <t>TX501358</t>
  </si>
  <si>
    <t>TX501359</t>
  </si>
  <si>
    <t>TX501360</t>
  </si>
  <si>
    <t>TX501361</t>
  </si>
  <si>
    <t>TX501362</t>
  </si>
  <si>
    <t>TX501363</t>
  </si>
  <si>
    <t>TX501364</t>
  </si>
  <si>
    <t>TX501365</t>
  </si>
  <si>
    <t>TX501366</t>
  </si>
  <si>
    <t>TX501367</t>
  </si>
  <si>
    <t>TX501368</t>
  </si>
  <si>
    <t>TX501369</t>
  </si>
  <si>
    <t>TX501370</t>
  </si>
  <si>
    <t>TX501371</t>
  </si>
  <si>
    <t>TX501372</t>
  </si>
  <si>
    <t>TX501373</t>
  </si>
  <si>
    <t>TX501374</t>
  </si>
  <si>
    <t>TX501375</t>
  </si>
  <si>
    <t>TX501376</t>
  </si>
  <si>
    <t>TX501377</t>
  </si>
  <si>
    <t>TX501378</t>
  </si>
  <si>
    <t>TX501379</t>
  </si>
  <si>
    <t>TX501380</t>
  </si>
  <si>
    <t>TX501381</t>
  </si>
  <si>
    <t>TX501382</t>
  </si>
  <si>
    <t>TX501383</t>
  </si>
  <si>
    <t>TX501384</t>
  </si>
  <si>
    <t>TX501385</t>
  </si>
  <si>
    <t>TX501386</t>
  </si>
  <si>
    <t>TX501387</t>
  </si>
  <si>
    <t>TX501388</t>
  </si>
  <si>
    <t>TX501389</t>
  </si>
  <si>
    <t>TX501390</t>
  </si>
  <si>
    <t>TX501391</t>
  </si>
  <si>
    <t>TX501392</t>
  </si>
  <si>
    <t>TX501393</t>
  </si>
  <si>
    <t>TX501394</t>
  </si>
  <si>
    <t>TX501395</t>
  </si>
  <si>
    <t>TX501396</t>
  </si>
  <si>
    <t>TX501397</t>
  </si>
  <si>
    <t>TX501398</t>
  </si>
  <si>
    <t>TX501399</t>
  </si>
  <si>
    <t>TX501400</t>
  </si>
  <si>
    <t>TX501401</t>
  </si>
  <si>
    <t>TX501402</t>
  </si>
  <si>
    <t>TX501403</t>
  </si>
  <si>
    <t>TX501404</t>
  </si>
  <si>
    <t>TX501405</t>
  </si>
  <si>
    <t>TX501406</t>
  </si>
  <si>
    <t>TX501407</t>
  </si>
  <si>
    <t>TX501408</t>
  </si>
  <si>
    <t>TX501409</t>
  </si>
  <si>
    <t>TX501410</t>
  </si>
  <si>
    <t>TX501411</t>
  </si>
  <si>
    <t>TX501412</t>
  </si>
  <si>
    <t>TX501413</t>
  </si>
  <si>
    <t>TX501414</t>
  </si>
  <si>
    <t>TX501415</t>
  </si>
  <si>
    <t>TX501416</t>
  </si>
  <si>
    <t>TX501417</t>
  </si>
  <si>
    <t>TX501418</t>
  </si>
  <si>
    <t>TX501419</t>
  </si>
  <si>
    <t>TX501420</t>
  </si>
  <si>
    <t>TX501421</t>
  </si>
  <si>
    <t>TX501422</t>
  </si>
  <si>
    <t>TX501423</t>
  </si>
  <si>
    <t>TX501424</t>
  </si>
  <si>
    <t>TX501425</t>
  </si>
  <si>
    <t>TX501426</t>
  </si>
  <si>
    <t>TX501427</t>
  </si>
  <si>
    <t>TX501428</t>
  </si>
  <si>
    <t>TX501429</t>
  </si>
  <si>
    <t>TX501430</t>
  </si>
  <si>
    <t>TX501431</t>
  </si>
  <si>
    <t>TX501432</t>
  </si>
  <si>
    <t>TX501433</t>
  </si>
  <si>
    <t>TX501434</t>
  </si>
  <si>
    <t>TX501435</t>
  </si>
  <si>
    <t>TX501436</t>
  </si>
  <si>
    <t>TX501437</t>
  </si>
  <si>
    <t>TX501438</t>
  </si>
  <si>
    <t>TX501439</t>
  </si>
  <si>
    <t>TX501440</t>
  </si>
  <si>
    <t>TX501441</t>
  </si>
  <si>
    <t>TX501442</t>
  </si>
  <si>
    <t>TX501443</t>
  </si>
  <si>
    <t>TX501444</t>
  </si>
  <si>
    <t>TX501445</t>
  </si>
  <si>
    <t>TX501446</t>
  </si>
  <si>
    <t>TX501447</t>
  </si>
  <si>
    <t>TX501448</t>
  </si>
  <si>
    <t>TX501449</t>
  </si>
  <si>
    <t>TX501450</t>
  </si>
  <si>
    <t>TX501451</t>
  </si>
  <si>
    <t>TX501452</t>
  </si>
  <si>
    <t>TX501453</t>
  </si>
  <si>
    <t>TX501454</t>
  </si>
  <si>
    <t>TX501455</t>
  </si>
  <si>
    <t>TX501456</t>
  </si>
  <si>
    <t>TX501457</t>
  </si>
  <si>
    <t>TX501458</t>
  </si>
  <si>
    <t>TX501459</t>
  </si>
  <si>
    <t>TX501460</t>
  </si>
  <si>
    <t>TX501461</t>
  </si>
  <si>
    <t>TX501462</t>
  </si>
  <si>
    <t>TX501463</t>
  </si>
  <si>
    <t>TX501464</t>
  </si>
  <si>
    <t>TX501465</t>
  </si>
  <si>
    <t>TX501466</t>
  </si>
  <si>
    <t>TX501467</t>
  </si>
  <si>
    <t>TX501468</t>
  </si>
  <si>
    <t>TX501469</t>
  </si>
  <si>
    <t>TX501470</t>
  </si>
  <si>
    <t>TX501471</t>
  </si>
  <si>
    <t>TX501472</t>
  </si>
  <si>
    <t>TX501473</t>
  </si>
  <si>
    <t>TX501474</t>
  </si>
  <si>
    <t>TX501475</t>
  </si>
  <si>
    <t>TX501476</t>
  </si>
  <si>
    <t>TX501477</t>
  </si>
  <si>
    <t>TX501478</t>
  </si>
  <si>
    <t>TX501479</t>
  </si>
  <si>
    <t>TX501480</t>
  </si>
  <si>
    <t>TX501481</t>
  </si>
  <si>
    <t>TX501482</t>
  </si>
  <si>
    <t>TX501483</t>
  </si>
  <si>
    <t>TX501484</t>
  </si>
  <si>
    <t>TX501485</t>
  </si>
  <si>
    <t>TX501486</t>
  </si>
  <si>
    <t>TX501487</t>
  </si>
  <si>
    <t>TX501488</t>
  </si>
  <si>
    <t>TX501489</t>
  </si>
  <si>
    <t>TX501490</t>
  </si>
  <si>
    <t>TX501491</t>
  </si>
  <si>
    <t>TX501492</t>
  </si>
  <si>
    <t>TX501493</t>
  </si>
  <si>
    <t>TX501494</t>
  </si>
  <si>
    <t>TX501495</t>
  </si>
  <si>
    <t>TX501496</t>
  </si>
  <si>
    <t>TX501497</t>
  </si>
  <si>
    <t>TX501498</t>
  </si>
  <si>
    <t>TX501499</t>
  </si>
  <si>
    <t>TX501500</t>
  </si>
  <si>
    <t>TX501501</t>
  </si>
  <si>
    <t>TX501502</t>
  </si>
  <si>
    <t>TX501503</t>
  </si>
  <si>
    <t>TX501504</t>
  </si>
  <si>
    <t>TX501505</t>
  </si>
  <si>
    <t>TX501506</t>
  </si>
  <si>
    <t>TX501507</t>
  </si>
  <si>
    <t>TX501508</t>
  </si>
  <si>
    <t>TX501509</t>
  </si>
  <si>
    <t>TX501510</t>
  </si>
  <si>
    <t>TX501511</t>
  </si>
  <si>
    <t>TX501512</t>
  </si>
  <si>
    <t>TX501513</t>
  </si>
  <si>
    <t>TX501514</t>
  </si>
  <si>
    <t>TX501515</t>
  </si>
  <si>
    <t>TX501516</t>
  </si>
  <si>
    <t>TX501517</t>
  </si>
  <si>
    <t>TX501518</t>
  </si>
  <si>
    <t>TX501519</t>
  </si>
  <si>
    <t>TX501520</t>
  </si>
  <si>
    <t>TX501521</t>
  </si>
  <si>
    <t>TX501522</t>
  </si>
  <si>
    <t>TX501523</t>
  </si>
  <si>
    <t>TX501524</t>
  </si>
  <si>
    <t>TX501525</t>
  </si>
  <si>
    <t>TX501526</t>
  </si>
  <si>
    <t>TX501527</t>
  </si>
  <si>
    <t>TX501528</t>
  </si>
  <si>
    <t>TX501529</t>
  </si>
  <si>
    <t>TX501530</t>
  </si>
  <si>
    <t>TX501531</t>
  </si>
  <si>
    <t>TX501532</t>
  </si>
  <si>
    <t>TX501533</t>
  </si>
  <si>
    <t>TX501534</t>
  </si>
  <si>
    <t>TX501535</t>
  </si>
  <si>
    <t>TX501536</t>
  </si>
  <si>
    <t>TX501537</t>
  </si>
  <si>
    <t>TX501538</t>
  </si>
  <si>
    <t>TX501539</t>
  </si>
  <si>
    <t>TX501540</t>
  </si>
  <si>
    <t>TX501541</t>
  </si>
  <si>
    <t>TX501542</t>
  </si>
  <si>
    <t>TX501543</t>
  </si>
  <si>
    <t>TX501544</t>
  </si>
  <si>
    <t>TX501545</t>
  </si>
  <si>
    <t>TX501546</t>
  </si>
  <si>
    <t>TX501547</t>
  </si>
  <si>
    <t>TX501548</t>
  </si>
  <si>
    <t>TX501549</t>
  </si>
  <si>
    <t>TX501550</t>
  </si>
  <si>
    <t>TX501551</t>
  </si>
  <si>
    <t>TX501552</t>
  </si>
  <si>
    <t>TX501553</t>
  </si>
  <si>
    <t>TX501554</t>
  </si>
  <si>
    <t>TX501555</t>
  </si>
  <si>
    <t>TX501556</t>
  </si>
  <si>
    <t>TX501557</t>
  </si>
  <si>
    <t>TX501558</t>
  </si>
  <si>
    <t>TX501559</t>
  </si>
  <si>
    <t>TX501560</t>
  </si>
  <si>
    <t>TX501561</t>
  </si>
  <si>
    <t>TX501562</t>
  </si>
  <si>
    <t>TX501563</t>
  </si>
  <si>
    <t>TX501564</t>
  </si>
  <si>
    <t>TX501565</t>
  </si>
  <si>
    <t>TX501566</t>
  </si>
  <si>
    <t>TX501567</t>
  </si>
  <si>
    <t>TX501568</t>
  </si>
  <si>
    <t>TX501569</t>
  </si>
  <si>
    <t>TX501570</t>
  </si>
  <si>
    <t>TX501571</t>
  </si>
  <si>
    <t>TX501572</t>
  </si>
  <si>
    <t>TX501573</t>
  </si>
  <si>
    <t>TX501574</t>
  </si>
  <si>
    <t>TX501575</t>
  </si>
  <si>
    <t>TX501576</t>
  </si>
  <si>
    <t>TX501577</t>
  </si>
  <si>
    <t>TX501578</t>
  </si>
  <si>
    <t>TX501579</t>
  </si>
  <si>
    <t>TX501580</t>
  </si>
  <si>
    <t>TX501581</t>
  </si>
  <si>
    <t>TX501582</t>
  </si>
  <si>
    <t>TX501583</t>
  </si>
  <si>
    <t>TX501584</t>
  </si>
  <si>
    <t>TX501585</t>
  </si>
  <si>
    <t>TX501586</t>
  </si>
  <si>
    <t>TX501587</t>
  </si>
  <si>
    <t>TX501588</t>
  </si>
  <si>
    <t>TX501589</t>
  </si>
  <si>
    <t>TX501590</t>
  </si>
  <si>
    <t>TX501591</t>
  </si>
  <si>
    <t>TX501592</t>
  </si>
  <si>
    <t>TX501593</t>
  </si>
  <si>
    <t>TX501594</t>
  </si>
  <si>
    <t>TX501595</t>
  </si>
  <si>
    <t>TX501596</t>
  </si>
  <si>
    <t>TX501597</t>
  </si>
  <si>
    <t>TX501598</t>
  </si>
  <si>
    <t>TX501599</t>
  </si>
  <si>
    <t>TX501600</t>
  </si>
  <si>
    <t>TX501601</t>
  </si>
  <si>
    <t>TX501602</t>
  </si>
  <si>
    <t>TX501603</t>
  </si>
  <si>
    <t>TX501604</t>
  </si>
  <si>
    <t>TX501605</t>
  </si>
  <si>
    <t>TX501606</t>
  </si>
  <si>
    <t>TX501607</t>
  </si>
  <si>
    <t>TX501608</t>
  </si>
  <si>
    <t>TX501609</t>
  </si>
  <si>
    <t>TX501610</t>
  </si>
  <si>
    <t>TX501611</t>
  </si>
  <si>
    <t>TX501612</t>
  </si>
  <si>
    <t>TX501613</t>
  </si>
  <si>
    <t>TX501614</t>
  </si>
  <si>
    <t>TX501615</t>
  </si>
  <si>
    <t>TX501616</t>
  </si>
  <si>
    <t>TX501617</t>
  </si>
  <si>
    <t>TX501618</t>
  </si>
  <si>
    <t>TX501619</t>
  </si>
  <si>
    <t>TX501620</t>
  </si>
  <si>
    <t>TX501621</t>
  </si>
  <si>
    <t>TX501622</t>
  </si>
  <si>
    <t>TX501623</t>
  </si>
  <si>
    <t>TX501624</t>
  </si>
  <si>
    <t>TX501625</t>
  </si>
  <si>
    <t>TX501626</t>
  </si>
  <si>
    <t>TX501627</t>
  </si>
  <si>
    <t>TX501628</t>
  </si>
  <si>
    <t>TX501629</t>
  </si>
  <si>
    <t>TX501630</t>
  </si>
  <si>
    <t>TX501631</t>
  </si>
  <si>
    <t>TX501632</t>
  </si>
  <si>
    <t>TX501633</t>
  </si>
  <si>
    <t>TX501634</t>
  </si>
  <si>
    <t>TX501635</t>
  </si>
  <si>
    <t>TX501636</t>
  </si>
  <si>
    <t>TX501637</t>
  </si>
  <si>
    <t>TX501638</t>
  </si>
  <si>
    <t>TX501639</t>
  </si>
  <si>
    <t>TX501640</t>
  </si>
  <si>
    <t>TX501641</t>
  </si>
  <si>
    <t>TX501642</t>
  </si>
  <si>
    <t>TX501643</t>
  </si>
  <si>
    <t>TX501644</t>
  </si>
  <si>
    <t>TX501645</t>
  </si>
  <si>
    <t>TX501646</t>
  </si>
  <si>
    <t>TX501647</t>
  </si>
  <si>
    <t>TX501648</t>
  </si>
  <si>
    <t>TX501649</t>
  </si>
  <si>
    <t>TX501650</t>
  </si>
  <si>
    <t>TX501651</t>
  </si>
  <si>
    <t>TX501652</t>
  </si>
  <si>
    <t>TX501653</t>
  </si>
  <si>
    <t>TX501654</t>
  </si>
  <si>
    <t>TX501655</t>
  </si>
  <si>
    <t>TX501656</t>
  </si>
  <si>
    <t>TX501657</t>
  </si>
  <si>
    <t>TX501658</t>
  </si>
  <si>
    <t>TX501659</t>
  </si>
  <si>
    <t>TX501660</t>
  </si>
  <si>
    <t>TX501661</t>
  </si>
  <si>
    <t>TX501662</t>
  </si>
  <si>
    <t>TX501663</t>
  </si>
  <si>
    <t>TX501664</t>
  </si>
  <si>
    <t>TX501665</t>
  </si>
  <si>
    <t>TX501666</t>
  </si>
  <si>
    <t>TX501667</t>
  </si>
  <si>
    <t>TX501668</t>
  </si>
  <si>
    <t>TX501669</t>
  </si>
  <si>
    <t>TX501670</t>
  </si>
  <si>
    <t>TX501671</t>
  </si>
  <si>
    <t>TX501672</t>
  </si>
  <si>
    <t>TX501673</t>
  </si>
  <si>
    <t>TX501674</t>
  </si>
  <si>
    <t>TX501675</t>
  </si>
  <si>
    <t>TX501676</t>
  </si>
  <si>
    <t>TX501677</t>
  </si>
  <si>
    <t>TX501678</t>
  </si>
  <si>
    <t>TX501679</t>
  </si>
  <si>
    <t>TX501680</t>
  </si>
  <si>
    <t>TX501681</t>
  </si>
  <si>
    <t>TX501682</t>
  </si>
  <si>
    <t>TX501683</t>
  </si>
  <si>
    <t>TX501684</t>
  </si>
  <si>
    <t>TX501685</t>
  </si>
  <si>
    <t>TX501686</t>
  </si>
  <si>
    <t>TX501687</t>
  </si>
  <si>
    <t>TX501688</t>
  </si>
  <si>
    <t>TX501689</t>
  </si>
  <si>
    <t>TX501690</t>
  </si>
  <si>
    <t>TX501691</t>
  </si>
  <si>
    <t>TX501692</t>
  </si>
  <si>
    <t>TX501693</t>
  </si>
  <si>
    <t>TX501694</t>
  </si>
  <si>
    <t>TX501695</t>
  </si>
  <si>
    <t>TX501696</t>
  </si>
  <si>
    <t>TX501697</t>
  </si>
  <si>
    <t>TX501698</t>
  </si>
  <si>
    <t>TX501699</t>
  </si>
  <si>
    <t>TX501700</t>
  </si>
  <si>
    <t>TX501701</t>
  </si>
  <si>
    <t>TX501702</t>
  </si>
  <si>
    <t>TX501703</t>
  </si>
  <si>
    <t>TX501704</t>
  </si>
  <si>
    <t>TX501705</t>
  </si>
  <si>
    <t>TX501706</t>
  </si>
  <si>
    <t>TX501707</t>
  </si>
  <si>
    <t>TX501708</t>
  </si>
  <si>
    <t>TX501709</t>
  </si>
  <si>
    <t>TX501710</t>
  </si>
  <si>
    <t>TX501711</t>
  </si>
  <si>
    <t>TX501712</t>
  </si>
  <si>
    <t>TX501713</t>
  </si>
  <si>
    <t>TX501714</t>
  </si>
  <si>
    <t>TX501715</t>
  </si>
  <si>
    <t>TX501716</t>
  </si>
  <si>
    <t>TX501717</t>
  </si>
  <si>
    <t>TX501718</t>
  </si>
  <si>
    <t>TX501719</t>
  </si>
  <si>
    <t>TX501720</t>
  </si>
  <si>
    <t>TX501721</t>
  </si>
  <si>
    <t>TX501722</t>
  </si>
  <si>
    <t>TX501723</t>
  </si>
  <si>
    <t>TX501724</t>
  </si>
  <si>
    <t>TX501725</t>
  </si>
  <si>
    <t>TX501726</t>
  </si>
  <si>
    <t>TX501727</t>
  </si>
  <si>
    <t>TX501728</t>
  </si>
  <si>
    <t>TX501729</t>
  </si>
  <si>
    <t>TX501730</t>
  </si>
  <si>
    <t>TX501731</t>
  </si>
  <si>
    <t>TX501732</t>
  </si>
  <si>
    <t>TX501733</t>
  </si>
  <si>
    <t>TX501734</t>
  </si>
  <si>
    <t>TX501735</t>
  </si>
  <si>
    <t>TX501736</t>
  </si>
  <si>
    <t>TX501737</t>
  </si>
  <si>
    <t>TX501738</t>
  </si>
  <si>
    <t>TX501739</t>
  </si>
  <si>
    <t>TX501740</t>
  </si>
  <si>
    <t>TX501741</t>
  </si>
  <si>
    <t>TX501742</t>
  </si>
  <si>
    <t>TX501743</t>
  </si>
  <si>
    <t>TX501744</t>
  </si>
  <si>
    <t>TX501745</t>
  </si>
  <si>
    <t>TX501746</t>
  </si>
  <si>
    <t>TX501747</t>
  </si>
  <si>
    <t>TX501748</t>
  </si>
  <si>
    <t>TX501749</t>
  </si>
  <si>
    <t>TX501750</t>
  </si>
  <si>
    <t>TX501751</t>
  </si>
  <si>
    <t>TX501752</t>
  </si>
  <si>
    <t>TX501753</t>
  </si>
  <si>
    <t>TX501754</t>
  </si>
  <si>
    <t>TX501755</t>
  </si>
  <si>
    <t>TX501756</t>
  </si>
  <si>
    <t>TX501757</t>
  </si>
  <si>
    <t>TX501758</t>
  </si>
  <si>
    <t>TX501759</t>
  </si>
  <si>
    <t>TX501760</t>
  </si>
  <si>
    <t>TX501761</t>
  </si>
  <si>
    <t>TX501762</t>
  </si>
  <si>
    <t>TX501763</t>
  </si>
  <si>
    <t>TX501764</t>
  </si>
  <si>
    <t>TX501765</t>
  </si>
  <si>
    <t>TX501766</t>
  </si>
  <si>
    <t>TX501767</t>
  </si>
  <si>
    <t>TX501768</t>
  </si>
  <si>
    <t>TX501769</t>
  </si>
  <si>
    <t>TX501770</t>
  </si>
  <si>
    <t>TX501771</t>
  </si>
  <si>
    <t>TX501772</t>
  </si>
  <si>
    <t>TX501773</t>
  </si>
  <si>
    <t>TX501774</t>
  </si>
  <si>
    <t>TX501775</t>
  </si>
  <si>
    <t>TX501776</t>
  </si>
  <si>
    <t>TX501777</t>
  </si>
  <si>
    <t>TX501778</t>
  </si>
  <si>
    <t>TX501779</t>
  </si>
  <si>
    <t>TX501780</t>
  </si>
  <si>
    <t>TX501781</t>
  </si>
  <si>
    <t>TX501782</t>
  </si>
  <si>
    <t>TX501783</t>
  </si>
  <si>
    <t>TX501784</t>
  </si>
  <si>
    <t>TX501785</t>
  </si>
  <si>
    <t>TX501786</t>
  </si>
  <si>
    <t>TX501787</t>
  </si>
  <si>
    <t>TX501788</t>
  </si>
  <si>
    <t>TX501789</t>
  </si>
  <si>
    <t>TX501790</t>
  </si>
  <si>
    <t>TX501791</t>
  </si>
  <si>
    <t>TX501792</t>
  </si>
  <si>
    <t>TX501793</t>
  </si>
  <si>
    <t>TX501794</t>
  </si>
  <si>
    <t>TX501795</t>
  </si>
  <si>
    <t>TX501796</t>
  </si>
  <si>
    <t>TX501797</t>
  </si>
  <si>
    <t>TX501798</t>
  </si>
  <si>
    <t>TX501799</t>
  </si>
  <si>
    <t>TX501800</t>
  </si>
  <si>
    <t>TX501801</t>
  </si>
  <si>
    <t>TX501802</t>
  </si>
  <si>
    <t>TX501803</t>
  </si>
  <si>
    <t>TX501804</t>
  </si>
  <si>
    <t>TX501805</t>
  </si>
  <si>
    <t>TX501806</t>
  </si>
  <si>
    <t>TX501807</t>
  </si>
  <si>
    <t>TX501808</t>
  </si>
  <si>
    <t>TX501809</t>
  </si>
  <si>
    <t>TX501810</t>
  </si>
  <si>
    <t>Yuba County</t>
  </si>
  <si>
    <t>TX501811</t>
  </si>
  <si>
    <t>TX501812</t>
  </si>
  <si>
    <t>TX501813</t>
  </si>
  <si>
    <t>TX501814</t>
  </si>
  <si>
    <t>TX501815</t>
  </si>
  <si>
    <t>TX501816</t>
  </si>
  <si>
    <t>TX501817</t>
  </si>
  <si>
    <t>TX501818</t>
  </si>
  <si>
    <t>TX501819</t>
  </si>
  <si>
    <t>TX501820</t>
  </si>
  <si>
    <t>TX501821</t>
  </si>
  <si>
    <t>TX501822</t>
  </si>
  <si>
    <t>TX501823</t>
  </si>
  <si>
    <t>TX501824</t>
  </si>
  <si>
    <t>TX501825</t>
  </si>
  <si>
    <t>TX501826</t>
  </si>
  <si>
    <t>TX501827</t>
  </si>
  <si>
    <t>TX501828</t>
  </si>
  <si>
    <t>TX501829</t>
  </si>
  <si>
    <t>TX501830</t>
  </si>
  <si>
    <t>TX501831</t>
  </si>
  <si>
    <t>TX501832</t>
  </si>
  <si>
    <t>TX501833</t>
  </si>
  <si>
    <t>TX501834</t>
  </si>
  <si>
    <t>TX501835</t>
  </si>
  <si>
    <t>TX501836</t>
  </si>
  <si>
    <t>TX501837</t>
  </si>
  <si>
    <t>TX501838</t>
  </si>
  <si>
    <t>TX501839</t>
  </si>
  <si>
    <t>TX501840</t>
  </si>
  <si>
    <t>TX501841</t>
  </si>
  <si>
    <t>TX501842</t>
  </si>
  <si>
    <t>TX501843</t>
  </si>
  <si>
    <t>TX501844</t>
  </si>
  <si>
    <t>TX501845</t>
  </si>
  <si>
    <t>TX501846</t>
  </si>
  <si>
    <t>TX501847</t>
  </si>
  <si>
    <t>TX501848</t>
  </si>
  <si>
    <t>TX501849</t>
  </si>
  <si>
    <t>TX501850</t>
  </si>
  <si>
    <t>TX501851</t>
  </si>
  <si>
    <t>TX501852</t>
  </si>
  <si>
    <t>TX501853</t>
  </si>
  <si>
    <t>TX501854</t>
  </si>
  <si>
    <t>TX501855</t>
  </si>
  <si>
    <t>TX501856</t>
  </si>
  <si>
    <t>TX501857</t>
  </si>
  <si>
    <t>TX501858</t>
  </si>
  <si>
    <t>TX501859</t>
  </si>
  <si>
    <t>TX501860</t>
  </si>
  <si>
    <t>TX501861</t>
  </si>
  <si>
    <t>TX501862</t>
  </si>
  <si>
    <t>TX501863</t>
  </si>
  <si>
    <t>TX501864</t>
  </si>
  <si>
    <t>TX501865</t>
  </si>
  <si>
    <t>TX501866</t>
  </si>
  <si>
    <t>TX501867</t>
  </si>
  <si>
    <t>TX501868</t>
  </si>
  <si>
    <t>TX501869</t>
  </si>
  <si>
    <t>TX501870</t>
  </si>
  <si>
    <t>TX501871</t>
  </si>
  <si>
    <t>TX501872</t>
  </si>
  <si>
    <t>TX501873</t>
  </si>
  <si>
    <t>TX501874</t>
  </si>
  <si>
    <t>TX501875</t>
  </si>
  <si>
    <t>TX501876</t>
  </si>
  <si>
    <t>TX501877</t>
  </si>
  <si>
    <t>TX501878</t>
  </si>
  <si>
    <t>TX501879</t>
  </si>
  <si>
    <t>TX501880</t>
  </si>
  <si>
    <t>TX501881</t>
  </si>
  <si>
    <t>TX501882</t>
  </si>
  <si>
    <t>TX501883</t>
  </si>
  <si>
    <t>TX501884</t>
  </si>
  <si>
    <t>TX501885</t>
  </si>
  <si>
    <t>TX501886</t>
  </si>
  <si>
    <t>TX501887</t>
  </si>
  <si>
    <t>TX501888</t>
  </si>
  <si>
    <t>TX501889</t>
  </si>
  <si>
    <t>TX501890</t>
  </si>
  <si>
    <t>TX501891</t>
  </si>
  <si>
    <t>TX501892</t>
  </si>
  <si>
    <t>TX501893</t>
  </si>
  <si>
    <t>TX501894</t>
  </si>
  <si>
    <t>TX501895</t>
  </si>
  <si>
    <t>TX501896</t>
  </si>
  <si>
    <t>TX501897</t>
  </si>
  <si>
    <t>TX501898</t>
  </si>
  <si>
    <t>TX501899</t>
  </si>
  <si>
    <t>TX501900</t>
  </si>
  <si>
    <t>TX501901</t>
  </si>
  <si>
    <t>TX501902</t>
  </si>
  <si>
    <t>TX501903</t>
  </si>
  <si>
    <t>TX501904</t>
  </si>
  <si>
    <t>TX501905</t>
  </si>
  <si>
    <t>TX501906</t>
  </si>
  <si>
    <t>TX501907</t>
  </si>
  <si>
    <t>TX501908</t>
  </si>
  <si>
    <t>TX501909</t>
  </si>
  <si>
    <t>TX501910</t>
  </si>
  <si>
    <t>TX501911</t>
  </si>
  <si>
    <t>TX501912</t>
  </si>
  <si>
    <t>TX501913</t>
  </si>
  <si>
    <t>TX501914</t>
  </si>
  <si>
    <t>TX501915</t>
  </si>
  <si>
    <t>TX501916</t>
  </si>
  <si>
    <t>TX501917</t>
  </si>
  <si>
    <t>TX501918</t>
  </si>
  <si>
    <t>TX501919</t>
  </si>
  <si>
    <t>TX501920</t>
  </si>
  <si>
    <t>TX501921</t>
  </si>
  <si>
    <t>TX501922</t>
  </si>
  <si>
    <t>TX501923</t>
  </si>
  <si>
    <t>TX501924</t>
  </si>
  <si>
    <t>TX501925</t>
  </si>
  <si>
    <t>TX501926</t>
  </si>
  <si>
    <t>TX501927</t>
  </si>
  <si>
    <t>TX501928</t>
  </si>
  <si>
    <t>TX501929</t>
  </si>
  <si>
    <t>TX501930</t>
  </si>
  <si>
    <t>TX501931</t>
  </si>
  <si>
    <t>TX501932</t>
  </si>
  <si>
    <t>TX501933</t>
  </si>
  <si>
    <t>TX501934</t>
  </si>
  <si>
    <t>TX501935</t>
  </si>
  <si>
    <t>TX501936</t>
  </si>
  <si>
    <t>TX501937</t>
  </si>
  <si>
    <t>TX501938</t>
  </si>
  <si>
    <t>TX501939</t>
  </si>
  <si>
    <t>TX501940</t>
  </si>
  <si>
    <t>TX501941</t>
  </si>
  <si>
    <t>TX501942</t>
  </si>
  <si>
    <t>TX501943</t>
  </si>
  <si>
    <t>TX501944</t>
  </si>
  <si>
    <t>TX501945</t>
  </si>
  <si>
    <t>TX501946</t>
  </si>
  <si>
    <t>TX501947</t>
  </si>
  <si>
    <t>TX501948</t>
  </si>
  <si>
    <t>TX501949</t>
  </si>
  <si>
    <t>TX501950</t>
  </si>
  <si>
    <t>TX501951</t>
  </si>
  <si>
    <t>TX501952</t>
  </si>
  <si>
    <t>TX501953</t>
  </si>
  <si>
    <t>TX501954</t>
  </si>
  <si>
    <t>TX501955</t>
  </si>
  <si>
    <t>TX501956</t>
  </si>
  <si>
    <t>TX501957</t>
  </si>
  <si>
    <t>TX501958</t>
  </si>
  <si>
    <t>TX501959</t>
  </si>
  <si>
    <t>TX501960</t>
  </si>
  <si>
    <t>TX501961</t>
  </si>
  <si>
    <t>TX501962</t>
  </si>
  <si>
    <t>TX501963</t>
  </si>
  <si>
    <t>TX501964</t>
  </si>
  <si>
    <t>TX501965</t>
  </si>
  <si>
    <t>TX501966</t>
  </si>
  <si>
    <t>TX501967</t>
  </si>
  <si>
    <t>TX501968</t>
  </si>
  <si>
    <t>TX501969</t>
  </si>
  <si>
    <t>TX501970</t>
  </si>
  <si>
    <t>TX501971</t>
  </si>
  <si>
    <t>TX501972</t>
  </si>
  <si>
    <t>TX501973</t>
  </si>
  <si>
    <t>TX501974</t>
  </si>
  <si>
    <t>TX501975</t>
  </si>
  <si>
    <t>TX501976</t>
  </si>
  <si>
    <t>TX501977</t>
  </si>
  <si>
    <t>TX501978</t>
  </si>
  <si>
    <t>TX501979</t>
  </si>
  <si>
    <t>TX501980</t>
  </si>
  <si>
    <t>TX501981</t>
  </si>
  <si>
    <t>TX501982</t>
  </si>
  <si>
    <t>TX501983</t>
  </si>
  <si>
    <t>TX501984</t>
  </si>
  <si>
    <t>TX501985</t>
  </si>
  <si>
    <t>TX501986</t>
  </si>
  <si>
    <t>TX501987</t>
  </si>
  <si>
    <t>TX501988</t>
  </si>
  <si>
    <t>TX501989</t>
  </si>
  <si>
    <t>TX501990</t>
  </si>
  <si>
    <t>TX501991</t>
  </si>
  <si>
    <t>TX501992</t>
  </si>
  <si>
    <t>TX501993</t>
  </si>
  <si>
    <t>TX501994</t>
  </si>
  <si>
    <t>TX501995</t>
  </si>
  <si>
    <t>TX501996</t>
  </si>
  <si>
    <t>TX501997</t>
  </si>
  <si>
    <t>TX501998</t>
  </si>
  <si>
    <t>TX501999</t>
  </si>
  <si>
    <t>TX502000</t>
  </si>
  <si>
    <t>TX502001</t>
  </si>
  <si>
    <t>TX502002</t>
  </si>
  <si>
    <t>TX502003</t>
  </si>
  <si>
    <t>TX502004</t>
  </si>
  <si>
    <t>TX502005</t>
  </si>
  <si>
    <t>TX502006</t>
  </si>
  <si>
    <t>TX502007</t>
  </si>
  <si>
    <t>TX502008</t>
  </si>
  <si>
    <t>TX502009</t>
  </si>
  <si>
    <t>TX502010</t>
  </si>
  <si>
    <t>TX502011</t>
  </si>
  <si>
    <t>TX502012</t>
  </si>
  <si>
    <t>TX502013</t>
  </si>
  <si>
    <t>TX502014</t>
  </si>
  <si>
    <t>TX502015</t>
  </si>
  <si>
    <t>TX502016</t>
  </si>
  <si>
    <t>TX502017</t>
  </si>
  <si>
    <t>TX502018</t>
  </si>
  <si>
    <t>TX502019</t>
  </si>
  <si>
    <t>TX502020</t>
  </si>
  <si>
    <t>TX502021</t>
  </si>
  <si>
    <t>TX502022</t>
  </si>
  <si>
    <t>TX502023</t>
  </si>
  <si>
    <t>TX502024</t>
  </si>
  <si>
    <t>TX502025</t>
  </si>
  <si>
    <t>TX502026</t>
  </si>
  <si>
    <t>TX502027</t>
  </si>
  <si>
    <t>TX502028</t>
  </si>
  <si>
    <t>TX502029</t>
  </si>
  <si>
    <t>TX502030</t>
  </si>
  <si>
    <t>TX502031</t>
  </si>
  <si>
    <t>TX502032</t>
  </si>
  <si>
    <t>TX502033</t>
  </si>
  <si>
    <t>TX502034</t>
  </si>
  <si>
    <t>TX502035</t>
  </si>
  <si>
    <t>TX502036</t>
  </si>
  <si>
    <t>TX502037</t>
  </si>
  <si>
    <t>TX502038</t>
  </si>
  <si>
    <t>TX502039</t>
  </si>
  <si>
    <t>TX502040</t>
  </si>
  <si>
    <t>TX502041</t>
  </si>
  <si>
    <t>TX502042</t>
  </si>
  <si>
    <t>TX502043</t>
  </si>
  <si>
    <t>TX502044</t>
  </si>
  <si>
    <t>TX502045</t>
  </si>
  <si>
    <t>TX502046</t>
  </si>
  <si>
    <t>TX502047</t>
  </si>
  <si>
    <t>TX502048</t>
  </si>
  <si>
    <t>TX502049</t>
  </si>
  <si>
    <t>TX502050</t>
  </si>
  <si>
    <t>TX502051</t>
  </si>
  <si>
    <t>TX502052</t>
  </si>
  <si>
    <t>TX502053</t>
  </si>
  <si>
    <t>TX502054</t>
  </si>
  <si>
    <t>TX502055</t>
  </si>
  <si>
    <t>TX502056</t>
  </si>
  <si>
    <t>TX502057</t>
  </si>
  <si>
    <t>TX502058</t>
  </si>
  <si>
    <t>TX502059</t>
  </si>
  <si>
    <t>TX502060</t>
  </si>
  <si>
    <t>TX502061</t>
  </si>
  <si>
    <t>TX502062</t>
  </si>
  <si>
    <t>TX502063</t>
  </si>
  <si>
    <t>TX502064</t>
  </si>
  <si>
    <t>TX502065</t>
  </si>
  <si>
    <t>TX502066</t>
  </si>
  <si>
    <t>TX502067</t>
  </si>
  <si>
    <t>TX502068</t>
  </si>
  <si>
    <t>TX502069</t>
  </si>
  <si>
    <t>TX502070</t>
  </si>
  <si>
    <t>TX502071</t>
  </si>
  <si>
    <t>TX502072</t>
  </si>
  <si>
    <t>TX502073</t>
  </si>
  <si>
    <t>TX502074</t>
  </si>
  <si>
    <t>TX502075</t>
  </si>
  <si>
    <t>TX502076</t>
  </si>
  <si>
    <t>TX502077</t>
  </si>
  <si>
    <t>TX502078</t>
  </si>
  <si>
    <t>TX502079</t>
  </si>
  <si>
    <t>TX502080</t>
  </si>
  <si>
    <t>TX502081</t>
  </si>
  <si>
    <t>TX502082</t>
  </si>
  <si>
    <t>TX502083</t>
  </si>
  <si>
    <t>TX502084</t>
  </si>
  <si>
    <t>TX502085</t>
  </si>
  <si>
    <t>TX502086</t>
  </si>
  <si>
    <t>TX502087</t>
  </si>
  <si>
    <t>TX502088</t>
  </si>
  <si>
    <t>TX502089</t>
  </si>
  <si>
    <t>TX502090</t>
  </si>
  <si>
    <t>TX502091</t>
  </si>
  <si>
    <t>TX502092</t>
  </si>
  <si>
    <t>TX502093</t>
  </si>
  <si>
    <t>TX502094</t>
  </si>
  <si>
    <t>TX502095</t>
  </si>
  <si>
    <t>TX502096</t>
  </si>
  <si>
    <t>TX502097</t>
  </si>
  <si>
    <t>TX502098</t>
  </si>
  <si>
    <t>TX502099</t>
  </si>
  <si>
    <t>TX502100</t>
  </si>
  <si>
    <t>TX502101</t>
  </si>
  <si>
    <t>TX502102</t>
  </si>
  <si>
    <t>Del Norte County</t>
  </si>
  <si>
    <t>TX502103</t>
  </si>
  <si>
    <t>TX502104</t>
  </si>
  <si>
    <t>TX502105</t>
  </si>
  <si>
    <t>TX502106</t>
  </si>
  <si>
    <t>TX502107</t>
  </si>
  <si>
    <t>TX502108</t>
  </si>
  <si>
    <t>TX502109</t>
  </si>
  <si>
    <t>TX502110</t>
  </si>
  <si>
    <t>TX502111</t>
  </si>
  <si>
    <t>TX502112</t>
  </si>
  <si>
    <t>TX502113</t>
  </si>
  <si>
    <t>TX502114</t>
  </si>
  <si>
    <t>TX502115</t>
  </si>
  <si>
    <t>TX502116</t>
  </si>
  <si>
    <t>TX502117</t>
  </si>
  <si>
    <t>TX502118</t>
  </si>
  <si>
    <t>TX502119</t>
  </si>
  <si>
    <t>TX502120</t>
  </si>
  <si>
    <t>TX502121</t>
  </si>
  <si>
    <t>TX502122</t>
  </si>
  <si>
    <t>TX502123</t>
  </si>
  <si>
    <t>TX502124</t>
  </si>
  <si>
    <t>TX502125</t>
  </si>
  <si>
    <t>TX502126</t>
  </si>
  <si>
    <t>TX502127</t>
  </si>
  <si>
    <t>TX502128</t>
  </si>
  <si>
    <t>TX502129</t>
  </si>
  <si>
    <t>TX502130</t>
  </si>
  <si>
    <t>TX502131</t>
  </si>
  <si>
    <t>TX502132</t>
  </si>
  <si>
    <t>TX502133</t>
  </si>
  <si>
    <t>TX502134</t>
  </si>
  <si>
    <t>TX502135</t>
  </si>
  <si>
    <t>TX502136</t>
  </si>
  <si>
    <t>TX502137</t>
  </si>
  <si>
    <t>TX502138</t>
  </si>
  <si>
    <t>TX502139</t>
  </si>
  <si>
    <t>TX502140</t>
  </si>
  <si>
    <t>TX502141</t>
  </si>
  <si>
    <t>TX502142</t>
  </si>
  <si>
    <t>TX502143</t>
  </si>
  <si>
    <t>TX502144</t>
  </si>
  <si>
    <t>TX502145</t>
  </si>
  <si>
    <t>TX502146</t>
  </si>
  <si>
    <t>TX502147</t>
  </si>
  <si>
    <t>TX502148</t>
  </si>
  <si>
    <t>TX502149</t>
  </si>
  <si>
    <t>TX502150</t>
  </si>
  <si>
    <t>TX502151</t>
  </si>
  <si>
    <t>TX502152</t>
  </si>
  <si>
    <t>TX502153</t>
  </si>
  <si>
    <t>TX502154</t>
  </si>
  <si>
    <t>TX502155</t>
  </si>
  <si>
    <t>TX502156</t>
  </si>
  <si>
    <t>TX502157</t>
  </si>
  <si>
    <t>TX502158</t>
  </si>
  <si>
    <t>TX502159</t>
  </si>
  <si>
    <t>TX502160</t>
  </si>
  <si>
    <t>TX502161</t>
  </si>
  <si>
    <t>TX502162</t>
  </si>
  <si>
    <t>TX502163</t>
  </si>
  <si>
    <t>TX502164</t>
  </si>
  <si>
    <t>TX502165</t>
  </si>
  <si>
    <t>TX502166</t>
  </si>
  <si>
    <t>TX502167</t>
  </si>
  <si>
    <t>TX502168</t>
  </si>
  <si>
    <t>TX502169</t>
  </si>
  <si>
    <t>TX502170</t>
  </si>
  <si>
    <t>TX502171</t>
  </si>
  <si>
    <t>TX502172</t>
  </si>
  <si>
    <t>TX502173</t>
  </si>
  <si>
    <t>TX502174</t>
  </si>
  <si>
    <t>TX502175</t>
  </si>
  <si>
    <t>TX502176</t>
  </si>
  <si>
    <t>TX502177</t>
  </si>
  <si>
    <t>TX502178</t>
  </si>
  <si>
    <t>TX502179</t>
  </si>
  <si>
    <t>TX502180</t>
  </si>
  <si>
    <t>TX502181</t>
  </si>
  <si>
    <t>TX502182</t>
  </si>
  <si>
    <t>TX502183</t>
  </si>
  <si>
    <t>TX502184</t>
  </si>
  <si>
    <t>TX502185</t>
  </si>
  <si>
    <t>TX502186</t>
  </si>
  <si>
    <t>TX502187</t>
  </si>
  <si>
    <t>TX502188</t>
  </si>
  <si>
    <t>TX502189</t>
  </si>
  <si>
    <t>TX502190</t>
  </si>
  <si>
    <t>TX502191</t>
  </si>
  <si>
    <t>TX502192</t>
  </si>
  <si>
    <t>TX502193</t>
  </si>
  <si>
    <t>TX502194</t>
  </si>
  <si>
    <t>TX502195</t>
  </si>
  <si>
    <t>TX502196</t>
  </si>
  <si>
    <t>TX502197</t>
  </si>
  <si>
    <t>TX502198</t>
  </si>
  <si>
    <t>TX502199</t>
  </si>
  <si>
    <t>TX502200</t>
  </si>
  <si>
    <t>TX502201</t>
  </si>
  <si>
    <t>TX502202</t>
  </si>
  <si>
    <t>TX502203</t>
  </si>
  <si>
    <t>TX502204</t>
  </si>
  <si>
    <t>TX502205</t>
  </si>
  <si>
    <t>TX502206</t>
  </si>
  <si>
    <t>TX502207</t>
  </si>
  <si>
    <t>TX502208</t>
  </si>
  <si>
    <t>TX502209</t>
  </si>
  <si>
    <t>TX502210</t>
  </si>
  <si>
    <t>TX502211</t>
  </si>
  <si>
    <t>TX502212</t>
  </si>
  <si>
    <t>TX502213</t>
  </si>
  <si>
    <t>TX502214</t>
  </si>
  <si>
    <t>TX502215</t>
  </si>
  <si>
    <t>TX502216</t>
  </si>
  <si>
    <t>TX502217</t>
  </si>
  <si>
    <t>TX502218</t>
  </si>
  <si>
    <t>TX502219</t>
  </si>
  <si>
    <t>TX502220</t>
  </si>
  <si>
    <t>TX502221</t>
  </si>
  <si>
    <t>TX502222</t>
  </si>
  <si>
    <t>TX502223</t>
  </si>
  <si>
    <t>TX502224</t>
  </si>
  <si>
    <t>TX502225</t>
  </si>
  <si>
    <t>TX502226</t>
  </si>
  <si>
    <t>TX502227</t>
  </si>
  <si>
    <t>TX502228</t>
  </si>
  <si>
    <t>TX502229</t>
  </si>
  <si>
    <t>TX502230</t>
  </si>
  <si>
    <t>TX502231</t>
  </si>
  <si>
    <t>TX502232</t>
  </si>
  <si>
    <t>TX502233</t>
  </si>
  <si>
    <t>TX502234</t>
  </si>
  <si>
    <t>TX502235</t>
  </si>
  <si>
    <t>TX502236</t>
  </si>
  <si>
    <t>TX502237</t>
  </si>
  <si>
    <t>TX502238</t>
  </si>
  <si>
    <t>TX502239</t>
  </si>
  <si>
    <t>TX502240</t>
  </si>
  <si>
    <t>TX502241</t>
  </si>
  <si>
    <t>TX502242</t>
  </si>
  <si>
    <t>TX502243</t>
  </si>
  <si>
    <t>TX502244</t>
  </si>
  <si>
    <t>TX502245</t>
  </si>
  <si>
    <t>TX502246</t>
  </si>
  <si>
    <t>TX502247</t>
  </si>
  <si>
    <t>TX502248</t>
  </si>
  <si>
    <t>TX502249</t>
  </si>
  <si>
    <t>TX502250</t>
  </si>
  <si>
    <t>TX502251</t>
  </si>
  <si>
    <t>TX502252</t>
  </si>
  <si>
    <t>TX502253</t>
  </si>
  <si>
    <t>TX502254</t>
  </si>
  <si>
    <t>TX502255</t>
  </si>
  <si>
    <t>TX502256</t>
  </si>
  <si>
    <t>TX502257</t>
  </si>
  <si>
    <t>TX502258</t>
  </si>
  <si>
    <t>TX502259</t>
  </si>
  <si>
    <t>TX502260</t>
  </si>
  <si>
    <t>TX502261</t>
  </si>
  <si>
    <t>TX502262</t>
  </si>
  <si>
    <t>TX502263</t>
  </si>
  <si>
    <t>TX502264</t>
  </si>
  <si>
    <t>TX502265</t>
  </si>
  <si>
    <t>TX502266</t>
  </si>
  <si>
    <t>TX502267</t>
  </si>
  <si>
    <t>TX502268</t>
  </si>
  <si>
    <t>TX502269</t>
  </si>
  <si>
    <t>TX502270</t>
  </si>
  <si>
    <t>TX502271</t>
  </si>
  <si>
    <t>TX502272</t>
  </si>
  <si>
    <t>TX502273</t>
  </si>
  <si>
    <t>TX502274</t>
  </si>
  <si>
    <t>TX502275</t>
  </si>
  <si>
    <t>TX502276</t>
  </si>
  <si>
    <t>TX502277</t>
  </si>
  <si>
    <t>TX502278</t>
  </si>
  <si>
    <t>TX502279</t>
  </si>
  <si>
    <t>TX502280</t>
  </si>
  <si>
    <t>TX502281</t>
  </si>
  <si>
    <t>TX502282</t>
  </si>
  <si>
    <t>TX502283</t>
  </si>
  <si>
    <t>TX502284</t>
  </si>
  <si>
    <t>TX502285</t>
  </si>
  <si>
    <t>TX502286</t>
  </si>
  <si>
    <t>TX502287</t>
  </si>
  <si>
    <t>TX502288</t>
  </si>
  <si>
    <t>TX502289</t>
  </si>
  <si>
    <t>TX502290</t>
  </si>
  <si>
    <t>TX502291</t>
  </si>
  <si>
    <t>TX502292</t>
  </si>
  <si>
    <t>TX502293</t>
  </si>
  <si>
    <t>TX502294</t>
  </si>
  <si>
    <t>TX502295</t>
  </si>
  <si>
    <t>TX502296</t>
  </si>
  <si>
    <t>TX502297</t>
  </si>
  <si>
    <t>TX502298</t>
  </si>
  <si>
    <t>TX502299</t>
  </si>
  <si>
    <t>TX502300</t>
  </si>
  <si>
    <t>TX502301</t>
  </si>
  <si>
    <t>TX502302</t>
  </si>
  <si>
    <t>TX502303</t>
  </si>
  <si>
    <t>TX502304</t>
  </si>
  <si>
    <t>TX502305</t>
  </si>
  <si>
    <t>TX502306</t>
  </si>
  <si>
    <t>TX502307</t>
  </si>
  <si>
    <t>TX502308</t>
  </si>
  <si>
    <t>TX502309</t>
  </si>
  <si>
    <t>TX502310</t>
  </si>
  <si>
    <t>TX502311</t>
  </si>
  <si>
    <t>TX502312</t>
  </si>
  <si>
    <t>TX502313</t>
  </si>
  <si>
    <t>TX502314</t>
  </si>
  <si>
    <t>TX502315</t>
  </si>
  <si>
    <t>TX502316</t>
  </si>
  <si>
    <t>TX502317</t>
  </si>
  <si>
    <t>TX502318</t>
  </si>
  <si>
    <t>TX502319</t>
  </si>
  <si>
    <t>TX502320</t>
  </si>
  <si>
    <t>TX502321</t>
  </si>
  <si>
    <t>TX502322</t>
  </si>
  <si>
    <t>TX502323</t>
  </si>
  <si>
    <t>TX502324</t>
  </si>
  <si>
    <t>TX502325</t>
  </si>
  <si>
    <t>TX502326</t>
  </si>
  <si>
    <t>TX502327</t>
  </si>
  <si>
    <t>TX502328</t>
  </si>
  <si>
    <t>TX502329</t>
  </si>
  <si>
    <t>TX502330</t>
  </si>
  <si>
    <t>TX502331</t>
  </si>
  <si>
    <t>TX502332</t>
  </si>
  <si>
    <t>TX502333</t>
  </si>
  <si>
    <t>TX502334</t>
  </si>
  <si>
    <t>TX502335</t>
  </si>
  <si>
    <t>TX502336</t>
  </si>
  <si>
    <t>TX502337</t>
  </si>
  <si>
    <t>TX502338</t>
  </si>
  <si>
    <t>TX502339</t>
  </si>
  <si>
    <t>TX502340</t>
  </si>
  <si>
    <t>TX502341</t>
  </si>
  <si>
    <t>TX502342</t>
  </si>
  <si>
    <t>TX502343</t>
  </si>
  <si>
    <t>TX502344</t>
  </si>
  <si>
    <t>TX502345</t>
  </si>
  <si>
    <t>TX502346</t>
  </si>
  <si>
    <t>TX502347</t>
  </si>
  <si>
    <t>TX502348</t>
  </si>
  <si>
    <t>TX502349</t>
  </si>
  <si>
    <t>TX502350</t>
  </si>
  <si>
    <t>TX502351</t>
  </si>
  <si>
    <t>TX502352</t>
  </si>
  <si>
    <t>TX502353</t>
  </si>
  <si>
    <t>TX502354</t>
  </si>
  <si>
    <t>TX502355</t>
  </si>
  <si>
    <t>TX502356</t>
  </si>
  <si>
    <t>TX502357</t>
  </si>
  <si>
    <t>TX502358</t>
  </si>
  <si>
    <t>TX502359</t>
  </si>
  <si>
    <t>TX502360</t>
  </si>
  <si>
    <t>TX502361</t>
  </si>
  <si>
    <t>TX502362</t>
  </si>
  <si>
    <t>TX502363</t>
  </si>
  <si>
    <t>TX502364</t>
  </si>
  <si>
    <t>TX502365</t>
  </si>
  <si>
    <t>TX502366</t>
  </si>
  <si>
    <t>TX502367</t>
  </si>
  <si>
    <t>TX502368</t>
  </si>
  <si>
    <t>TX502369</t>
  </si>
  <si>
    <t>TX502370</t>
  </si>
  <si>
    <t>TX502371</t>
  </si>
  <si>
    <t>TX502372</t>
  </si>
  <si>
    <t>TX502373</t>
  </si>
  <si>
    <t>TX502374</t>
  </si>
  <si>
    <t>TX502375</t>
  </si>
  <si>
    <t>TX502376</t>
  </si>
  <si>
    <t>TX502377</t>
  </si>
  <si>
    <t>TX502378</t>
  </si>
  <si>
    <t>TX502379</t>
  </si>
  <si>
    <t>TX502380</t>
  </si>
  <si>
    <t>TX502381</t>
  </si>
  <si>
    <t>TX502382</t>
  </si>
  <si>
    <t>TX502383</t>
  </si>
  <si>
    <t>TX502384</t>
  </si>
  <si>
    <t>TX502385</t>
  </si>
  <si>
    <t>TX502386</t>
  </si>
  <si>
    <t>TX502387</t>
  </si>
  <si>
    <t>TX502388</t>
  </si>
  <si>
    <t>TX502389</t>
  </si>
  <si>
    <t>TX502390</t>
  </si>
  <si>
    <t>TX502391</t>
  </si>
  <si>
    <t>TX502392</t>
  </si>
  <si>
    <t>TX502393</t>
  </si>
  <si>
    <t>TX502394</t>
  </si>
  <si>
    <t>TX502395</t>
  </si>
  <si>
    <t>TX502396</t>
  </si>
  <si>
    <t>TX502397</t>
  </si>
  <si>
    <t>TX502398</t>
  </si>
  <si>
    <t>TX502399</t>
  </si>
  <si>
    <t>TX502400</t>
  </si>
  <si>
    <t>KPIs</t>
  </si>
  <si>
    <t>Total Orders</t>
  </si>
  <si>
    <t>Total Quantity</t>
  </si>
  <si>
    <t>Total Amount</t>
  </si>
  <si>
    <t>Avg. Rating</t>
  </si>
  <si>
    <t>Avg. Days to Deliver</t>
  </si>
  <si>
    <t>Questions</t>
  </si>
  <si>
    <t>Trend in the last 13 weeks</t>
  </si>
  <si>
    <t>How our customers like to buy</t>
  </si>
  <si>
    <t>How many they buy?</t>
  </si>
  <si>
    <t>Which products are popular?</t>
  </si>
  <si>
    <t>Overall gender split</t>
  </si>
  <si>
    <t>Where do our customers live?</t>
  </si>
  <si>
    <t>How long we take to ship the orders</t>
  </si>
  <si>
    <t>How happy are our customers?</t>
  </si>
  <si>
    <t>Orders</t>
  </si>
  <si>
    <t>Rating</t>
  </si>
  <si>
    <t>Row Labels</t>
  </si>
  <si>
    <t>Grand Total</t>
  </si>
  <si>
    <t>Count of TX ID</t>
  </si>
  <si>
    <t>Average of Days to Deliver</t>
  </si>
  <si>
    <t>Sum of Quantity</t>
  </si>
  <si>
    <t>Average of Unit Price</t>
  </si>
  <si>
    <t>Sum of Amount</t>
  </si>
  <si>
    <t>Column Labels</t>
  </si>
  <si>
    <t>Female</t>
  </si>
  <si>
    <t>Male</t>
  </si>
  <si>
    <t>Other</t>
  </si>
  <si>
    <t>Unknown</t>
  </si>
  <si>
    <t>Txn ID</t>
  </si>
  <si>
    <t xml:space="preserve">Customer Gender </t>
  </si>
  <si>
    <t>Country</t>
  </si>
  <si>
    <t>Null Values</t>
  </si>
  <si>
    <t>Average of Rating C</t>
  </si>
  <si>
    <t>Avg Rating</t>
  </si>
  <si>
    <t>Avg Days to deliver</t>
  </si>
  <si>
    <t>Week Number</t>
  </si>
  <si>
    <t>Maximum Order Count</t>
  </si>
  <si>
    <t>Week</t>
  </si>
  <si>
    <t>KPI</t>
  </si>
  <si>
    <t>Matrix</t>
  </si>
  <si>
    <t xml:space="preserve">Quantity Sold </t>
  </si>
  <si>
    <t>Amount Generated</t>
  </si>
  <si>
    <t>6-7 D</t>
  </si>
  <si>
    <t>11-15 D</t>
  </si>
  <si>
    <t>Jan</t>
  </si>
  <si>
    <t>Feb</t>
  </si>
  <si>
    <t>Mar</t>
  </si>
  <si>
    <t>(All)</t>
  </si>
  <si>
    <t>Quantity2</t>
  </si>
  <si>
    <t>Days to Deliver2</t>
  </si>
  <si>
    <t>6-10</t>
  </si>
  <si>
    <t>Above 10</t>
  </si>
  <si>
    <t xml:space="preserve">WeekNum </t>
  </si>
  <si>
    <t>Due to Sneaker High Unit price</t>
  </si>
  <si>
    <t xml:space="preserve">Due to Unit Price pf Product purchased are  very low </t>
  </si>
  <si>
    <t xml:space="preserve">Due to bulk order of 87 units </t>
  </si>
  <si>
    <t>8-10 D</t>
  </si>
  <si>
    <t>Week Wise Trend</t>
  </si>
  <si>
    <t>Channel  Wise Analysis (Total Amount Generated)</t>
  </si>
  <si>
    <t>Channel Wise Analysis ( Total Orders)</t>
  </si>
  <si>
    <t xml:space="preserve">Quantity Wise Distribution  </t>
  </si>
  <si>
    <t>Product Popularity in terms of Quantity Sold</t>
  </si>
  <si>
    <t>Gender Split Contribution</t>
  </si>
  <si>
    <t xml:space="preserve">County Wise Distribution </t>
  </si>
  <si>
    <t>Delivery Time in Days</t>
  </si>
  <si>
    <t xml:space="preserve">Month Wise Distribution of Ratings  (1-5) </t>
  </si>
  <si>
    <t xml:space="preserve">Rough Work for Interactive dashboard </t>
  </si>
  <si>
    <t>Product Popularity in terms of Amount</t>
  </si>
  <si>
    <t>Product Popularity Region Wise ( Total Amount generated as per county for each product )</t>
  </si>
  <si>
    <t>Gender Split Distribution ( Total Orders per Gender for each product)</t>
  </si>
  <si>
    <t xml:space="preserve">Maximum Order Count per week </t>
  </si>
  <si>
    <t xml:space="preserve">Product Popularity in each week </t>
  </si>
  <si>
    <t xml:space="preserve">County Wise Delivery time (days) </t>
  </si>
  <si>
    <t>No. Of Orders Deliverd</t>
  </si>
  <si>
    <t>Product Average Rating</t>
  </si>
  <si>
    <t xml:space="preserve">Quantiy Bucket Analysis per product </t>
  </si>
  <si>
    <t>Rating Anaysis per County ( Total orders)</t>
  </si>
  <si>
    <t>Channel Wise Analysis per Week (Orders, Quantiy , Amount)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</si>
</sst>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409]#,##0"/>
    <numFmt numFmtId="165" formatCode="0.0%"/>
  </numFmts>
  <fonts count="6">
    <font>
      <sz val="11"/>
      <color theme="1"/>
      <name val="Aptos Narrow"/>
      <family val="2"/>
      <scheme val="minor"/>
    </font>
    <font>
      <b/>
      <sz val="11"/>
      <color theme="1"/>
      <name val="Aptos Narrow"/>
      <family val="2"/>
      <scheme val="minor"/>
    </font>
    <font>
      <sz val="8"/>
      <name val="Aptos Narrow"/>
      <family val="2"/>
      <scheme val="minor"/>
    </font>
    <font>
      <b/>
      <sz val="11"/>
      <color theme="1"/>
      <name val="Aptos Narrow"/>
      <scheme val="minor"/>
    </font>
    <font>
      <sz val="11"/>
      <color theme="1"/>
      <name val="Aptos Display"/>
      <scheme val="major"/>
    </font>
    <font>
      <b/>
      <sz val="11"/>
      <color theme="1"/>
      <name val="Adobe Gothic Std B"/>
      <family val="2"/>
      <charset val="128"/>
    </font>
  </fonts>
  <fills count="5">
    <fill>
      <patternFill patternType="none"/>
    </fill>
    <fill>
      <patternFill patternType="gray125"/>
    </fill>
    <fill>
      <patternFill patternType="solid">
        <fgColor theme="9"/>
        <bgColor indexed="64"/>
      </patternFill>
    </fill>
    <fill>
      <patternFill patternType="solid">
        <fgColor rgb="FFFFFF00"/>
        <bgColor indexed="64"/>
      </patternFill>
    </fill>
    <fill>
      <patternFill patternType="solid">
        <fgColor theme="4" tint="0.79998168889431442"/>
        <bgColor theme="4" tint="0.79998168889431442"/>
      </patternFill>
    </fill>
  </fills>
  <borders count="3">
    <border>
      <left/>
      <right/>
      <top/>
      <bottom/>
      <diagonal/>
    </border>
    <border>
      <left style="thick">
        <color theme="0"/>
      </left>
      <right style="thick">
        <color theme="0"/>
      </right>
      <top style="thick">
        <color theme="0"/>
      </top>
      <bottom style="thick">
        <color theme="0"/>
      </bottom>
      <diagonal/>
    </border>
    <border>
      <left/>
      <right/>
      <top/>
      <bottom style="thin">
        <color theme="4" tint="0.39997558519241921"/>
      </bottom>
      <diagonal/>
    </border>
  </borders>
  <cellStyleXfs count="1">
    <xf numFmtId="0" fontId="0" fillId="0" borderId="0"/>
  </cellStyleXfs>
  <cellXfs count="16">
    <xf numFmtId="0" fontId="0" fillId="0" borderId="0" xfId="0"/>
    <xf numFmtId="15" fontId="0" fillId="0" borderId="0" xfId="0" applyNumberFormat="1"/>
    <xf numFmtId="0" fontId="0" fillId="2" borderId="0" xfId="0" applyFill="1"/>
    <xf numFmtId="0" fontId="1" fillId="2" borderId="0" xfId="0" applyFont="1" applyFill="1"/>
    <xf numFmtId="0" fontId="0" fillId="0" borderId="0" xfId="0" applyAlignment="1">
      <alignment horizontal="left" indent="1"/>
    </xf>
    <xf numFmtId="0" fontId="0" fillId="0" borderId="0" xfId="0" pivotButton="1"/>
    <xf numFmtId="0" fontId="0" fillId="0" borderId="0" xfId="0" applyAlignment="1">
      <alignment horizontal="left"/>
    </xf>
    <xf numFmtId="0" fontId="0" fillId="0" borderId="0" xfId="0" applyAlignment="1">
      <alignment wrapText="1"/>
    </xf>
    <xf numFmtId="164" fontId="0" fillId="0" borderId="0" xfId="0" applyNumberFormat="1"/>
    <xf numFmtId="10" fontId="0" fillId="0" borderId="0" xfId="0" applyNumberFormat="1"/>
    <xf numFmtId="0" fontId="0" fillId="0" borderId="1" xfId="0" applyBorder="1"/>
    <xf numFmtId="165" fontId="4" fillId="0" borderId="1" xfId="0" applyNumberFormat="1" applyFont="1" applyBorder="1" applyAlignment="1">
      <alignment horizontal="center" vertical="center"/>
    </xf>
    <xf numFmtId="0" fontId="5" fillId="0" borderId="1" xfId="0" applyFont="1" applyBorder="1" applyAlignment="1">
      <alignment horizontal="center" vertical="center"/>
    </xf>
    <xf numFmtId="0" fontId="1" fillId="4" borderId="2" xfId="0" applyFont="1" applyFill="1" applyBorder="1"/>
    <xf numFmtId="165" fontId="0" fillId="0" borderId="0" xfId="0" applyNumberFormat="1"/>
    <xf numFmtId="0" fontId="3" fillId="3" borderId="0" xfId="0" applyFont="1" applyFill="1" applyAlignment="1">
      <alignment horizontal="center"/>
    </xf>
  </cellXfs>
  <cellStyles count="1">
    <cellStyle name="Normal" xfId="0" builtinId="0"/>
  </cellStyles>
  <dxfs count="15">
    <dxf>
      <alignment wrapText="1"/>
    </dxf>
    <dxf>
      <alignment wrapText="1"/>
    </dxf>
    <dxf>
      <alignment wrapText="1"/>
    </dxf>
    <dxf>
      <alignment wrapText="1"/>
    </dxf>
    <dxf>
      <alignment wrapText="1"/>
    </dxf>
    <dxf>
      <alignment wrapText="1"/>
    </dxf>
    <dxf>
      <numFmt numFmtId="0" formatCode="General"/>
    </dxf>
    <dxf>
      <numFmt numFmtId="0" formatCode="General"/>
    </dxf>
    <dxf>
      <numFmt numFmtId="0" formatCode="General"/>
    </dxf>
    <dxf>
      <numFmt numFmtId="166" formatCode="d\-mmm\-yy"/>
    </dxf>
    <dxf>
      <numFmt numFmtId="166" formatCode="d\-mmm\-yy"/>
    </dxf>
    <dxf>
      <font>
        <b/>
        <color theme="1"/>
      </font>
      <border>
        <bottom style="thin">
          <color theme="5"/>
        </bottom>
        <vertical/>
        <horizontal/>
      </border>
    </dxf>
    <dxf>
      <font>
        <color theme="1"/>
      </font>
      <border>
        <left style="thin">
          <color theme="5"/>
        </left>
        <right style="thin">
          <color theme="5"/>
        </right>
        <top style="thin">
          <color theme="5"/>
        </top>
        <bottom style="thin">
          <color theme="5"/>
        </bottom>
        <vertical/>
        <horizontal/>
      </border>
    </dxf>
    <dxf>
      <font>
        <b/>
        <color theme="1"/>
      </font>
      <border>
        <bottom style="thin">
          <color theme="5"/>
        </bottom>
        <vertical/>
        <horizontal/>
      </border>
    </dxf>
    <dxf>
      <font>
        <color theme="1"/>
      </font>
      <border>
        <left style="thin">
          <color theme="5"/>
        </left>
        <right style="thin">
          <color theme="5"/>
        </right>
        <top style="thin">
          <color theme="5"/>
        </top>
        <bottom style="thin">
          <color theme="5"/>
        </bottom>
        <vertical/>
        <horizontal/>
      </border>
    </dxf>
  </dxfs>
  <tableStyles count="2" defaultTableStyle="TableStyleMedium2" defaultPivotStyle="PivotStyleLight16">
    <tableStyle name="SlicerStyleDark2 2" pivot="0" table="0" count="10" xr9:uid="{94016565-B4B5-4B8E-A7AE-C625DDB80460}">
      <tableStyleElement type="wholeTable" dxfId="14"/>
      <tableStyleElement type="headerRow" dxfId="13"/>
    </tableStyle>
    <tableStyle name="SlicerStyleDark2 2 2" pivot="0" table="0" count="10" xr9:uid="{D7B50E76-AF0A-4E1C-923E-C697D7848136}">
      <tableStyleElement type="wholeTable" dxfId="12"/>
      <tableStyleElement type="headerRow" dxfId="11"/>
    </tableStyle>
  </tableStyles>
  <colors>
    <mruColors>
      <color rgb="FF19CD5E"/>
      <color rgb="FF00823B"/>
      <color rgb="FFB3FFD5"/>
      <color rgb="FFDAE9F6"/>
      <color rgb="FFDE8400"/>
      <color rgb="FFFFEEB7"/>
      <color rgb="FFFA9500"/>
      <color rgb="FFCC7900"/>
      <color rgb="FFFFF9E5"/>
      <color rgb="FFFEFCAE"/>
    </mruColors>
  </colors>
  <extLst>
    <ext xmlns:x14="http://schemas.microsoft.com/office/spreadsheetml/2009/9/main" uri="{46F421CA-312F-682f-3DD2-61675219B42D}">
      <x14:dxfs count="16">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5" tint="-0.249977111117893"/>
          </font>
          <fill>
            <patternFill patternType="solid">
              <fgColor theme="5" tint="0.59999389629810485"/>
              <bgColor theme="5" tint="0.59999389629810485"/>
            </patternFill>
          </fill>
          <border>
            <left style="thin">
              <color theme="5" tint="0.59999389629810485"/>
            </left>
            <right style="thin">
              <color theme="5" tint="0.59999389629810485"/>
            </right>
            <top style="thin">
              <color theme="5" tint="0.59999389629810485"/>
            </top>
            <bottom style="thin">
              <color theme="5" tint="0.59999389629810485"/>
            </bottom>
            <vertical/>
            <horizontal/>
          </border>
        </dxf>
        <dxf>
          <font>
            <b/>
            <i val="0"/>
            <sz val="11"/>
            <color theme="1"/>
            <name val="Aptos Display"/>
            <scheme val="major"/>
          </font>
          <fill>
            <patternFill patternType="solid">
              <fgColor theme="5"/>
              <bgColor theme="5"/>
            </patternFill>
          </fill>
          <border>
            <left style="thin">
              <color theme="5"/>
            </left>
            <right style="thin">
              <color theme="5"/>
            </right>
            <top style="thin">
              <color theme="5"/>
            </top>
            <bottom style="thin">
              <color theme="5"/>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5" tint="-0.249977111117893"/>
          </font>
          <fill>
            <patternFill patternType="solid">
              <fgColor theme="5" tint="0.59999389629810485"/>
              <bgColor theme="5" tint="0.59999389629810485"/>
            </patternFill>
          </fill>
          <border>
            <left style="thin">
              <color theme="5" tint="0.59999389629810485"/>
            </left>
            <right style="thin">
              <color theme="5" tint="0.59999389629810485"/>
            </right>
            <top style="thin">
              <color theme="5" tint="0.59999389629810485"/>
            </top>
            <bottom style="thin">
              <color theme="5" tint="0.59999389629810485"/>
            </bottom>
            <vertical/>
            <horizontal/>
          </border>
        </dxf>
        <dxf>
          <font>
            <b/>
            <i val="0"/>
            <sz val="11"/>
            <color theme="0"/>
            <name val="Aptos Display"/>
            <scheme val="major"/>
          </font>
          <fill>
            <patternFill patternType="solid">
              <fgColor theme="5"/>
              <bgColor theme="5"/>
            </patternFill>
          </fill>
          <border>
            <left style="thin">
              <color theme="5"/>
            </left>
            <right style="thin">
              <color theme="5"/>
            </right>
            <top style="thin">
              <color theme="5"/>
            </top>
            <bottom style="thin">
              <color theme="5"/>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1">
        <x14:slicerStyle name="SlicerStyleDark2 2">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StyleDark2 2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6.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Ex1.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2.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[ecommerce-blank.xlsx]Pivot!PvtWeek</c:name>
    <c:fmtId val="15"/>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Week</a:t>
            </a:r>
            <a:r>
              <a:rPr lang="en-US" b="1" baseline="0"/>
              <a:t> Wise Trend - Orders &amp; Amount</a:t>
            </a:r>
            <a:endParaRPr lang="en-US" b="1"/>
          </a:p>
        </c:rich>
      </c:tx>
      <c:layout>
        <c:manualLayout>
          <c:xMode val="edge"/>
          <c:yMode val="edge"/>
          <c:x val="0.1808826139556694"/>
          <c:y val="5.8506876861451569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rgbClr val="15753C"/>
            </a:solidFill>
            <a:round/>
          </a:ln>
          <a:effectLst/>
        </c:spPr>
        <c:marker>
          <c:symbol val="circle"/>
          <c:size val="5"/>
          <c:spPr>
            <a:solidFill>
              <a:srgbClr val="299746"/>
            </a:solid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E6A21A"/>
            </a:solidFill>
            <a:round/>
          </a:ln>
          <a:effectLst/>
        </c:spPr>
        <c:marker>
          <c:symbol val="circle"/>
          <c:size val="5"/>
          <c:spPr>
            <a:solidFill>
              <a:srgbClr val="E6A21A"/>
            </a:solid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rgbClr val="15753C"/>
            </a:solidFill>
            <a:round/>
          </a:ln>
          <a:effectLst/>
        </c:spPr>
        <c:marker>
          <c:symbol val="circle"/>
          <c:size val="5"/>
          <c:spPr>
            <a:solidFill>
              <a:srgbClr val="299746"/>
            </a:solid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rgbClr val="E6A21A"/>
            </a:solidFill>
            <a:round/>
          </a:ln>
          <a:effectLst/>
        </c:spPr>
        <c:marker>
          <c:symbol val="circle"/>
          <c:size val="5"/>
          <c:spPr>
            <a:solidFill>
              <a:srgbClr val="E6A21A"/>
            </a:solid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6">
                <a:lumMod val="75000"/>
              </a:schemeClr>
            </a:solidFill>
            <a:round/>
          </a:ln>
          <a:effectLst/>
        </c:spPr>
        <c:marker>
          <c:symbol val="circle"/>
          <c:size val="5"/>
          <c:spPr>
            <a:solidFill>
              <a:schemeClr val="bg1"/>
            </a:solidFill>
            <a:ln w="9525">
              <a:solidFill>
                <a:schemeClr val="tx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5">
                <a:lumMod val="75000"/>
              </a:schemeClr>
            </a:solidFill>
            <a:round/>
          </a:ln>
          <a:effectLst/>
        </c:spPr>
        <c:marker>
          <c:symbol val="circle"/>
          <c:size val="5"/>
          <c:spPr>
            <a:solidFill>
              <a:schemeClr val="bg1"/>
            </a:solidFill>
            <a:ln w="9525">
              <a:solidFill>
                <a:schemeClr val="tx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Pivot!$B$8</c:f>
              <c:strCache>
                <c:ptCount val="1"/>
                <c:pt idx="0">
                  <c:v>Total Orders</c:v>
                </c:pt>
              </c:strCache>
            </c:strRef>
          </c:tx>
          <c:spPr>
            <a:ln w="28575" cap="rnd">
              <a:solidFill>
                <a:schemeClr val="accent6">
                  <a:lumMod val="75000"/>
                </a:schemeClr>
              </a:solidFill>
              <a:round/>
            </a:ln>
            <a:effectLst/>
          </c:spPr>
          <c:marker>
            <c:symbol val="circle"/>
            <c:size val="5"/>
            <c:spPr>
              <a:solidFill>
                <a:schemeClr val="bg1"/>
              </a:solidFill>
              <a:ln w="9525">
                <a:solidFill>
                  <a:schemeClr val="tx1"/>
                </a:solidFill>
              </a:ln>
              <a:effectLst/>
            </c:spPr>
          </c:marker>
          <c:cat>
            <c:strRef>
              <c:f>Pivot!$A$9:$A$22</c:f>
              <c:strCache>
                <c:ptCount val="13"/>
                <c:pt idx="0">
                  <c:v>1</c:v>
                </c:pt>
                <c:pt idx="1">
                  <c:v>2</c:v>
                </c:pt>
                <c:pt idx="2">
                  <c:v>3</c:v>
                </c:pt>
                <c:pt idx="3">
                  <c:v>4</c:v>
                </c:pt>
                <c:pt idx="4">
                  <c:v>5</c:v>
                </c:pt>
                <c:pt idx="5">
                  <c:v>6</c:v>
                </c:pt>
                <c:pt idx="6">
                  <c:v>7</c:v>
                </c:pt>
                <c:pt idx="7">
                  <c:v>8</c:v>
                </c:pt>
                <c:pt idx="8">
                  <c:v>9</c:v>
                </c:pt>
                <c:pt idx="9">
                  <c:v>10</c:v>
                </c:pt>
                <c:pt idx="10">
                  <c:v>11</c:v>
                </c:pt>
                <c:pt idx="11">
                  <c:v>12</c:v>
                </c:pt>
                <c:pt idx="12">
                  <c:v>13</c:v>
                </c:pt>
              </c:strCache>
            </c:strRef>
          </c:cat>
          <c:val>
            <c:numRef>
              <c:f>Pivot!$B$9:$B$22</c:f>
              <c:numCache>
                <c:formatCode>General</c:formatCode>
                <c:ptCount val="13"/>
                <c:pt idx="0">
                  <c:v>101</c:v>
                </c:pt>
                <c:pt idx="1">
                  <c:v>155</c:v>
                </c:pt>
                <c:pt idx="2">
                  <c:v>151</c:v>
                </c:pt>
                <c:pt idx="3">
                  <c:v>175</c:v>
                </c:pt>
                <c:pt idx="4">
                  <c:v>162</c:v>
                </c:pt>
                <c:pt idx="5">
                  <c:v>240</c:v>
                </c:pt>
                <c:pt idx="6">
                  <c:v>191</c:v>
                </c:pt>
                <c:pt idx="7">
                  <c:v>236</c:v>
                </c:pt>
                <c:pt idx="8">
                  <c:v>202</c:v>
                </c:pt>
                <c:pt idx="9">
                  <c:v>214</c:v>
                </c:pt>
                <c:pt idx="10">
                  <c:v>189</c:v>
                </c:pt>
                <c:pt idx="11">
                  <c:v>200</c:v>
                </c:pt>
                <c:pt idx="12">
                  <c:v>184</c:v>
                </c:pt>
              </c:numCache>
            </c:numRef>
          </c:val>
          <c:smooth val="0"/>
          <c:extLst>
            <c:ext xmlns:c16="http://schemas.microsoft.com/office/drawing/2014/chart" uri="{C3380CC4-5D6E-409C-BE32-E72D297353CC}">
              <c16:uniqueId val="{00000000-8950-4D31-9779-82C9B2C08754}"/>
            </c:ext>
          </c:extLst>
        </c:ser>
        <c:dLbls>
          <c:showLegendKey val="0"/>
          <c:showVal val="0"/>
          <c:showCatName val="0"/>
          <c:showSerName val="0"/>
          <c:showPercent val="0"/>
          <c:showBubbleSize val="0"/>
        </c:dLbls>
        <c:marker val="1"/>
        <c:smooth val="0"/>
        <c:axId val="1498568128"/>
        <c:axId val="1498569792"/>
      </c:lineChart>
      <c:lineChart>
        <c:grouping val="standard"/>
        <c:varyColors val="0"/>
        <c:ser>
          <c:idx val="1"/>
          <c:order val="1"/>
          <c:tx>
            <c:strRef>
              <c:f>Pivot!$C$8</c:f>
              <c:strCache>
                <c:ptCount val="1"/>
                <c:pt idx="0">
                  <c:v>Total Amount</c:v>
                </c:pt>
              </c:strCache>
            </c:strRef>
          </c:tx>
          <c:spPr>
            <a:ln w="28575" cap="rnd">
              <a:solidFill>
                <a:schemeClr val="accent5">
                  <a:lumMod val="75000"/>
                </a:schemeClr>
              </a:solidFill>
              <a:round/>
            </a:ln>
            <a:effectLst/>
          </c:spPr>
          <c:marker>
            <c:symbol val="circle"/>
            <c:size val="5"/>
            <c:spPr>
              <a:solidFill>
                <a:schemeClr val="bg1"/>
              </a:solidFill>
              <a:ln w="9525">
                <a:solidFill>
                  <a:schemeClr val="tx1"/>
                </a:solidFill>
              </a:ln>
              <a:effectLst/>
            </c:spPr>
          </c:marker>
          <c:cat>
            <c:strRef>
              <c:f>Pivot!$A$9:$A$22</c:f>
              <c:strCache>
                <c:ptCount val="13"/>
                <c:pt idx="0">
                  <c:v>1</c:v>
                </c:pt>
                <c:pt idx="1">
                  <c:v>2</c:v>
                </c:pt>
                <c:pt idx="2">
                  <c:v>3</c:v>
                </c:pt>
                <c:pt idx="3">
                  <c:v>4</c:v>
                </c:pt>
                <c:pt idx="4">
                  <c:v>5</c:v>
                </c:pt>
                <c:pt idx="5">
                  <c:v>6</c:v>
                </c:pt>
                <c:pt idx="6">
                  <c:v>7</c:v>
                </c:pt>
                <c:pt idx="7">
                  <c:v>8</c:v>
                </c:pt>
                <c:pt idx="8">
                  <c:v>9</c:v>
                </c:pt>
                <c:pt idx="9">
                  <c:v>10</c:v>
                </c:pt>
                <c:pt idx="10">
                  <c:v>11</c:v>
                </c:pt>
                <c:pt idx="11">
                  <c:v>12</c:v>
                </c:pt>
                <c:pt idx="12">
                  <c:v>13</c:v>
                </c:pt>
              </c:strCache>
            </c:strRef>
          </c:cat>
          <c:val>
            <c:numRef>
              <c:f>Pivot!$C$9:$C$22</c:f>
              <c:numCache>
                <c:formatCode>[$$-409]#,##0</c:formatCode>
                <c:ptCount val="13"/>
                <c:pt idx="0">
                  <c:v>32413.300000000003</c:v>
                </c:pt>
                <c:pt idx="1">
                  <c:v>49562.999999999993</c:v>
                </c:pt>
                <c:pt idx="2">
                  <c:v>41700.400000000016</c:v>
                </c:pt>
                <c:pt idx="3">
                  <c:v>46782.599999999984</c:v>
                </c:pt>
                <c:pt idx="4">
                  <c:v>42676.100000000006</c:v>
                </c:pt>
                <c:pt idx="5">
                  <c:v>62910.7</c:v>
                </c:pt>
                <c:pt idx="6">
                  <c:v>50332.200000000004</c:v>
                </c:pt>
                <c:pt idx="7">
                  <c:v>58760.599999999977</c:v>
                </c:pt>
                <c:pt idx="8">
                  <c:v>52017.299999999996</c:v>
                </c:pt>
                <c:pt idx="9">
                  <c:v>64915.700000000033</c:v>
                </c:pt>
                <c:pt idx="10">
                  <c:v>45943.80000000001</c:v>
                </c:pt>
                <c:pt idx="11">
                  <c:v>55077.900000000031</c:v>
                </c:pt>
                <c:pt idx="12">
                  <c:v>45926.19999999999</c:v>
                </c:pt>
              </c:numCache>
            </c:numRef>
          </c:val>
          <c:smooth val="0"/>
          <c:extLst>
            <c:ext xmlns:c16="http://schemas.microsoft.com/office/drawing/2014/chart" uri="{C3380CC4-5D6E-409C-BE32-E72D297353CC}">
              <c16:uniqueId val="{00000001-8950-4D31-9779-82C9B2C08754}"/>
            </c:ext>
          </c:extLst>
        </c:ser>
        <c:dLbls>
          <c:showLegendKey val="0"/>
          <c:showVal val="0"/>
          <c:showCatName val="0"/>
          <c:showSerName val="0"/>
          <c:showPercent val="0"/>
          <c:showBubbleSize val="0"/>
        </c:dLbls>
        <c:marker val="1"/>
        <c:smooth val="0"/>
        <c:axId val="1408554768"/>
        <c:axId val="1408551856"/>
      </c:lineChart>
      <c:catAx>
        <c:axId val="14985681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498569792"/>
        <c:crosses val="autoZero"/>
        <c:auto val="1"/>
        <c:lblAlgn val="ctr"/>
        <c:lblOffset val="100"/>
        <c:noMultiLvlLbl val="0"/>
      </c:catAx>
      <c:valAx>
        <c:axId val="14985697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crossAx val="1498568128"/>
        <c:crosses val="autoZero"/>
        <c:crossBetween val="between"/>
      </c:valAx>
      <c:valAx>
        <c:axId val="1408551856"/>
        <c:scaling>
          <c:orientation val="minMax"/>
        </c:scaling>
        <c:delete val="0"/>
        <c:axPos val="r"/>
        <c:numFmt formatCode="[$$-409]#,##0" sourceLinked="1"/>
        <c:majorTickMark val="out"/>
        <c:minorTickMark val="none"/>
        <c:tickLblPos val="nextTo"/>
        <c:spPr>
          <a:noFill/>
          <a:ln>
            <a:noFill/>
          </a:ln>
          <a:effectLst/>
        </c:spPr>
        <c:txPr>
          <a:bodyPr rot="-600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US"/>
          </a:p>
        </c:txPr>
        <c:crossAx val="1408554768"/>
        <c:crosses val="max"/>
        <c:crossBetween val="between"/>
      </c:valAx>
      <c:catAx>
        <c:axId val="1408554768"/>
        <c:scaling>
          <c:orientation val="minMax"/>
        </c:scaling>
        <c:delete val="1"/>
        <c:axPos val="b"/>
        <c:numFmt formatCode="General" sourceLinked="1"/>
        <c:majorTickMark val="out"/>
        <c:minorTickMark val="none"/>
        <c:tickLblPos val="nextTo"/>
        <c:crossAx val="1408551856"/>
        <c:crosses val="autoZero"/>
        <c:auto val="1"/>
        <c:lblAlgn val="ctr"/>
        <c:lblOffset val="100"/>
        <c:noMultiLvlLbl val="0"/>
      </c:cat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a:outerShdw blurRad="63500" sx="102000" sy="102000" algn="ctr"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[ecommerce-blank.xlsx]Pivot!PvtQuantity</c:name>
    <c:fmtId val="3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How</a:t>
            </a:r>
            <a:r>
              <a:rPr lang="en-US" b="1" baseline="0"/>
              <a:t> Many They Buy ?</a:t>
            </a:r>
            <a:endParaRPr lang="en-US" b="1"/>
          </a:p>
        </c:rich>
      </c:tx>
      <c:layout>
        <c:manualLayout>
          <c:xMode val="edge"/>
          <c:yMode val="edge"/>
          <c:x val="0.34114026368061851"/>
          <c:y val="4.818083644997101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tx2">
              <a:lumMod val="75000"/>
              <a:lumOff val="25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tx2">
              <a:lumMod val="75000"/>
              <a:lumOff val="25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6">
              <a:lumMod val="75000"/>
            </a:schemeClr>
          </a:solidFill>
          <a:ln w="6350">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8363485680975"/>
          <c:y val="0.11794871794871795"/>
          <c:w val="0.81319744534324412"/>
          <c:h val="0.65954694124772861"/>
        </c:manualLayout>
      </c:layout>
      <c:barChart>
        <c:barDir val="col"/>
        <c:grouping val="clustered"/>
        <c:varyColors val="0"/>
        <c:ser>
          <c:idx val="0"/>
          <c:order val="0"/>
          <c:tx>
            <c:strRef>
              <c:f>Pivot!$F$8</c:f>
              <c:strCache>
                <c:ptCount val="1"/>
                <c:pt idx="0">
                  <c:v>Total</c:v>
                </c:pt>
              </c:strCache>
            </c:strRef>
          </c:tx>
          <c:spPr>
            <a:solidFill>
              <a:schemeClr val="accent6">
                <a:lumMod val="75000"/>
              </a:schemeClr>
            </a:solidFill>
            <a:ln w="6350">
              <a:solidFill>
                <a:schemeClr val="bg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Pivot!$E$9:$E$16</c:f>
              <c:strCache>
                <c:ptCount val="7"/>
                <c:pt idx="0">
                  <c:v>1</c:v>
                </c:pt>
                <c:pt idx="1">
                  <c:v>2</c:v>
                </c:pt>
                <c:pt idx="2">
                  <c:v>3</c:v>
                </c:pt>
                <c:pt idx="3">
                  <c:v>4</c:v>
                </c:pt>
                <c:pt idx="4">
                  <c:v>5</c:v>
                </c:pt>
                <c:pt idx="5">
                  <c:v>6-10</c:v>
                </c:pt>
                <c:pt idx="6">
                  <c:v>Above 10</c:v>
                </c:pt>
              </c:strCache>
            </c:strRef>
          </c:cat>
          <c:val>
            <c:numRef>
              <c:f>Pivot!$F$9:$F$16</c:f>
              <c:numCache>
                <c:formatCode>General</c:formatCode>
                <c:ptCount val="7"/>
                <c:pt idx="0">
                  <c:v>397</c:v>
                </c:pt>
                <c:pt idx="1">
                  <c:v>540</c:v>
                </c:pt>
                <c:pt idx="2">
                  <c:v>375</c:v>
                </c:pt>
                <c:pt idx="3">
                  <c:v>246</c:v>
                </c:pt>
                <c:pt idx="4">
                  <c:v>195</c:v>
                </c:pt>
                <c:pt idx="5">
                  <c:v>414</c:v>
                </c:pt>
                <c:pt idx="6">
                  <c:v>233</c:v>
                </c:pt>
              </c:numCache>
            </c:numRef>
          </c:val>
          <c:extLst>
            <c:ext xmlns:c16="http://schemas.microsoft.com/office/drawing/2014/chart" uri="{C3380CC4-5D6E-409C-BE32-E72D297353CC}">
              <c16:uniqueId val="{00000000-4F80-4876-9F26-235C40707EC9}"/>
            </c:ext>
          </c:extLst>
        </c:ser>
        <c:dLbls>
          <c:dLblPos val="outEnd"/>
          <c:showLegendKey val="0"/>
          <c:showVal val="1"/>
          <c:showCatName val="0"/>
          <c:showSerName val="0"/>
          <c:showPercent val="0"/>
          <c:showBubbleSize val="0"/>
        </c:dLbls>
        <c:gapWidth val="0"/>
        <c:overlap val="-27"/>
        <c:axId val="956080144"/>
        <c:axId val="956061840"/>
      </c:barChart>
      <c:catAx>
        <c:axId val="95608014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Qauntity</a:t>
                </a:r>
                <a:r>
                  <a:rPr lang="en-US" baseline="0"/>
                  <a:t> Purchased</a:t>
                </a:r>
                <a:endParaRPr lang="en-US"/>
              </a:p>
            </c:rich>
          </c:tx>
          <c:layout>
            <c:manualLayout>
              <c:xMode val="edge"/>
              <c:yMode val="edge"/>
              <c:x val="0.35636933782213848"/>
              <c:y val="0.87587159297395523"/>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956061840"/>
        <c:crosses val="autoZero"/>
        <c:auto val="1"/>
        <c:lblAlgn val="ctr"/>
        <c:lblOffset val="100"/>
        <c:noMultiLvlLbl val="0"/>
      </c:catAx>
      <c:valAx>
        <c:axId val="95606184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 Count</a:t>
                </a:r>
              </a:p>
            </c:rich>
          </c:tx>
          <c:layout>
            <c:manualLayout>
              <c:xMode val="edge"/>
              <c:yMode val="edge"/>
              <c:x val="3.0757404724095182E-3"/>
              <c:y val="0.36894003634161116"/>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95608014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a:outerShdw blurRad="63500" sx="102000" sy="102000" algn="ctr"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[ecommerce-blank.xlsx]Pivot!PvtProduct</c:name>
    <c:fmtId val="52"/>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 </a:t>
            </a:r>
            <a:r>
              <a:rPr lang="en-US" sz="1400"/>
              <a:t>Products</a:t>
            </a:r>
            <a:r>
              <a:rPr lang="en-US" sz="1400" baseline="0"/>
              <a:t> Popularity : Gender Distribution </a:t>
            </a: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pivotFmt>
      <c:pivotFmt>
        <c:idx val="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pivotFmt>
      <c:pivotFmt>
        <c:idx val="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pivotFmt>
      <c:pivotFmt>
        <c:idx val="3"/>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w="9525">
              <a:solidFill>
                <a:schemeClr val="accent6">
                  <a:lumMod val="60000"/>
                </a:schemeClr>
              </a:solidFill>
              <a:round/>
            </a:ln>
            <a:effectLst>
              <a:outerShdw blurRad="57150" dist="19050" dir="5400000" algn="ctr" rotWithShape="0">
                <a:srgbClr val="000000">
                  <a:alpha val="63000"/>
                </a:srgbClr>
              </a:outerShdw>
            </a:effectLst>
          </c:spPr>
        </c:marker>
      </c:pivotFmt>
      <c:pivotFmt>
        <c:idx val="4"/>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lumMod val="75000"/>
            </a:schemeClr>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lumMod val="50000"/>
            </a:schemeClr>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6">
              <a:lumMod val="40000"/>
              <a:lumOff val="60000"/>
            </a:schemeClr>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bg2"/>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Pivot!$B$27:$B$28</c:f>
              <c:strCache>
                <c:ptCount val="1"/>
                <c:pt idx="0">
                  <c:v>Female</c:v>
                </c:pt>
              </c:strCache>
            </c:strRef>
          </c:tx>
          <c:spPr>
            <a:solidFill>
              <a:schemeClr val="accent1">
                <a:lumMod val="75000"/>
              </a:schemeClr>
            </a:solidFill>
            <a:ln>
              <a:noFill/>
            </a:ln>
            <a:effectLst>
              <a:outerShdw blurRad="57150" dist="19050" dir="5400000" algn="ctr" rotWithShape="0">
                <a:srgbClr val="000000">
                  <a:alpha val="63000"/>
                </a:srgbClr>
              </a:outerShdw>
            </a:effectLst>
          </c:spPr>
          <c:invertIfNegative val="0"/>
          <c:cat>
            <c:strRef>
              <c:f>Pivot!$A$29:$A$49</c:f>
              <c:strCache>
                <c:ptCount val="20"/>
                <c:pt idx="0">
                  <c:v>T-Shirts</c:v>
                </c:pt>
                <c:pt idx="1">
                  <c:v>Jeans</c:v>
                </c:pt>
                <c:pt idx="2">
                  <c:v>Sneakers</c:v>
                </c:pt>
                <c:pt idx="3">
                  <c:v>Tank Tops</c:v>
                </c:pt>
                <c:pt idx="4">
                  <c:v>Bikinis</c:v>
                </c:pt>
                <c:pt idx="5">
                  <c:v>Shorts</c:v>
                </c:pt>
                <c:pt idx="6">
                  <c:v>Sundresses</c:v>
                </c:pt>
                <c:pt idx="7">
                  <c:v>Graphic Tees</c:v>
                </c:pt>
                <c:pt idx="8">
                  <c:v>Hoodies &amp; Sweatshirts</c:v>
                </c:pt>
                <c:pt idx="9">
                  <c:v>Sandals</c:v>
                </c:pt>
                <c:pt idx="10">
                  <c:v>Crop Tops</c:v>
                </c:pt>
                <c:pt idx="11">
                  <c:v>Leggings</c:v>
                </c:pt>
                <c:pt idx="12">
                  <c:v>Casual Dresses</c:v>
                </c:pt>
                <c:pt idx="13">
                  <c:v>Workout Tops</c:v>
                </c:pt>
                <c:pt idx="14">
                  <c:v>Pajama Sets</c:v>
                </c:pt>
                <c:pt idx="15">
                  <c:v>Maxi Dresses</c:v>
                </c:pt>
                <c:pt idx="16">
                  <c:v>Sunglasses</c:v>
                </c:pt>
                <c:pt idx="17">
                  <c:v>Tote Bags</c:v>
                </c:pt>
                <c:pt idx="18">
                  <c:v>Baseball Caps</c:v>
                </c:pt>
                <c:pt idx="19">
                  <c:v>Jewelry</c:v>
                </c:pt>
              </c:strCache>
            </c:strRef>
          </c:cat>
          <c:val>
            <c:numRef>
              <c:f>Pivot!$B$29:$B$49</c:f>
              <c:numCache>
                <c:formatCode>General</c:formatCode>
                <c:ptCount val="20"/>
                <c:pt idx="0">
                  <c:v>744</c:v>
                </c:pt>
                <c:pt idx="1">
                  <c:v>716</c:v>
                </c:pt>
                <c:pt idx="2">
                  <c:v>627</c:v>
                </c:pt>
                <c:pt idx="3">
                  <c:v>568</c:v>
                </c:pt>
                <c:pt idx="4">
                  <c:v>482</c:v>
                </c:pt>
                <c:pt idx="5">
                  <c:v>428</c:v>
                </c:pt>
                <c:pt idx="6">
                  <c:v>445</c:v>
                </c:pt>
                <c:pt idx="7">
                  <c:v>431</c:v>
                </c:pt>
                <c:pt idx="8">
                  <c:v>264</c:v>
                </c:pt>
                <c:pt idx="9">
                  <c:v>296</c:v>
                </c:pt>
                <c:pt idx="10">
                  <c:v>153</c:v>
                </c:pt>
                <c:pt idx="11">
                  <c:v>189</c:v>
                </c:pt>
                <c:pt idx="12">
                  <c:v>234</c:v>
                </c:pt>
                <c:pt idx="13">
                  <c:v>146</c:v>
                </c:pt>
                <c:pt idx="14">
                  <c:v>127</c:v>
                </c:pt>
                <c:pt idx="15">
                  <c:v>179</c:v>
                </c:pt>
                <c:pt idx="16">
                  <c:v>99</c:v>
                </c:pt>
                <c:pt idx="17">
                  <c:v>75</c:v>
                </c:pt>
                <c:pt idx="18">
                  <c:v>43</c:v>
                </c:pt>
                <c:pt idx="19">
                  <c:v>26</c:v>
                </c:pt>
              </c:numCache>
            </c:numRef>
          </c:val>
          <c:extLst>
            <c:ext xmlns:c16="http://schemas.microsoft.com/office/drawing/2014/chart" uri="{C3380CC4-5D6E-409C-BE32-E72D297353CC}">
              <c16:uniqueId val="{00000000-1BFF-402A-9052-F2DA1B3C667B}"/>
            </c:ext>
          </c:extLst>
        </c:ser>
        <c:ser>
          <c:idx val="1"/>
          <c:order val="1"/>
          <c:tx>
            <c:strRef>
              <c:f>Pivot!$C$27:$C$28</c:f>
              <c:strCache>
                <c:ptCount val="1"/>
                <c:pt idx="0">
                  <c:v>Male</c:v>
                </c:pt>
              </c:strCache>
            </c:strRef>
          </c:tx>
          <c:spPr>
            <a:solidFill>
              <a:schemeClr val="accent1">
                <a:lumMod val="50000"/>
              </a:schemeClr>
            </a:solidFill>
            <a:ln>
              <a:noFill/>
            </a:ln>
            <a:effectLst>
              <a:outerShdw blurRad="57150" dist="19050" dir="5400000" algn="ctr" rotWithShape="0">
                <a:srgbClr val="000000">
                  <a:alpha val="63000"/>
                </a:srgbClr>
              </a:outerShdw>
            </a:effectLst>
          </c:spPr>
          <c:invertIfNegative val="0"/>
          <c:cat>
            <c:strRef>
              <c:f>Pivot!$A$29:$A$49</c:f>
              <c:strCache>
                <c:ptCount val="20"/>
                <c:pt idx="0">
                  <c:v>T-Shirts</c:v>
                </c:pt>
                <c:pt idx="1">
                  <c:v>Jeans</c:v>
                </c:pt>
                <c:pt idx="2">
                  <c:v>Sneakers</c:v>
                </c:pt>
                <c:pt idx="3">
                  <c:v>Tank Tops</c:v>
                </c:pt>
                <c:pt idx="4">
                  <c:v>Bikinis</c:v>
                </c:pt>
                <c:pt idx="5">
                  <c:v>Shorts</c:v>
                </c:pt>
                <c:pt idx="6">
                  <c:v>Sundresses</c:v>
                </c:pt>
                <c:pt idx="7">
                  <c:v>Graphic Tees</c:v>
                </c:pt>
                <c:pt idx="8">
                  <c:v>Hoodies &amp; Sweatshirts</c:v>
                </c:pt>
                <c:pt idx="9">
                  <c:v>Sandals</c:v>
                </c:pt>
                <c:pt idx="10">
                  <c:v>Crop Tops</c:v>
                </c:pt>
                <c:pt idx="11">
                  <c:v>Leggings</c:v>
                </c:pt>
                <c:pt idx="12">
                  <c:v>Casual Dresses</c:v>
                </c:pt>
                <c:pt idx="13">
                  <c:v>Workout Tops</c:v>
                </c:pt>
                <c:pt idx="14">
                  <c:v>Pajama Sets</c:v>
                </c:pt>
                <c:pt idx="15">
                  <c:v>Maxi Dresses</c:v>
                </c:pt>
                <c:pt idx="16">
                  <c:v>Sunglasses</c:v>
                </c:pt>
                <c:pt idx="17">
                  <c:v>Tote Bags</c:v>
                </c:pt>
                <c:pt idx="18">
                  <c:v>Baseball Caps</c:v>
                </c:pt>
                <c:pt idx="19">
                  <c:v>Jewelry</c:v>
                </c:pt>
              </c:strCache>
            </c:strRef>
          </c:cat>
          <c:val>
            <c:numRef>
              <c:f>Pivot!$C$29:$C$49</c:f>
              <c:numCache>
                <c:formatCode>General</c:formatCode>
                <c:ptCount val="20"/>
                <c:pt idx="0">
                  <c:v>713</c:v>
                </c:pt>
                <c:pt idx="1">
                  <c:v>598</c:v>
                </c:pt>
                <c:pt idx="2">
                  <c:v>393</c:v>
                </c:pt>
                <c:pt idx="3">
                  <c:v>306</c:v>
                </c:pt>
                <c:pt idx="4">
                  <c:v>295</c:v>
                </c:pt>
                <c:pt idx="5">
                  <c:v>293</c:v>
                </c:pt>
                <c:pt idx="6">
                  <c:v>202</c:v>
                </c:pt>
                <c:pt idx="7">
                  <c:v>187</c:v>
                </c:pt>
                <c:pt idx="8">
                  <c:v>318</c:v>
                </c:pt>
                <c:pt idx="9">
                  <c:v>275</c:v>
                </c:pt>
                <c:pt idx="10">
                  <c:v>246</c:v>
                </c:pt>
                <c:pt idx="11">
                  <c:v>168</c:v>
                </c:pt>
                <c:pt idx="12">
                  <c:v>93</c:v>
                </c:pt>
                <c:pt idx="13">
                  <c:v>94</c:v>
                </c:pt>
                <c:pt idx="14">
                  <c:v>118</c:v>
                </c:pt>
                <c:pt idx="15">
                  <c:v>76</c:v>
                </c:pt>
                <c:pt idx="16">
                  <c:v>69</c:v>
                </c:pt>
                <c:pt idx="17">
                  <c:v>103</c:v>
                </c:pt>
                <c:pt idx="18">
                  <c:v>90</c:v>
                </c:pt>
                <c:pt idx="19">
                  <c:v>35</c:v>
                </c:pt>
              </c:numCache>
            </c:numRef>
          </c:val>
          <c:extLst>
            <c:ext xmlns:c16="http://schemas.microsoft.com/office/drawing/2014/chart" uri="{C3380CC4-5D6E-409C-BE32-E72D297353CC}">
              <c16:uniqueId val="{00000001-1BFF-402A-9052-F2DA1B3C667B}"/>
            </c:ext>
          </c:extLst>
        </c:ser>
        <c:ser>
          <c:idx val="2"/>
          <c:order val="2"/>
          <c:tx>
            <c:strRef>
              <c:f>Pivot!$D$27:$D$28</c:f>
              <c:strCache>
                <c:ptCount val="1"/>
                <c:pt idx="0">
                  <c:v>Other</c:v>
                </c:pt>
              </c:strCache>
            </c:strRef>
          </c:tx>
          <c:spPr>
            <a:solidFill>
              <a:schemeClr val="accent6">
                <a:lumMod val="40000"/>
                <a:lumOff val="60000"/>
              </a:schemeClr>
            </a:solidFill>
            <a:ln>
              <a:noFill/>
            </a:ln>
            <a:effectLst>
              <a:outerShdw blurRad="57150" dist="19050" dir="5400000" algn="ctr" rotWithShape="0">
                <a:srgbClr val="000000">
                  <a:alpha val="63000"/>
                </a:srgbClr>
              </a:outerShdw>
            </a:effectLst>
          </c:spPr>
          <c:invertIfNegative val="0"/>
          <c:cat>
            <c:strRef>
              <c:f>Pivot!$A$29:$A$49</c:f>
              <c:strCache>
                <c:ptCount val="20"/>
                <c:pt idx="0">
                  <c:v>T-Shirts</c:v>
                </c:pt>
                <c:pt idx="1">
                  <c:v>Jeans</c:v>
                </c:pt>
                <c:pt idx="2">
                  <c:v>Sneakers</c:v>
                </c:pt>
                <c:pt idx="3">
                  <c:v>Tank Tops</c:v>
                </c:pt>
                <c:pt idx="4">
                  <c:v>Bikinis</c:v>
                </c:pt>
                <c:pt idx="5">
                  <c:v>Shorts</c:v>
                </c:pt>
                <c:pt idx="6">
                  <c:v>Sundresses</c:v>
                </c:pt>
                <c:pt idx="7">
                  <c:v>Graphic Tees</c:v>
                </c:pt>
                <c:pt idx="8">
                  <c:v>Hoodies &amp; Sweatshirts</c:v>
                </c:pt>
                <c:pt idx="9">
                  <c:v>Sandals</c:v>
                </c:pt>
                <c:pt idx="10">
                  <c:v>Crop Tops</c:v>
                </c:pt>
                <c:pt idx="11">
                  <c:v>Leggings</c:v>
                </c:pt>
                <c:pt idx="12">
                  <c:v>Casual Dresses</c:v>
                </c:pt>
                <c:pt idx="13">
                  <c:v>Workout Tops</c:v>
                </c:pt>
                <c:pt idx="14">
                  <c:v>Pajama Sets</c:v>
                </c:pt>
                <c:pt idx="15">
                  <c:v>Maxi Dresses</c:v>
                </c:pt>
                <c:pt idx="16">
                  <c:v>Sunglasses</c:v>
                </c:pt>
                <c:pt idx="17">
                  <c:v>Tote Bags</c:v>
                </c:pt>
                <c:pt idx="18">
                  <c:v>Baseball Caps</c:v>
                </c:pt>
                <c:pt idx="19">
                  <c:v>Jewelry</c:v>
                </c:pt>
              </c:strCache>
            </c:strRef>
          </c:cat>
          <c:val>
            <c:numRef>
              <c:f>Pivot!$D$29:$D$49</c:f>
              <c:numCache>
                <c:formatCode>General</c:formatCode>
                <c:ptCount val="20"/>
                <c:pt idx="0">
                  <c:v>90</c:v>
                </c:pt>
                <c:pt idx="1">
                  <c:v>18</c:v>
                </c:pt>
                <c:pt idx="2">
                  <c:v>29</c:v>
                </c:pt>
                <c:pt idx="3">
                  <c:v>22</c:v>
                </c:pt>
                <c:pt idx="4">
                  <c:v>8</c:v>
                </c:pt>
                <c:pt idx="6">
                  <c:v>14</c:v>
                </c:pt>
                <c:pt idx="7">
                  <c:v>14</c:v>
                </c:pt>
                <c:pt idx="8">
                  <c:v>15</c:v>
                </c:pt>
                <c:pt idx="9">
                  <c:v>9</c:v>
                </c:pt>
                <c:pt idx="10">
                  <c:v>30</c:v>
                </c:pt>
                <c:pt idx="11">
                  <c:v>10</c:v>
                </c:pt>
                <c:pt idx="12">
                  <c:v>19</c:v>
                </c:pt>
                <c:pt idx="13">
                  <c:v>4</c:v>
                </c:pt>
                <c:pt idx="14">
                  <c:v>13</c:v>
                </c:pt>
                <c:pt idx="15">
                  <c:v>3</c:v>
                </c:pt>
                <c:pt idx="16">
                  <c:v>3</c:v>
                </c:pt>
                <c:pt idx="17">
                  <c:v>4</c:v>
                </c:pt>
                <c:pt idx="18">
                  <c:v>8</c:v>
                </c:pt>
                <c:pt idx="19">
                  <c:v>4</c:v>
                </c:pt>
              </c:numCache>
            </c:numRef>
          </c:val>
          <c:extLst>
            <c:ext xmlns:c16="http://schemas.microsoft.com/office/drawing/2014/chart" uri="{C3380CC4-5D6E-409C-BE32-E72D297353CC}">
              <c16:uniqueId val="{00000002-1BFF-402A-9052-F2DA1B3C667B}"/>
            </c:ext>
          </c:extLst>
        </c:ser>
        <c:ser>
          <c:idx val="3"/>
          <c:order val="3"/>
          <c:tx>
            <c:strRef>
              <c:f>Pivot!$E$27:$E$28</c:f>
              <c:strCache>
                <c:ptCount val="1"/>
                <c:pt idx="0">
                  <c:v>Unknown</c:v>
                </c:pt>
              </c:strCache>
            </c:strRef>
          </c:tx>
          <c:spPr>
            <a:solidFill>
              <a:schemeClr val="bg2"/>
            </a:solidFill>
            <a:ln>
              <a:noFill/>
            </a:ln>
            <a:effectLst>
              <a:outerShdw blurRad="57150" dist="19050" dir="5400000" algn="ctr" rotWithShape="0">
                <a:srgbClr val="000000">
                  <a:alpha val="63000"/>
                </a:srgbClr>
              </a:outerShdw>
            </a:effectLst>
          </c:spPr>
          <c:invertIfNegative val="0"/>
          <c:cat>
            <c:strRef>
              <c:f>Pivot!$A$29:$A$49</c:f>
              <c:strCache>
                <c:ptCount val="20"/>
                <c:pt idx="0">
                  <c:v>T-Shirts</c:v>
                </c:pt>
                <c:pt idx="1">
                  <c:v>Jeans</c:v>
                </c:pt>
                <c:pt idx="2">
                  <c:v>Sneakers</c:v>
                </c:pt>
                <c:pt idx="3">
                  <c:v>Tank Tops</c:v>
                </c:pt>
                <c:pt idx="4">
                  <c:v>Bikinis</c:v>
                </c:pt>
                <c:pt idx="5">
                  <c:v>Shorts</c:v>
                </c:pt>
                <c:pt idx="6">
                  <c:v>Sundresses</c:v>
                </c:pt>
                <c:pt idx="7">
                  <c:v>Graphic Tees</c:v>
                </c:pt>
                <c:pt idx="8">
                  <c:v>Hoodies &amp; Sweatshirts</c:v>
                </c:pt>
                <c:pt idx="9">
                  <c:v>Sandals</c:v>
                </c:pt>
                <c:pt idx="10">
                  <c:v>Crop Tops</c:v>
                </c:pt>
                <c:pt idx="11">
                  <c:v>Leggings</c:v>
                </c:pt>
                <c:pt idx="12">
                  <c:v>Casual Dresses</c:v>
                </c:pt>
                <c:pt idx="13">
                  <c:v>Workout Tops</c:v>
                </c:pt>
                <c:pt idx="14">
                  <c:v>Pajama Sets</c:v>
                </c:pt>
                <c:pt idx="15">
                  <c:v>Maxi Dresses</c:v>
                </c:pt>
                <c:pt idx="16">
                  <c:v>Sunglasses</c:v>
                </c:pt>
                <c:pt idx="17">
                  <c:v>Tote Bags</c:v>
                </c:pt>
                <c:pt idx="18">
                  <c:v>Baseball Caps</c:v>
                </c:pt>
                <c:pt idx="19">
                  <c:v>Jewelry</c:v>
                </c:pt>
              </c:strCache>
            </c:strRef>
          </c:cat>
          <c:val>
            <c:numRef>
              <c:f>Pivot!$E$29:$E$49</c:f>
              <c:numCache>
                <c:formatCode>General</c:formatCode>
                <c:ptCount val="20"/>
                <c:pt idx="0">
                  <c:v>98</c:v>
                </c:pt>
                <c:pt idx="1">
                  <c:v>214</c:v>
                </c:pt>
                <c:pt idx="2">
                  <c:v>137</c:v>
                </c:pt>
                <c:pt idx="3">
                  <c:v>16</c:v>
                </c:pt>
                <c:pt idx="4">
                  <c:v>22</c:v>
                </c:pt>
                <c:pt idx="5">
                  <c:v>24</c:v>
                </c:pt>
                <c:pt idx="6">
                  <c:v>39</c:v>
                </c:pt>
                <c:pt idx="7">
                  <c:v>15</c:v>
                </c:pt>
                <c:pt idx="8">
                  <c:v>9</c:v>
                </c:pt>
                <c:pt idx="9">
                  <c:v>23</c:v>
                </c:pt>
                <c:pt idx="10">
                  <c:v>8</c:v>
                </c:pt>
                <c:pt idx="11">
                  <c:v>31</c:v>
                </c:pt>
                <c:pt idx="12">
                  <c:v>24</c:v>
                </c:pt>
                <c:pt idx="13">
                  <c:v>28</c:v>
                </c:pt>
                <c:pt idx="14">
                  <c:v>12</c:v>
                </c:pt>
                <c:pt idx="16">
                  <c:v>24</c:v>
                </c:pt>
                <c:pt idx="17">
                  <c:v>6</c:v>
                </c:pt>
                <c:pt idx="18">
                  <c:v>6</c:v>
                </c:pt>
              </c:numCache>
            </c:numRef>
          </c:val>
          <c:extLst>
            <c:ext xmlns:c16="http://schemas.microsoft.com/office/drawing/2014/chart" uri="{C3380CC4-5D6E-409C-BE32-E72D297353CC}">
              <c16:uniqueId val="{00000003-1BFF-402A-9052-F2DA1B3C667B}"/>
            </c:ext>
          </c:extLst>
        </c:ser>
        <c:dLbls>
          <c:showLegendKey val="0"/>
          <c:showVal val="0"/>
          <c:showCatName val="0"/>
          <c:showSerName val="0"/>
          <c:showPercent val="0"/>
          <c:showBubbleSize val="0"/>
        </c:dLbls>
        <c:gapWidth val="45"/>
        <c:overlap val="100"/>
        <c:axId val="956077648"/>
        <c:axId val="956071408"/>
      </c:barChart>
      <c:catAx>
        <c:axId val="956077648"/>
        <c:scaling>
          <c:orientation val="maxMin"/>
        </c:scaling>
        <c:delete val="0"/>
        <c:axPos val="l"/>
        <c:numFmt formatCode="General" sourceLinked="1"/>
        <c:majorTickMark val="none"/>
        <c:minorTickMark val="none"/>
        <c:tickLblPos val="high"/>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6071408"/>
        <c:crosses val="autoZero"/>
        <c:auto val="1"/>
        <c:lblAlgn val="ctr"/>
        <c:lblOffset val="100"/>
        <c:noMultiLvlLbl val="0"/>
      </c:catAx>
      <c:valAx>
        <c:axId val="956071408"/>
        <c:scaling>
          <c:orientation val="minMax"/>
        </c:scaling>
        <c:delete val="0"/>
        <c:axPos val="t"/>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607764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a:outerShdw blurRad="63500" sx="102000" sy="102000" algn="ctr"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[ecommerce-blank.xlsx]Pivot!PvtGender</c:name>
    <c:fmtId val="59"/>
  </c:pivotSource>
  <c:chart>
    <c:autoTitleDeleted val="1"/>
    <c:pivotFmts>
      <c:pivotFmt>
        <c:idx val="0"/>
        <c:spPr>
          <a:solidFill>
            <a:schemeClr val="accent6"/>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1"/>
        <c:spPr>
          <a:solidFill>
            <a:schemeClr val="accent4"/>
          </a:solidFill>
          <a:ln>
            <a:noFill/>
          </a:ln>
          <a:effectLst/>
          <a:scene3d>
            <a:camera prst="orthographicFront"/>
            <a:lightRig rig="brightRoom" dir="t"/>
          </a:scene3d>
          <a:sp3d prstMaterial="flat">
            <a:bevelT w="50800" h="101600" prst="angle"/>
            <a:contourClr>
              <a:srgbClr val="000000"/>
            </a:contourClr>
          </a:sp3d>
        </c:spPr>
        <c:dLbl>
          <c:idx val="0"/>
          <c:layout>
            <c:manualLayout>
              <c:x val="-0.1361111111111111"/>
              <c:y val="-0.1111111111111111"/>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2"/>
        <c:spPr>
          <a:solidFill>
            <a:schemeClr val="accent6">
              <a:lumMod val="60000"/>
            </a:schemeClr>
          </a:solidFill>
          <a:ln>
            <a:noFill/>
          </a:ln>
          <a:effectLst/>
          <a:scene3d>
            <a:camera prst="orthographicFront"/>
            <a:lightRig rig="brightRoom" dir="t"/>
          </a:scene3d>
          <a:sp3d prstMaterial="flat">
            <a:bevelT w="50800" h="101600" prst="angle"/>
            <a:contourClr>
              <a:srgbClr val="000000"/>
            </a:contourClr>
          </a:sp3d>
        </c:spPr>
        <c:dLbl>
          <c:idx val="0"/>
          <c:layout>
            <c:manualLayout>
              <c:x val="-5.0925337632079971E-17"/>
              <c:y val="-0.15277777777777779"/>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3"/>
        <c:spPr>
          <a:solidFill>
            <a:schemeClr val="accent5"/>
          </a:solidFill>
          <a:ln>
            <a:noFill/>
          </a:ln>
          <a:effectLst/>
          <a:scene3d>
            <a:camera prst="orthographicFront"/>
            <a:lightRig rig="brightRoom" dir="t"/>
          </a:scene3d>
          <a:sp3d prstMaterial="flat">
            <a:bevelT w="50800" h="101600" prst="angle"/>
            <a:contourClr>
              <a:srgbClr val="000000"/>
            </a:contourClr>
          </a:sp3d>
        </c:spPr>
        <c:dLbl>
          <c:idx val="0"/>
          <c:layout>
            <c:manualLayout>
              <c:x val="-0.15277777777777779"/>
              <c:y val="0.10185185185185185"/>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ln>
                    <a:noFill/>
                  </a:ln>
                  <a:solidFill>
                    <a:schemeClr val="tx1"/>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4"/>
        <c:spPr>
          <a:solidFill>
            <a:schemeClr val="accent6"/>
          </a:solidFill>
          <a:ln>
            <a:noFill/>
          </a:ln>
          <a:effectLst/>
          <a:scene3d>
            <a:camera prst="orthographicFront"/>
            <a:lightRig rig="brightRoom" dir="t"/>
          </a:scene3d>
          <a:sp3d prstMaterial="flat">
            <a:bevelT w="50800" h="101600" prst="angle"/>
            <a:contourClr>
              <a:srgbClr val="000000"/>
            </a:contourClr>
          </a:sp3d>
        </c:spPr>
        <c:dLbl>
          <c:idx val="0"/>
          <c:layout>
            <c:manualLayout>
              <c:x val="0.15555555555555545"/>
              <c:y val="-6.9444444444444531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5"/>
        <c:spPr>
          <a:solidFill>
            <a:schemeClr val="accent6"/>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6"/>
        <c:spPr>
          <a:solidFill>
            <a:schemeClr val="accent6"/>
          </a:solidFill>
          <a:ln>
            <a:noFill/>
          </a:ln>
          <a:effectLst/>
          <a:scene3d>
            <a:camera prst="orthographicFront"/>
            <a:lightRig rig="brightRoom" dir="t"/>
          </a:scene3d>
          <a:sp3d prstMaterial="flat">
            <a:bevelT w="50800" h="101600" prst="angle"/>
            <a:contourClr>
              <a:srgbClr val="000000"/>
            </a:contourClr>
          </a:sp3d>
        </c:spPr>
        <c:dLbl>
          <c:idx val="0"/>
          <c:layout>
            <c:manualLayout>
              <c:x val="0.15555555555555545"/>
              <c:y val="-6.9444444444444531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7"/>
        <c:spPr>
          <a:solidFill>
            <a:schemeClr val="accent6"/>
          </a:solidFill>
          <a:ln>
            <a:noFill/>
          </a:ln>
          <a:effectLst/>
          <a:scene3d>
            <a:camera prst="orthographicFront"/>
            <a:lightRig rig="brightRoom" dir="t"/>
          </a:scene3d>
          <a:sp3d prstMaterial="flat">
            <a:bevelT w="50800" h="101600" prst="angle"/>
            <a:contourClr>
              <a:srgbClr val="000000"/>
            </a:contourClr>
          </a:sp3d>
        </c:spPr>
        <c:dLbl>
          <c:idx val="0"/>
          <c:layout>
            <c:manualLayout>
              <c:x val="-0.15277777777777779"/>
              <c:y val="0.10185185185185185"/>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ln>
                    <a:noFill/>
                  </a:ln>
                  <a:solidFill>
                    <a:schemeClr val="tx1"/>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8"/>
        <c:spPr>
          <a:solidFill>
            <a:schemeClr val="accent6"/>
          </a:solidFill>
          <a:ln>
            <a:noFill/>
          </a:ln>
          <a:effectLst/>
          <a:scene3d>
            <a:camera prst="orthographicFront"/>
            <a:lightRig rig="brightRoom" dir="t"/>
          </a:scene3d>
          <a:sp3d prstMaterial="flat">
            <a:bevelT w="50800" h="101600" prst="angle"/>
            <a:contourClr>
              <a:srgbClr val="000000"/>
            </a:contourClr>
          </a:sp3d>
        </c:spPr>
        <c:dLbl>
          <c:idx val="0"/>
          <c:layout>
            <c:manualLayout>
              <c:x val="-0.1361111111111111"/>
              <c:y val="-0.1111111111111111"/>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9"/>
        <c:spPr>
          <a:solidFill>
            <a:schemeClr val="accent6"/>
          </a:solidFill>
          <a:ln>
            <a:noFill/>
          </a:ln>
          <a:effectLst/>
          <a:scene3d>
            <a:camera prst="orthographicFront"/>
            <a:lightRig rig="brightRoom" dir="t"/>
          </a:scene3d>
          <a:sp3d prstMaterial="flat">
            <a:bevelT w="50800" h="101600" prst="angle"/>
            <a:contourClr>
              <a:srgbClr val="000000"/>
            </a:contourClr>
          </a:sp3d>
        </c:spPr>
        <c:dLbl>
          <c:idx val="0"/>
          <c:layout>
            <c:manualLayout>
              <c:x val="-5.0925337632079971E-17"/>
              <c:y val="-0.15277777777777779"/>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10"/>
        <c:spPr>
          <a:solidFill>
            <a:schemeClr val="accent1">
              <a:lumMod val="75000"/>
            </a:schemeClr>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11"/>
        <c:spPr>
          <a:solidFill>
            <a:schemeClr val="accent1">
              <a:lumMod val="75000"/>
            </a:schemeClr>
          </a:solidFill>
          <a:ln>
            <a:noFill/>
          </a:ln>
          <a:effectLst/>
          <a:scene3d>
            <a:camera prst="orthographicFront"/>
            <a:lightRig rig="brightRoom" dir="t"/>
          </a:scene3d>
          <a:sp3d prstMaterial="flat">
            <a:bevelT w="50800" h="101600" prst="angle"/>
            <a:contourClr>
              <a:srgbClr val="000000"/>
            </a:contourClr>
          </a:sp3d>
        </c:spPr>
        <c:dLbl>
          <c:idx val="0"/>
          <c:layout>
            <c:manualLayout>
              <c:x val="3.1401524455863562E-2"/>
              <c:y val="0.40253173351673238"/>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12"/>
        <c:spPr>
          <a:solidFill>
            <a:schemeClr val="accent1">
              <a:lumMod val="50000"/>
            </a:schemeClr>
          </a:solidFill>
          <a:ln>
            <a:noFill/>
          </a:ln>
          <a:effectLst/>
          <a:scene3d>
            <a:camera prst="orthographicFront"/>
            <a:lightRig rig="brightRoom" dir="t"/>
          </a:scene3d>
          <a:sp3d prstMaterial="flat">
            <a:bevelT w="50800" h="101600" prst="angle"/>
            <a:contourClr>
              <a:srgbClr val="000000"/>
            </a:contourClr>
          </a:sp3d>
        </c:spPr>
        <c:dLbl>
          <c:idx val="0"/>
          <c:layout>
            <c:manualLayout>
              <c:x val="-0.16861196421160737"/>
              <c:y val="0.14136549761009332"/>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13"/>
        <c:spPr>
          <a:solidFill>
            <a:schemeClr val="accent1">
              <a:lumMod val="40000"/>
              <a:lumOff val="60000"/>
            </a:schemeClr>
          </a:solidFill>
          <a:ln>
            <a:noFill/>
          </a:ln>
          <a:effectLst/>
          <a:scene3d>
            <a:camera prst="orthographicFront"/>
            <a:lightRig rig="brightRoom" dir="t"/>
          </a:scene3d>
          <a:sp3d prstMaterial="flat">
            <a:bevelT w="50800" h="101600" prst="angle"/>
            <a:contourClr>
              <a:srgbClr val="000000"/>
            </a:contourClr>
          </a:sp3d>
        </c:spPr>
        <c:dLbl>
          <c:idx val="0"/>
          <c:layout>
            <c:manualLayout>
              <c:x val="-0.13528880744822755"/>
              <c:y val="-0.1374630951930747"/>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14"/>
        <c:spPr>
          <a:solidFill>
            <a:schemeClr val="bg2"/>
          </a:solidFill>
          <a:ln>
            <a:noFill/>
          </a:ln>
          <a:effectLst/>
          <a:scene3d>
            <a:camera prst="orthographicFront"/>
            <a:lightRig rig="brightRoom" dir="t"/>
          </a:scene3d>
          <a:sp3d prstMaterial="flat">
            <a:bevelT w="50800" h="101600" prst="angle"/>
            <a:contourClr>
              <a:srgbClr val="000000"/>
            </a:contourClr>
          </a:sp3d>
        </c:spPr>
        <c:dLbl>
          <c:idx val="0"/>
          <c:layout>
            <c:manualLayout>
              <c:x val="0.22503948719712452"/>
              <c:y val="-0.16542367646960093"/>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layout>
                <c:manualLayout>
                  <c:w val="0.25308048213765988"/>
                  <c:h val="0.24126621953547078"/>
                </c:manualLayout>
              </c15:layout>
            </c:ext>
          </c:extLst>
        </c:dLbl>
      </c:pivotFmt>
    </c:pivotFmts>
    <c:plotArea>
      <c:layout>
        <c:manualLayout>
          <c:layoutTarget val="inner"/>
          <c:xMode val="edge"/>
          <c:yMode val="edge"/>
          <c:x val="0.18460173177675751"/>
          <c:y val="0.17202982814254819"/>
          <c:w val="0.53346109106763384"/>
          <c:h val="0.67900667254739688"/>
        </c:manualLayout>
      </c:layout>
      <c:doughnutChart>
        <c:varyColors val="1"/>
        <c:ser>
          <c:idx val="0"/>
          <c:order val="0"/>
          <c:tx>
            <c:strRef>
              <c:f>Pivot!$I$27</c:f>
              <c:strCache>
                <c:ptCount val="1"/>
                <c:pt idx="0">
                  <c:v>Total</c:v>
                </c:pt>
              </c:strCache>
            </c:strRef>
          </c:tx>
          <c:spPr>
            <a:solidFill>
              <a:schemeClr val="accent1">
                <a:lumMod val="75000"/>
              </a:schemeClr>
            </a:solidFill>
          </c:spPr>
          <c:dPt>
            <c:idx val="0"/>
            <c:bubble3D val="0"/>
            <c:spPr>
              <a:solidFill>
                <a:schemeClr val="accent1">
                  <a:lumMod val="75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5383-4CD1-B29A-A9E67F644559}"/>
              </c:ext>
            </c:extLst>
          </c:dPt>
          <c:dPt>
            <c:idx val="1"/>
            <c:bubble3D val="0"/>
            <c:spPr>
              <a:solidFill>
                <a:schemeClr val="accent1">
                  <a:lumMod val="5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5383-4CD1-B29A-A9E67F644559}"/>
              </c:ext>
            </c:extLst>
          </c:dPt>
          <c:dPt>
            <c:idx val="2"/>
            <c:bubble3D val="0"/>
            <c:spPr>
              <a:solidFill>
                <a:schemeClr val="accent1">
                  <a:lumMod val="40000"/>
                  <a:lumOff val="6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5383-4CD1-B29A-A9E67F644559}"/>
              </c:ext>
            </c:extLst>
          </c:dPt>
          <c:dPt>
            <c:idx val="3"/>
            <c:bubble3D val="0"/>
            <c:spPr>
              <a:solidFill>
                <a:schemeClr val="bg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5383-4CD1-B29A-A9E67F644559}"/>
              </c:ext>
            </c:extLst>
          </c:dPt>
          <c:dLbls>
            <c:dLbl>
              <c:idx val="0"/>
              <c:layout>
                <c:manualLayout>
                  <c:x val="3.1401524455863562E-2"/>
                  <c:y val="0.40253173351673238"/>
                </c:manualLayout>
              </c:layout>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5383-4CD1-B29A-A9E67F644559}"/>
                </c:ext>
              </c:extLst>
            </c:dLbl>
            <c:dLbl>
              <c:idx val="1"/>
              <c:layout>
                <c:manualLayout>
                  <c:x val="-0.16861196421160737"/>
                  <c:y val="0.14136549761009332"/>
                </c:manualLayout>
              </c:layout>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5383-4CD1-B29A-A9E67F644559}"/>
                </c:ext>
              </c:extLst>
            </c:dLbl>
            <c:dLbl>
              <c:idx val="2"/>
              <c:layout>
                <c:manualLayout>
                  <c:x val="-0.13528880744822755"/>
                  <c:y val="-0.1374630951930747"/>
                </c:manualLayout>
              </c:layout>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5383-4CD1-B29A-A9E67F644559}"/>
                </c:ext>
              </c:extLst>
            </c:dLbl>
            <c:dLbl>
              <c:idx val="3"/>
              <c:layout>
                <c:manualLayout>
                  <c:x val="0.22503948719712452"/>
                  <c:y val="-0.16542367646960093"/>
                </c:manualLayout>
              </c:layout>
              <c:showLegendKey val="0"/>
              <c:showVal val="1"/>
              <c:showCatName val="1"/>
              <c:showSerName val="0"/>
              <c:showPercent val="1"/>
              <c:showBubbleSize val="0"/>
              <c:extLst>
                <c:ext xmlns:c15="http://schemas.microsoft.com/office/drawing/2012/chart" uri="{CE6537A1-D6FC-4f65-9D91-7224C49458BB}">
                  <c15:layout>
                    <c:manualLayout>
                      <c:w val="0.25308048213765988"/>
                      <c:h val="0.24126621953547078"/>
                    </c:manualLayout>
                  </c15:layout>
                </c:ext>
                <c:ext xmlns:c16="http://schemas.microsoft.com/office/drawing/2014/chart" uri="{C3380CC4-5D6E-409C-BE32-E72D297353CC}">
                  <c16:uniqueId val="{00000007-5383-4CD1-B29A-A9E67F644559}"/>
                </c:ext>
              </c:extLst>
            </c:dLbl>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showLeaderLines val="1"/>
            <c:leaderLines>
              <c:spPr>
                <a:ln w="9525" cap="flat" cmpd="sng" algn="ctr">
                  <a:solidFill>
                    <a:schemeClr val="tx1">
                      <a:lumMod val="50000"/>
                      <a:lumOff val="50000"/>
                    </a:schemeClr>
                  </a:solidFill>
                  <a:round/>
                </a:ln>
                <a:effectLst/>
              </c:spPr>
            </c:leaderLines>
            <c:extLst>
              <c:ext xmlns:c15="http://schemas.microsoft.com/office/drawing/2012/chart" uri="{CE6537A1-D6FC-4f65-9D91-7224C49458BB}"/>
            </c:extLst>
          </c:dLbls>
          <c:cat>
            <c:strRef>
              <c:f>Pivot!$H$28:$H$32</c:f>
              <c:strCache>
                <c:ptCount val="4"/>
                <c:pt idx="0">
                  <c:v>Female</c:v>
                </c:pt>
                <c:pt idx="1">
                  <c:v>Male</c:v>
                </c:pt>
                <c:pt idx="2">
                  <c:v>Other</c:v>
                </c:pt>
                <c:pt idx="3">
                  <c:v>Unknown</c:v>
                </c:pt>
              </c:strCache>
            </c:strRef>
          </c:cat>
          <c:val>
            <c:numRef>
              <c:f>Pivot!$I$28:$I$32</c:f>
              <c:numCache>
                <c:formatCode>General</c:formatCode>
                <c:ptCount val="4"/>
                <c:pt idx="0">
                  <c:v>6272</c:v>
                </c:pt>
                <c:pt idx="1">
                  <c:v>4672</c:v>
                </c:pt>
                <c:pt idx="2">
                  <c:v>317</c:v>
                </c:pt>
                <c:pt idx="3">
                  <c:v>736</c:v>
                </c:pt>
              </c:numCache>
            </c:numRef>
          </c:val>
          <c:extLst>
            <c:ext xmlns:c16="http://schemas.microsoft.com/office/drawing/2014/chart" uri="{C3380CC4-5D6E-409C-BE32-E72D297353CC}">
              <c16:uniqueId val="{00000008-5383-4CD1-B29A-A9E67F644559}"/>
            </c:ext>
          </c:extLst>
        </c:ser>
        <c:dLbls>
          <c:showLegendKey val="0"/>
          <c:showVal val="1"/>
          <c:showCatName val="0"/>
          <c:showSerName val="0"/>
          <c:showPercent val="0"/>
          <c:showBubbleSize val="0"/>
          <c:showLeaderLines val="1"/>
        </c:dLbls>
        <c:firstSliceAng val="0"/>
        <c:holeSize val="45"/>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[ecommerce-blank.xlsx]Pivot!PvtShipment</c:name>
    <c:fmtId val="66"/>
  </c:pivotSource>
  <c:chart>
    <c:title>
      <c:tx>
        <c:rich>
          <a:bodyPr rot="0" spcFirstLastPara="1" vertOverflow="ellipsis" vert="horz" wrap="square" anchor="ctr" anchorCtr="1"/>
          <a:lstStyle/>
          <a:p>
            <a:pPr>
              <a:defRPr sz="1300" b="1" i="0" u="none" strike="noStrike" kern="1200" spc="0" baseline="0">
                <a:solidFill>
                  <a:schemeClr val="tx1">
                    <a:lumMod val="65000"/>
                    <a:lumOff val="35000"/>
                  </a:schemeClr>
                </a:solidFill>
                <a:latin typeface="+mn-lt"/>
                <a:ea typeface="+mn-ea"/>
                <a:cs typeface="+mn-cs"/>
              </a:defRPr>
            </a:pPr>
            <a:r>
              <a:rPr lang="en-US" sz="1300" b="1"/>
              <a:t>Number</a:t>
            </a:r>
            <a:r>
              <a:rPr lang="en-US" sz="1300" b="1" baseline="0"/>
              <a:t> of Delviery Days</a:t>
            </a:r>
            <a:endParaRPr lang="en-US" sz="1300" b="1"/>
          </a:p>
        </c:rich>
      </c:tx>
      <c:layout>
        <c:manualLayout>
          <c:xMode val="edge"/>
          <c:yMode val="edge"/>
          <c:x val="0.30942151075565894"/>
          <c:y val="4.1830048137492401E-2"/>
        </c:manualLayout>
      </c:layout>
      <c:overlay val="0"/>
      <c:spPr>
        <a:noFill/>
        <a:ln>
          <a:noFill/>
        </a:ln>
        <a:effectLst/>
      </c:spPr>
      <c:txPr>
        <a:bodyPr rot="0" spcFirstLastPara="1" vertOverflow="ellipsis" vert="horz" wrap="square" anchor="ctr" anchorCtr="1"/>
        <a:lstStyle/>
        <a:p>
          <a:pPr>
            <a:defRPr sz="13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tx2">
              <a:lumMod val="75000"/>
              <a:lumOff val="2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tx2">
              <a:lumMod val="75000"/>
              <a:lumOff val="2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4">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Pivot!$C$113</c:f>
              <c:strCache>
                <c:ptCount val="1"/>
                <c:pt idx="0">
                  <c:v>Total</c:v>
                </c:pt>
              </c:strCache>
            </c:strRef>
          </c:tx>
          <c:spPr>
            <a:solidFill>
              <a:schemeClr val="accent4">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Pivot!$B$114:$B$123</c:f>
              <c:strCache>
                <c:ptCount val="9"/>
                <c:pt idx="0">
                  <c:v>0</c:v>
                </c:pt>
                <c:pt idx="1">
                  <c:v>1</c:v>
                </c:pt>
                <c:pt idx="2">
                  <c:v>2</c:v>
                </c:pt>
                <c:pt idx="3">
                  <c:v>3</c:v>
                </c:pt>
                <c:pt idx="4">
                  <c:v>4</c:v>
                </c:pt>
                <c:pt idx="5">
                  <c:v>5</c:v>
                </c:pt>
                <c:pt idx="6">
                  <c:v>6-7 D</c:v>
                </c:pt>
                <c:pt idx="7">
                  <c:v>8-10 D</c:v>
                </c:pt>
                <c:pt idx="8">
                  <c:v>11-15 D</c:v>
                </c:pt>
              </c:strCache>
            </c:strRef>
          </c:cat>
          <c:val>
            <c:numRef>
              <c:f>Pivot!$C$114:$C$123</c:f>
              <c:numCache>
                <c:formatCode>General</c:formatCode>
                <c:ptCount val="9"/>
                <c:pt idx="0">
                  <c:v>175</c:v>
                </c:pt>
                <c:pt idx="1">
                  <c:v>888</c:v>
                </c:pt>
                <c:pt idx="2">
                  <c:v>538</c:v>
                </c:pt>
                <c:pt idx="3">
                  <c:v>344</c:v>
                </c:pt>
                <c:pt idx="4">
                  <c:v>200</c:v>
                </c:pt>
                <c:pt idx="5">
                  <c:v>94</c:v>
                </c:pt>
                <c:pt idx="6">
                  <c:v>83</c:v>
                </c:pt>
                <c:pt idx="7">
                  <c:v>40</c:v>
                </c:pt>
                <c:pt idx="8">
                  <c:v>38</c:v>
                </c:pt>
              </c:numCache>
            </c:numRef>
          </c:val>
          <c:extLst>
            <c:ext xmlns:c16="http://schemas.microsoft.com/office/drawing/2014/chart" uri="{C3380CC4-5D6E-409C-BE32-E72D297353CC}">
              <c16:uniqueId val="{00000000-8099-4CE9-A4F2-90712FCBDD53}"/>
            </c:ext>
          </c:extLst>
        </c:ser>
        <c:dLbls>
          <c:dLblPos val="outEnd"/>
          <c:showLegendKey val="0"/>
          <c:showVal val="1"/>
          <c:showCatName val="0"/>
          <c:showSerName val="0"/>
          <c:showPercent val="0"/>
          <c:showBubbleSize val="0"/>
        </c:dLbls>
        <c:gapWidth val="10"/>
        <c:overlap val="-27"/>
        <c:axId val="1723280399"/>
        <c:axId val="1723279567"/>
      </c:barChart>
      <c:catAx>
        <c:axId val="17232803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crossAx val="1723279567"/>
        <c:crosses val="autoZero"/>
        <c:auto val="1"/>
        <c:lblAlgn val="ctr"/>
        <c:lblOffset val="100"/>
        <c:noMultiLvlLbl val="0"/>
      </c:catAx>
      <c:valAx>
        <c:axId val="172327956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328039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a:outerShdw blurRad="63500" sx="102000" sy="102000" algn="ctr"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[ecommerce-blank.xlsx]Pivot!PvtRating</c:name>
    <c:fmtId val="73"/>
  </c:pivotSource>
  <c:chart>
    <c:title>
      <c:tx>
        <c:rich>
          <a:bodyPr rot="0" spcFirstLastPara="1" vertOverflow="ellipsis" vert="horz" wrap="square" anchor="ctr" anchorCtr="1"/>
          <a:lstStyle/>
          <a:p>
            <a:pPr>
              <a:defRPr sz="1300" b="1" i="0" u="none" strike="noStrike" kern="1200" spc="0" baseline="0">
                <a:solidFill>
                  <a:schemeClr val="tx1">
                    <a:lumMod val="65000"/>
                    <a:lumOff val="35000"/>
                  </a:schemeClr>
                </a:solidFill>
                <a:latin typeface="+mn-lt"/>
                <a:ea typeface="+mn-ea"/>
                <a:cs typeface="+mn-cs"/>
              </a:defRPr>
            </a:pPr>
            <a:r>
              <a:rPr lang="en-US" sz="1300" b="1"/>
              <a:t>Month</a:t>
            </a:r>
            <a:r>
              <a:rPr lang="en-US" sz="1300" b="1" baseline="0"/>
              <a:t> wise Customer Ratings</a:t>
            </a:r>
            <a:endParaRPr lang="en-US" sz="1300" b="1"/>
          </a:p>
        </c:rich>
      </c:tx>
      <c:overlay val="0"/>
      <c:spPr>
        <a:noFill/>
        <a:ln>
          <a:noFill/>
        </a:ln>
        <a:effectLst/>
      </c:spPr>
      <c:txPr>
        <a:bodyPr rot="0" spcFirstLastPara="1" vertOverflow="ellipsis" vert="horz" wrap="square" anchor="ctr" anchorCtr="1"/>
        <a:lstStyle/>
        <a:p>
          <a:pPr>
            <a:defRPr sz="13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00B0F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7030A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00B0F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7030A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3">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bg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Pivot!$G$113:$G$114</c:f>
              <c:strCache>
                <c:ptCount val="1"/>
                <c:pt idx="0">
                  <c:v>1</c:v>
                </c:pt>
              </c:strCache>
            </c:strRef>
          </c:tx>
          <c:spPr>
            <a:solidFill>
              <a:schemeClr val="accent5">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Pivot!$F$115:$F$118</c:f>
              <c:strCache>
                <c:ptCount val="3"/>
                <c:pt idx="0">
                  <c:v>Jan</c:v>
                </c:pt>
                <c:pt idx="1">
                  <c:v>Feb</c:v>
                </c:pt>
                <c:pt idx="2">
                  <c:v>Mar</c:v>
                </c:pt>
              </c:strCache>
            </c:strRef>
          </c:cat>
          <c:val>
            <c:numRef>
              <c:f>Pivot!$G$115:$G$118</c:f>
              <c:numCache>
                <c:formatCode>General</c:formatCode>
                <c:ptCount val="3"/>
                <c:pt idx="0">
                  <c:v>7</c:v>
                </c:pt>
                <c:pt idx="1">
                  <c:v>8</c:v>
                </c:pt>
                <c:pt idx="2">
                  <c:v>6</c:v>
                </c:pt>
              </c:numCache>
            </c:numRef>
          </c:val>
          <c:extLst>
            <c:ext xmlns:c16="http://schemas.microsoft.com/office/drawing/2014/chart" uri="{C3380CC4-5D6E-409C-BE32-E72D297353CC}">
              <c16:uniqueId val="{00000000-7653-4E35-A6B0-E991BFCC32A8}"/>
            </c:ext>
          </c:extLst>
        </c:ser>
        <c:ser>
          <c:idx val="1"/>
          <c:order val="1"/>
          <c:tx>
            <c:strRef>
              <c:f>Pivot!$H$113:$H$114</c:f>
              <c:strCache>
                <c:ptCount val="1"/>
                <c:pt idx="0">
                  <c:v>2</c:v>
                </c:pt>
              </c:strCache>
            </c:strRef>
          </c:tx>
          <c:spPr>
            <a:solidFill>
              <a:schemeClr val="accent3">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Pivot!$F$115:$F$118</c:f>
              <c:strCache>
                <c:ptCount val="3"/>
                <c:pt idx="0">
                  <c:v>Jan</c:v>
                </c:pt>
                <c:pt idx="1">
                  <c:v>Feb</c:v>
                </c:pt>
                <c:pt idx="2">
                  <c:v>Mar</c:v>
                </c:pt>
              </c:strCache>
            </c:strRef>
          </c:cat>
          <c:val>
            <c:numRef>
              <c:f>Pivot!$H$115:$H$118</c:f>
              <c:numCache>
                <c:formatCode>General</c:formatCode>
                <c:ptCount val="3"/>
                <c:pt idx="0">
                  <c:v>37</c:v>
                </c:pt>
                <c:pt idx="1">
                  <c:v>51</c:v>
                </c:pt>
                <c:pt idx="2">
                  <c:v>39</c:v>
                </c:pt>
              </c:numCache>
            </c:numRef>
          </c:val>
          <c:extLst>
            <c:ext xmlns:c16="http://schemas.microsoft.com/office/drawing/2014/chart" uri="{C3380CC4-5D6E-409C-BE32-E72D297353CC}">
              <c16:uniqueId val="{00000001-7653-4E35-A6B0-E991BFCC32A8}"/>
            </c:ext>
          </c:extLst>
        </c:ser>
        <c:ser>
          <c:idx val="2"/>
          <c:order val="2"/>
          <c:tx>
            <c:strRef>
              <c:f>Pivot!$I$113:$I$114</c:f>
              <c:strCache>
                <c:ptCount val="1"/>
                <c:pt idx="0">
                  <c:v>3</c:v>
                </c:pt>
              </c:strCache>
            </c:strRef>
          </c:tx>
          <c:spPr>
            <a:solidFill>
              <a:schemeClr val="accent1">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Pivot!$F$115:$F$118</c:f>
              <c:strCache>
                <c:ptCount val="3"/>
                <c:pt idx="0">
                  <c:v>Jan</c:v>
                </c:pt>
                <c:pt idx="1">
                  <c:v>Feb</c:v>
                </c:pt>
                <c:pt idx="2">
                  <c:v>Mar</c:v>
                </c:pt>
              </c:strCache>
            </c:strRef>
          </c:cat>
          <c:val>
            <c:numRef>
              <c:f>Pivot!$I$115:$I$118</c:f>
              <c:numCache>
                <c:formatCode>General</c:formatCode>
                <c:ptCount val="3"/>
                <c:pt idx="0">
                  <c:v>150</c:v>
                </c:pt>
                <c:pt idx="1">
                  <c:v>182</c:v>
                </c:pt>
                <c:pt idx="2">
                  <c:v>163</c:v>
                </c:pt>
              </c:numCache>
            </c:numRef>
          </c:val>
          <c:extLst>
            <c:ext xmlns:c16="http://schemas.microsoft.com/office/drawing/2014/chart" uri="{C3380CC4-5D6E-409C-BE32-E72D297353CC}">
              <c16:uniqueId val="{00000002-7653-4E35-A6B0-E991BFCC32A8}"/>
            </c:ext>
          </c:extLst>
        </c:ser>
        <c:ser>
          <c:idx val="3"/>
          <c:order val="3"/>
          <c:tx>
            <c:strRef>
              <c:f>Pivot!$J$113:$J$114</c:f>
              <c:strCache>
                <c:ptCount val="1"/>
                <c:pt idx="0">
                  <c:v>4</c:v>
                </c:pt>
              </c:strCache>
            </c:strRef>
          </c:tx>
          <c:spPr>
            <a:solidFill>
              <a:schemeClr val="accent1">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Pivot!$F$115:$F$118</c:f>
              <c:strCache>
                <c:ptCount val="3"/>
                <c:pt idx="0">
                  <c:v>Jan</c:v>
                </c:pt>
                <c:pt idx="1">
                  <c:v>Feb</c:v>
                </c:pt>
                <c:pt idx="2">
                  <c:v>Mar</c:v>
                </c:pt>
              </c:strCache>
            </c:strRef>
          </c:cat>
          <c:val>
            <c:numRef>
              <c:f>Pivot!$J$115:$J$118</c:f>
              <c:numCache>
                <c:formatCode>General</c:formatCode>
                <c:ptCount val="3"/>
                <c:pt idx="0">
                  <c:v>312</c:v>
                </c:pt>
                <c:pt idx="1">
                  <c:v>373</c:v>
                </c:pt>
                <c:pt idx="2">
                  <c:v>351</c:v>
                </c:pt>
              </c:numCache>
            </c:numRef>
          </c:val>
          <c:extLst>
            <c:ext xmlns:c16="http://schemas.microsoft.com/office/drawing/2014/chart" uri="{C3380CC4-5D6E-409C-BE32-E72D297353CC}">
              <c16:uniqueId val="{00000003-78FA-498E-B678-43B384E4541E}"/>
            </c:ext>
          </c:extLst>
        </c:ser>
        <c:ser>
          <c:idx val="4"/>
          <c:order val="4"/>
          <c:tx>
            <c:strRef>
              <c:f>Pivot!$K$113:$K$114</c:f>
              <c:strCache>
                <c:ptCount val="1"/>
                <c:pt idx="0">
                  <c:v>5</c:v>
                </c:pt>
              </c:strCache>
            </c:strRef>
          </c:tx>
          <c:spPr>
            <a:solidFill>
              <a:schemeClr val="bg2">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Pivot!$F$115:$F$118</c:f>
              <c:strCache>
                <c:ptCount val="3"/>
                <c:pt idx="0">
                  <c:v>Jan</c:v>
                </c:pt>
                <c:pt idx="1">
                  <c:v>Feb</c:v>
                </c:pt>
                <c:pt idx="2">
                  <c:v>Mar</c:v>
                </c:pt>
              </c:strCache>
            </c:strRef>
          </c:cat>
          <c:val>
            <c:numRef>
              <c:f>Pivot!$K$115:$K$118</c:f>
              <c:numCache>
                <c:formatCode>General</c:formatCode>
                <c:ptCount val="3"/>
                <c:pt idx="0">
                  <c:v>224</c:v>
                </c:pt>
                <c:pt idx="1">
                  <c:v>247</c:v>
                </c:pt>
                <c:pt idx="2">
                  <c:v>250</c:v>
                </c:pt>
              </c:numCache>
            </c:numRef>
          </c:val>
          <c:extLst>
            <c:ext xmlns:c16="http://schemas.microsoft.com/office/drawing/2014/chart" uri="{C3380CC4-5D6E-409C-BE32-E72D297353CC}">
              <c16:uniqueId val="{00000001-1B5E-4D7C-A837-D07AB7CF6ED1}"/>
            </c:ext>
          </c:extLst>
        </c:ser>
        <c:dLbls>
          <c:dLblPos val="outEnd"/>
          <c:showLegendKey val="0"/>
          <c:showVal val="1"/>
          <c:showCatName val="0"/>
          <c:showSerName val="0"/>
          <c:showPercent val="0"/>
          <c:showBubbleSize val="0"/>
        </c:dLbls>
        <c:gapWidth val="219"/>
        <c:overlap val="-27"/>
        <c:axId val="1944919007"/>
        <c:axId val="1944909439"/>
      </c:barChart>
      <c:catAx>
        <c:axId val="19449190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US"/>
          </a:p>
        </c:txPr>
        <c:crossAx val="1944909439"/>
        <c:crosses val="autoZero"/>
        <c:auto val="1"/>
        <c:lblAlgn val="ctr"/>
        <c:lblOffset val="100"/>
        <c:noMultiLvlLbl val="0"/>
      </c:catAx>
      <c:valAx>
        <c:axId val="194490943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491900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a:outerShdw blurRad="63500" sx="102000" sy="102000" algn="ctr"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title pos="t" align="ctr" overlay="0">
      <cx:tx>
        <cx:txData>
          <cx:v>Quantity Sold County wise</cx:v>
        </cx:txData>
      </cx:tx>
      <cx:txPr>
        <a:bodyPr spcFirstLastPara="1" vertOverflow="ellipsis" horzOverflow="overflow" wrap="square" lIns="0" tIns="0" rIns="0" bIns="0" anchor="ctr" anchorCtr="1"/>
        <a:lstStyle/>
        <a:p>
          <a:pPr algn="ctr" rtl="0">
            <a:defRPr sz="1400" b="1"/>
          </a:pPr>
          <a:r>
            <a:rPr lang="en-US" sz="1400" b="1" i="0" u="none" strike="noStrike" baseline="0">
              <a:solidFill>
                <a:sysClr val="windowText" lastClr="000000">
                  <a:lumMod val="65000"/>
                  <a:lumOff val="35000"/>
                </a:sysClr>
              </a:solidFill>
              <a:latin typeface="Aptos Narrow" panose="02110004020202020204"/>
            </a:rPr>
            <a:t>Quantity Sold County wise</a:t>
          </a:r>
        </a:p>
      </cx:txPr>
    </cx:title>
    <cx:plotArea>
      <cx:plotAreaRegion>
        <cx:series layoutId="regionMap" uniqueId="{B0040A3E-05F7-4D79-90D6-3E3473C1FACD}">
          <cx:tx>
            <cx:txData>
              <cx:f>_xlchart.v5.2</cx:f>
              <cx:v>Quantity Sold </cx:v>
            </cx:txData>
          </cx:tx>
          <cx:spPr>
            <a:noFill/>
            <a:ln>
              <a:solidFill>
                <a:schemeClr val="tx1"/>
              </a:solidFill>
            </a:ln>
          </cx:spPr>
          <cx:dataId val="0"/>
          <cx:layoutPr>
            <cx:regionLabelLayout val="none"/>
            <cx:geography cultureLanguage="en-US" cultureRegion="IN" attribution="Powered by Bing">
              <cx:geoCache provider="{E9337A44-BEBE-4D9F-B70C-5C5E7DAFC167}">
                <cx:binary>7H1rc9s4svZfSeXzSw9AgASxtbNVC1I33x0nziRfWIqt8E6QBO+//jRtJ2NRckJXjeqtozqand1N
pCabfIBG99ONxr/v23/dx5t18a5N4lT96779871fltm//vhD3fubZK1OkuC+kEp+L0/uZfKH/P49
uN/88VCsmyD1/tARpn/c++ui3LTv//NvuJq3kefyfl0GMr2pNkX3YaOquFS/+G7vV+/WD0mQOoEq
i+C+xH++t9dx8F0WabB+v/2d/uf723X6bl6s0/tA3cv37zZpGZTdxy7b/Pl+6zL6+3d/jO+2o9m7
GJQvqwcQJuyEWQgxy7L40+f9u1im3vPXGtb1EwqvwLAI/3Hby3UCklsavbNllZbdj1/sVexRrfXD
Q7FRCp7v8X9fu8zWM8Gb+e9v3sjP+98PegyQeIDOn+8/pUG5eXh3W67LjXr/LlDyUdGis+Xw9J9u
H1/XH9ug/uffo7+AFzj6mxe4j9/2777ahvY3sDub+N2lhKH38wH/MeQpPmEGZUzHz8izMfL0REeU
MFOHQfV02yfk36TUftR3LzEB8V2hI0P7vzHMrIf1P481zHILUUu3TPI0yXew1k90plPAehvqN2i0
H+jxBSbAPBY5MpA/FgEYpe6fB5miE0Z0ZjDDfBVkTpGBiYm3UX6DSvtRHl9gAspjkSNDGVacNFDx
ulL/PNAwm02KGDFMgh4/MGm312x8gpBOCWHWNtBv02o/1nuuMQHuPVJHhviySr7J+KH85/EeJrZl
Ykp1cww0PcEmJggs+w/n7eVC/RaV9oO9c4UJUO/IHBnQc3BgU/nPw0xMsN/YNAyMn8AEh3trWmMO
48CAf7CxPa2na7Qf5ZH8BIxHEkeG8H/jLEgP4HIT68TkYLaxQZ8QBvO8gzBjzDAY3UZ4ukb7ER7J
T0B4JHFkCF/ItNwUmwN4YTCLTWYyRhB7WpzJCGMdn5iGSU0y9rXfotN+lHeuMAHnHZkjQ/psU6QH
sNXGCWEEnGlqPqEMHvV4JiMIrDE45Nszeao++xHekp6A7tbvjwzZ/ybrB1kcAFvrhEAkjHQLjPAW
qDo4YkzXOUH8EfVRGDVdof3gjuQnwDuSODKAv8j4EG4WLMKM0SESHsMLjBijDINLvT1npyqyH9Yt
6Qmgbv3+yCAdSGOxAf7jEMCaJ5ahG1gnxn7/GVZeinQEkRTEUS/jpLdptR/lPdeYgPUeqSND3AZP
qxgoTVUegti0ToZllgPVsd+jhvQFJtQyGB5RIW/Vaz/qe68yAfe9ckeGvKjKQ+QtCD8Z5vjge70C
OT4xwC/DWB+Z8ckK7cd6W3wCyNsCR4YuJCvX9aZYH4LftE4wN3Wss+cQaoffRCemhTgMgpEhf5NS
+1HevcQEpHeFjg1tGVfqEPabQ44RgARK5CmO2oFaByrbIianI87LnqzRKzhvy08BeVviyBBeJdmm
CNbxAeIp/YRx3TIowfsZEWycGEB7GhiCruEzMttv0Ww/1jtXmID2jsyR4T2L3zmygAj6AIBbJ0zn
pqE/J5v5mMge4mjOMbhlewF/k2r7Ed+9xATId4WODHOINgYnPF4/OuTV7wp23lxJRIA3AXLkORc1
Jrch/IIqI0yNsSl/o1r7Ed93kQmY7xM7MtQX8SY9BAUKfrgO1QR8NysJMRe3MCSoR9UkkzXZD/G2
+ARwtwWODNZV2h3CdgOJgnQAFhiyp8+IJMODc85NE6byNokyVZ/92G5JT4B26/dHhuytvz4IWQJ1
BJBYNIlFXour9BNiYWRZw5TeIsgma7Qf3dETTcB3JHFkCJ9L9e6/qbeJN4cIn+kJMnSdWPSZBx0v
xDCFh+IgYLqfxsHI336jcvsR33eRCbDvEzsy7M+gqPwQqJsnkGuEGs4fqI+dbqgeMeE7YMXGGcmp
Cu1Hevt5JmC8LXBk6EI6/RCrMsxYKAqxzGfXmo/rdwFcXYcSfoYA9peWe6o++7Hdkp4A7dbvjw3Z
Tfog74ODwMtP8OBuMfbMkIBF3k48E6DJmEnIAPwWvG9R6hWMdy4xBegdoSND+3wdHaIAjJ/AjgpY
diFKfvzsoTs5NrBpsZEHNlWf/RhvSU+Ad+v3R4bsxboIMnkQMpudUItCBb6lP6E7nsZgpblJmaXD
AHj8jCbzGzTbj/POs03AekfmyPA+Xyu1OQD/AdEUhUJOiz+DjXYK/SBLBV9TyxwZ7eka7Ud5JD8B
45HEkSF8sX6AROQBeGwTpitUk8CM3j+fgcdGJlQXUDz2uiZrtB/h0RNNQHgkcXQIw6apAwDMTjij
sGEKPWcqxpEyVI8YBMME5iOyazCakxR6Dd+X4pPgfSlwbOhuinvYpGv/fgvx2zMSyOTmz7BpB14w
4RbmwIPQxwk+IkIuJuv1Csrb8lNg3pY4Mpxvh4KgQxTsQvhEdB0KRp43zuzgDCX3UBhIKR951dM1
2o/wSH4CwiOJI0P4QkKI/M9PZNiqTjniQF4972wFGLfjY2C2qQ4FYRicsK34eKpC+/Hdfp4J8G4L
HBm6t8GmOIifBZlEExHYxPhkhvd50vAlAjv+5IiN7PR0vfajPJKfAPNI4shwvlxnh/CmgcPkwE+D
lX7ypnfiJehBAOESgvB5exJP1Wc/ulvSE7Dd+v2xIbup1wfpLwH0s6kzi6DnSGkHW9iRjqGGb2cF
vpys0SvobstPwXdb4sgQ/lhBdc8hmEtILxGEget42vo0FOltLcFDBoIP9T3GaAmertF+hEfyExAe
SRwZwreQYUoOY58p4SaY6Nc2rkIdJ4adq8B3bNvn6RrtR3gkPwHhkcTRIRyvD5JmGrKIUHU5bE7+
Ee9uzWGgOxDl4GSN6+pv5VSNXkN4S34SwlsSx4YwbIM7leu8mkYivZn24MBpUR36tj1+9izGOodC
Ac73u9NvU+4VxPdcZArse8SODPsr6OLnHWKFJlBUDbPbMl/ZF4WhCZgBW5fNcYH9dI32Yz2SnwDz
SOJ/AcK/VnHrkYeWfv/9sULu6YT49g6NwGyYJseve14mhlUbQxpiT1YR9ib97Cr5RI3s02k/si9l
t57x6RF//VL+1zVbvI7X9wfhJ60TqMwZ5uYzgnsMMtTbwvYY/QnAUTZpul77URzJ7wFy66+g2+hI
4uhwrqDr6z9PU8LOVE5MBvtenifiuEoL8oWQDgYek4w2s13HUzV6DeEt+S0493dPHd3xyBD+EMDW
VBU8HGaZ5RYyCHlu/LIbCDNoDcMQlFmOpvGblNqP8+4lJkC9K3RkaN+u7wtonJoepKmEBTXz0LSL
wn7jx8/OnB5yE8M/sCN9+Iy56Tfpth/1Pc83AfY9UkeH+9BMpEjXxcNhyjKhuyLsPcYWMF+Pn/G6
DR61DoQ1rO0/3L2/W2O/TbHXgN/7gJPA3yt5hAPgAjp7H6Li+rGWj8F2xudNFDvzHrIVOuxm5HRn
xqfvJiv1Ou7bl5gI+bbQEaLtBBvvEGg/UpvMgG3qY1qbQYdV2BRl/RgHuzN9sk6vg719iYlgbwsd
IdjnVaDeXX0LVHYIyA3INuomJKXg+IPhM05ogLNugo8HbWT2WPc3qvY68vsuNBH/faLHNwpgw7pY
F98Os2WdDmdbDOV9zwEbIL1FiA97prhFKLRMf/L+dmb/29R7dRzsucy0UbBH8MjGwMcK+q4kB2nH
C+WfFjhwwIS/agKgKgVjS9/JaU7XaT/mO081Ae4dmSND+rkXQ1H1B+BmoJabUUzRjxKy8UI/5L5g
Bx3kt8c1gk9NMyZqtR/tPU82Ae89UseGeKCioJPVP4/3cLoNgVOL9B8nnoxNO+BtQituAwr4R0b9
DTq9gvb4ClOwHsscGdIfN/76EFULsAsH2kaZsOH9lSUccIY+cdDyc6hdeXLzXhaITtdrP9Yj+QlI
jySODOc7eLnVQYpE4TQqKAEl6LVOn48FSJBDMRGY9pcQv0Gl/RiPLzAB5LHIkaH8pfp2iAqkYRs0
hj5wsI398bOzOxY6e8LOWAt6mGxDPFWf/fhuSU8Ad+v3/z+Qff0wup9H/Tnrcj17PCTwxXl0v/72
8eXA2YYj0ee5tCdp/LNMd/Xw53so6iUGGhzln+cPDhfamomP1fE/kNsW2kDLmz/fa3D0yQkfnHKo
YjCgYnQoJmw2T18N7ZsNphOoISZDczmoQkvhaDz/z/ew2MPmecrh4AwLkmsMsmtKVs/fAHXz2JWM
wyk5iOCfRzhey7jzZPrznTz/+V1aJdcySEs1XPf9u+zpZ4O2BrScpRgGIAdSAK4F/AF8f7/+MDTQ
gDfw/3KZ09LyQ/86r0LDWuZRowXCYFdYD/wiE57mav0symRjFqLKesQdFTDqOl3ZlsXcQgkubxsT
e/x7Y6lloaXEXWdREqJZ06SxdgYPrdxT7Icdnnm9pnnXNEqDxBc59bPaxpXeVq3ojT4O7FhxN/AF
Sxnx7LozzdKuSsKtThRdxXoRFkHuL1lTqVzEoaEJ0rLCWOZewUM7TVQqzLyJiyuPxlUuKtI1bOZZ
SJoiskwH9WWlbYyAl4uXRyhuvdR7mXVF4PnPR2P+/ON/PsoE/vN4puLffzmcrPn3nxYbOXDpavyj
Yej//NXf5zIOQ+3nIY2jAfx0POcro/uXX75p6A8E0utD/6lT/+7Yf8wXPY/9YTspDG7dgE3k0C8T
QyDyYuwjHXo3DVvLCdZhgD8PfThSBjaTIyjNHc51gy7XsPg9j334CpKQBpwUBikKE0gO9paxT3Q0
HvwM9soh6FEBlSZwDtFQI/hy8MvM6COjc9UVisnHSKpbXRlnCVU3UZuFoqmpf+oh0SSYLsOuC50k
ity5W5uNXbaVK1Ce5YJ1TeXITvuAaN/bfsawaGhpCtXjmxLluqAcrpUy6c/iMMMr7hW6yPz4tmBp
KPpUWgLL9kLLkRRJGmZ209earbWG67CShbO41jVRlE1+idLkI5zTYlywuk/PQ10vhTT1XHiu8mZ6
zBZUcU9YtWxs0/c90RfpRz+1iBNrSSZQoVZ5Zsxdq/RmKsK6YDTZ9Ll/V6BYE7FuLCXRbrU+wsLN
1UXf9zXMS+8b2I5Q5EbV2YVsZmmxCvE59shDDQfMErvk3lJK13OautJF3lchvJEodtK4jRy9V9ks
68J108tMgMF4qMrmFJdZIziCBypqd6UK67rTWCa6dKb151WJT1tqfTVCcyVRSAXvDOSAnTwvvOI6
SNpW0NrKhGzxVWQWsfBQNcMWAkgIU6L0PLViBUVCuckH3WvoDdf8+1ZPb1RqVWduTGI7wD6e67nU
hWI1nhOzqGaZK8tZHBWh40YNFgWyzsECrroqoMIofCe00g9tpEKB+grPcpIw21JdJ0yetDMTsXzm
5WV965WI2C7mnz1NhkIG2SJH4amK2EfK+zXWvHSRdJEoUTkLa587UvcjkZHCFxnNlg2qddss81No
uKEAv3zBSRLakYtTdJ3RMr213BxuXCiRRfKqp8V9IBu50mvtGgb4mstAiiL00lM/wn8VeX1R+Lxy
NIuGTtCQTdtUm5p13VyVbSZyZblL1hrfEpiiQoIqdhSY0TxoqltD99RZYqHTOgy/ZD0/63Pc24b0
F7LRzvOuy4RCFpqXnouFjNxGFEpdlmEP06f+6Hvut9xn1jIlvBWhlty6PfFFq1efc8JWUV56S8uQ
pxBIx0J2ZjK3VLoyPeNT4SP/tC5TMNlhfwvXbM7z2qjtlks5Kz2zsNOgD0RdpNEc8wG8lnQ2Ml3T
wS79rGRY2HVfVUKpND1VetXarcaY8LsA1gwVl3bfKvmXh1xvmfp+cR2aBhcNyZ027fDcqpI7S+9D
4ZX+vK1DLJQuAwAoS2duHFYzFUQBzPZSX6lA+kKGpu8UerVCvYVWueWvGHbjhQm6iNwknQCzWAor
UdcqLHsh83RJy3wZaqYTyr4UYViGdhZrGGYaLW0N6a3oqM8c7imnpDgVDP6PRo3r0ONCqvoTbsMz
o6hOJekuOS1ua1ZXolfJwtfcSKSJ24s0wpd1W30KpJGKuPOvE1rdRF5zZ0XthUr6v5RLmYjqEgyO
DO/MWj+lLVp2Sn0sLROJvEqRQFISweP2PFL5jKFCzpPOUkIv2gu3IDdR2sWztsEzpmenelWlolPV
d2q4XwMPX1EZXmp1dp2HLLetWn1zXaMVVdT/FfuKCJpb1iwNk68qYbpwO9cXpZ59lD49a7VMzuoY
Rk3p8i66I+CVLANqpmQBVd76zJftKTcC6fzfEv7ovQ5nRLy+hD+1WNhdwh9PlvjbfUXQes+AXW4G
Z3DO14slfNijCg7kEMLCZmUTvvqxhsMZ3JBptixoyge9GeHUqL/XcDgTEE75hI6MQGQ9JiHfsoYD
6TFew62h/B+cZ92A88msQYmXa7iGcKf0EntXLk/mrEsSUarHcV9ckjL+nEWayNqSO33QnTK3SxZp
4l3EslpCnmxDtTq3G27YPmmULVl81kruip6HF6lfIwdr2k0aBLUopRXAPI7vEA8i4Qacz2iQ3eMq
C53Sqi7LCjxWXH8x4+Q7DqOZoZehAEfyq8ljR6sb7w6sBFqmbnTmJY1rM9eoHVBbzqsquJSBlggP
61+qmKVOHtBWKPCbnUYz6bwt3e91ozYkNkzRw2EwM0uCm5AUwa2M/JvWS9c9au60Lo8FN73alkYA
LrtmnBqmZjiV6cMb4H4Hi538Zhnhvc+KywRYRFE08IhVoaKZyvC1FhMnjL0LmfVnoQzqRVjAyqsC
/doIw2uUklYEARjQxipbO4Y+MQuTZrWoVXPvqlDZMa4CEflWPO99o3NiFH6s6+46qHpfEFTm8Egx
O28SfqsS10kSDCtyU8zDmCaOxvszP+anftmeZdJHNmt8JWhZrzwM3pMnwT8wLU8KWRnaXAuU5XAf
9Z9UJNMll0Y1q8BXsr2sJKdAoIZzHrUPWt11p17tYxulyHNUEloL0ljaLPPIuZnjVU6tbN5VrnvT
aakUfl7yeechBHYv4RD6BKadVql/I01tIQttoQVsLsP8a4eyfqE8kog485N55LHAyTI6Z2mRr6hb
d0szdWFpzPsZg2BGxF5yX3I/sTFjnog1mszitG2dNnG/xqyBha/ILoIo6xy4aOfoVjAPg7SFiKWe
BS4uZ3VqqlNdzz9ELvMdptetE7YGDMiKGZdIUbIs9C6xvaq/rwpERKYqLiqNxiKMUm5XrmTLINRr
p++sC5ZQ7lituSmyWs4Kji/TpkxtUsJQNmjYOl4dxPPM6ywba+Zt6pOvNYtCO0gUjCGLxctStbGt
vOZWA9955frdPZQCp+Anu7Bse6nloKqGYczZtYvSFiK9mC61xPjCQ/0biuSCaW0501t1oSXaEGJa
uaBN6vR+/q3jtAPwWc6cVHHzBnV9SU9xD8R4LWDwBrO26BJBmg0sbJ9bD+a8HlnSjqsKiY61846U
5Jo1yZcmzZTjWgF4s6qswIHt7loPIkrTbYpZG2jCanjkSFl2dhTJz5asmkUTE1jhZSrcIigE9j3z
DJyoXMDCHorOSD/20r0qzOy8arlyKpl+D8r8Vif+KtWts9pCN30ZnvW9v9Cj5NTX/AsUpuCrdqEn
ICalq6SgHyAerR0M153nLT6zSNTYzM9Xknn6zIxAcfCoVUPPkIa+myWbq6gbTBOdSTfpTqXWrXXU
eSLHpSHytmxE0NXmadCXc6v1WreyQ1aWn1Mvr+W89TMKQYlWyFsCYfOdbNvmS+vqWSRMpOpiSQLL
+OpF0jgtVRZ717EXe9aqzDX61fVM3b0IjSBaJDwqnYq7n7FPzZnR6jA0XC+euTBellRG9awJ+9hu
YNzNjAxcdBiFXypaLfso0QV2zaVv9i4EBjlaNoGXCi7dG6vvr9q0Ao8sgcBJ85Lr2PSiTxXwobMk
C8A8RbE+q7zwu1ewm8JEcqk1xryD4oplDCGGzTL2gfDyIenqu9yQ/Rxm8cJyi7ueV8AvoP6a0+Cs
ijrDzjK0xi3YcZk2V2GTfMANju2ydNUyj7UAxpp71UVIt7syioTmha1IvQZHq1TqNRiudM1k7c+I
XhU2M4PzIAq/6VYD1qD91jJ9nubgEPeWsXAphXkY15FgWvQRtedpLSFsBG8XQqJ+EVTBQqutKw8b
wbzuwu8m8U/7pFy5KYGALA5mOKFYYCutIfDLiWBJc5v0pHV8F6xfkSTePCWZJbquTESoB7NStr3T
0WRBaoTtpJGN0M38QxAa3IkLdu5m+bVUKLDzpvEFt7SPua9fUh8njuFpc6MolM1ZeheZ8lom+aVm
uqktkfk5tOr7sDH9RdPGZ03WSlG35Zmb9Z+N3BJlFlx1hkxsvTRPMxc8uCrM5gFHq0xZX6EzQrAg
SHq2qUksqgSfpyQgttHVAhxHBxvslvGICKzTjVnzYt70YGyJVZ6FCfBPCYtM+GE7L8ziFPgpz64C
iJOCgq24ycA+Ewz+ay8iLbiN3QR2pbGVnsPfld15LbW7iADUyMpnRSVLMDf1PMHeJuR8aUC0JDX4
1s2s72UdPmQKnyW6/3+U0BMbisC9et2fdDbxu0sgMDe7LuUg+IMR1Qmcd8U4HFsH/V3BUQDa8ycr
BDkRDn1vCGzchTrEga58dikpZLPh3BzwS4ajDoGWBam/KVFiAY0DffshAcogpnqLSwnM0xYjCv2T
BsKeDucxEQrp9W2HsnSrUMV9ql+nsl2iKDhnXmSTupu9eDN7mNcnavVv6hWeBBJ8A5GFCSdch/Pc
tm+keSgyLD9qrg3DjFalhyw6M/rqNAmSQEjdA0PUMM3BpbziXXWeR9knpheVnUH0bjdJWM6iAkdn
dQFTnUiObNKVgdCMzBOwxv3VqAy8RMsvhE8y1/ZVfJvBDW09i68lClKBWQouRK7njqXVnk3AMRBJ
b53lSWvzEEGojVXvcMNcEhKlc9es5zo1YCHoOXZU1IqM0c+axS44BXcDHvMvn8bSrlvjlujkg5a0
l5pmXJYBgsnYBCF4cHxV8PqycRNvlnD8yfWsWCCvBlfYB+K3qssbQ+vnDa0+c6vY6B776iXdl6JP
chFV4BrHXXBtFO6ZyZJgDlHB0uRusVB+AQgVxSdpesvAop4d+/4Z4vRb2vjRvE5Q5ph1BwSzbDNH
q8CSxlSmc1z2X3GS1HZPwytqAZ3dxYbQMuLkZvS1YvhTocAfbpNKSNx9YHm1gHrLpWd6mihrlYCi
JACqIKW2rxvgDWWxnZS5ZTP+lZfJDIHdrnIfPN+KRuC9IMcyCQP8wkXEqu9WpwKBTONCqytjBewe
+EzSBCexu9Sbym47RUXj42Ae4fg6j/1wTkiz6BN64XmuJ0pMF7yGd+s3kS80EwKKLOdf09pYQuT8
QaZ955Be3QUmMDee4oWAeOhWNdUKG1HtFATdI8gnCK/p7uIgMBYt6a/0FqgX5Ye1KPriAcf6g97E
uh21eCljvgJuFttR0yySyLhJIstpmTTPGelT24zT+z7M/vKZ8u3ElB/NOgodmrNo2VRkwVhj68Sd
WynlxQyGGNBBtPFnuPXzdRpKr5j3lgbOmGG24HqhNgIj3emFp5a0yVMHsWaOrSYQOC/a0zg2gIvo
wLN38aqg5KFBfBUYeF73sgAKJcrqu8ggEKrBKo56YQQGREItDpwo1Fcko0tcR5cl8madla9dM/iA
I20DrVwikXN1I2E0fuz0+mPrqRK4p8aRTYRX4MMms7Spz60ilo6mFFw3Su1a1cEqrrzmixkyNWu9
7MILkGurrF0CXyd8qs6zMHLqUi2bpvyrd4H4bSFlUYfoOizkRWTClCVpdA0k7Fmsaas+9qnwPd+f
9W2XzMM6eDAbcHvDJiSirfAHvzQXrSw3Ue81dltpIjWzv8CvBYJ45dPiLCq1ZWeydRuir73RRTaL
OyW6+GtMbyGWXHZVdZrJIRYpRJgWtj5HyPE5LYXfk1lD6LLWybzAvhRBn9ULwsJyjjD4Rl5Nv6bg
opStbBxXKwpw3bNFhdOrTjZfChkq8EfpXVki6yLTQpp/lGFtexYt3KXUExz/zoxuc/iDFYXlAs6s
BjsEDABk27atqFIQKbud2V03EDgIunBP21t5sQpLoa3Tz9ksWgEhK9yzzA4rJ1yQ1a/N+EAvbBtx
uD3wItBTExgIKL7Zvn3hVkatmVV/XbN15q44KgVvv2oyEW+/j44wYlD0YcK+HCjef0lz8BLWrKCt
+2scnPutEnG84d4KfPrf3Gd79Xt6nfA+YQ3ECMPRwcAfvbxPntPMqLCPrk3jrDCvMgJxMf3862eh
+zB7+TCjm1Q+QkqPhpc2V3fAOs/qJXqwnIHWv0hgjIkPxawQENotP11aTiwu64tgfqdm7uwmPG3E
snCK89KBHzpyDv/O7n6t33Cg+Q6oUEbL4bwf2PgIKdjtlxBXfY/TDuFrQ3iX7g2aoQv82TvVG1uz
K6cTp1/worUv83mzNAw7OQOC4yYDfRsR24+qPKe7n92Ep4Ttyxzgy5TgEeQWX7qDBuw+eQHHTkb9
5Qbtp5qXx0T1o9QPBxLDNqbhMBBk6nCIACTItxxI6LeFhjliQWZq5EDi4cABNOwq17fyikNTVLgg
g3KcZ7ryR3J1CyIoJXj+88ucOt6hJDmUZkHHcxO6khBoWjHMsRc59bInMsurqgVihfBZ3bg+DGwS
ssiOWFPfACvXnYZtnUYzhKLySylp/SmiqgVHgaf5bybbcBbGi8EMGX5wseFASuBjKaLD/oBtbWja
ZRH3q/pSz1N86UV96ooKlm3fbiEFwEUN7tYXVmcQdxWJVeZ2HhYRuJC9YtSGXeDpAwdrfgXX8CtH
j2P8qTc0Cy8603A3uNNwO3+B9573p4Mnv6OxCUUxXIeuHwiSTyONA+YDtl15SVrD8xyz7eNPNXR5
IfOSddIQdddiSGgx1xI9M7sA1ntEFklddNgpalk+gIFU2A60zHBUGUigbxMfHCUoFoi8mSeh2iGq
+GmiuK8cKNzhd8rPz6K4MdpZoDTzIij8Oln8+ql2YQASDEGMwuAcWJM8PvSLQcE6zWu0LFaXKWQ2
7qRnQQaWRjoMjSyt2uumLfht5uL4r1/fdtueAyUOnCIUeECAAWMR/mtQ68VtDdR6NFNeeplaPb7E
kV9dpqqwA8v1f2M1B6P490r4dCeIyyA3b8EeFMisb98pS2nX54UvL60M0XXeyCJeuKXV6SLK/BnK
q7i3CeqArAuJ0SS/GzTba8pwexgocMwXhSN0TbAOo9tDh6DA99IkuGR5ZKyTsDLWUTzoYPSJmpmF
lKJDAD2QfHkDmepIsk0Zc7VqeEfPW5MUEEA1oYyAP0uTT6TIdOL4VtdtMkhlOUjrIeVrcEmLpUHM
vvrNuot3gYIyHDAbsC9Dp0OIu/36kFkZqWG42gWugNEIilJ5AmsRBBeCdF3qnTZ+EH3zLJ6dt5C1
n5uStoGt45p9L1nfS7vzPWZD5q3eBAVhD7WR+ez014OJPq58WyBDYA6DaNg7ginMTihmejmczMIK
UOGX5AI8u8zllgO8dr9oy5bweVlXlV20Obqpk86ohO/7zC5wulB6kS1imkEcEefJhyw2khbIrsb7
3ISJXHWqLEVm5NknU0FI4eapa1cyDAMRlCRshBuq9LLJNHWVa+Cdeh7modDAiwb2qfaTpWGW8Qc9
9K69bkhSxBXLL0s3/1jqiUYg8NPhRQadDraBwsIOoagVnse+YX1xUUVPfdPC573X1txukA/sHbyO
YKVZA83cdFbv4MbQnD5s7zOVl7cV0pgPVDcQs67KK6D7dR0oNdxEC5dpOBC9H7nf4LCMohZBmmtf
q4QlkB1Q+gpyFdkK5zx+COrMhHlPkug24G7LRJ1T77RwIbjv4D0sMNX5Vd5AZQFtinyOcYuBDwQG
AZJMjWfldq377ixR/8Peme1GjmPd+onUkKiJuvw1xeTwmJm280ZwOm1qoCiKIkVJT3+WqlDVVdWn
D1DAfy4a6ATqotIRzggN5N5rfWvLV7mRyV1dQUvIPW/QR2w1qFKE20Yp1TF/WXq3vhCVyKfQ1+HB
JK1DyinqtzcaDaqY3KXdyrmjrHSWxX0jE7efE5MyzDaiXQMVlMwMFlQ74OawtljZbGiphqrOufb7
o8BL4ToFasCB7uc4bae2dWBv2TiNh3DZYOLwCuaCI/qDirqCBWZ1H6zvBXkzgTyBBR6MuvS1TSZ0
oPFyE3XbxqsHY0cNM29t+CrUz7qqCdleJ+ssMeCxRGEpH95herTaB5imjZHure5038EfbsbtMCdG
V9Dbm0ZCJ+XDkxs7/qldfd9kBuegSiFGw2be6p7SXFQV9kPNOztCg7fMzRTXXnVXj5CjhmO3wo/K
14Un+iaatI8rylaDN9nMYC8sI6duq7sZt07EspFKigvO76APCN6oJOUjNq+qWGZInE6F4FaYrjBG
gmwAo9JnIDRsVVoe876YKlQFZShYv2V0C7FiCtIFJutr5XBYbSub7ieYhX0xsIZ+OmaOGzd3B6IP
TUANvQ2dilVn4QMdCsHELdO4rccJiQFVw/aq476opnkby0RNoilXHvXr0Z2mXmYhWYHgAQdZ+QGc
XeNkOK3k2ZH95uWYHdH1Of5znTveus6EQy7Ec9v3SX/yVaJ50aEnfdzA6/ll6wzEu9Sw8GIADDWp
9aFSsxRP2Iz9c8s20pVG4hMUg+ZsK6i3bElG21Xaa09XXNoObhWVV55nzsoPoZ2zymcmj8WM09nE
E+oTsbX+9sE7DADMKT5An/trDx/Fc5vgyBooyBnputHPm6Gp8s1UHaQdq2Ry31a2DTK/Gdst7WW7
ORe34kHpyYqF+LhJLAtvrbfhVDeeZUWXBLVN99elXtIkApcP88dssY2zoQ1unO8Kz7VcnbTBfURu
ve0XQoXOgeN/Wbkl5jaSyTrkIhn1NTQCWxKb4g5vSHofRwvIoydeN4+L+jyuPV/KyYZbc/E001+C
loRv4VL1VUo9XLylEUsMkyraGnx447V9zv2xmzJqq6LxmvGVW4vKomXt/DSFkf0hVe0f59iyqqAd
uulU0Aq/J+TwLkqhZu92W6QfPEw69L54GghKaiNnopn24KcVM+nb5qgWQuxJAEYhd40TJ9+EO+4X
Z9uO0yHmUz3dLyuE+swdLc5NbUF35MOERRdShEi+Qb7F1d1jlVQ5kLxlOGmwngTqh+m6R0JFEpyW
oLXmCqx0Lz7rdbkPOydaisH2+KeHYcfRFtLr7eB28f7l949usT7hc8neuw1CgW9hxhCHqu6GbsuS
bsatA1erax6EinHLK4OqgOFnWFOJFvXd6AWrEqkvaxen26rFXHunltAwXDMu5QLiwC/WeST7ooGb
KcM3wgKyJN5eJ2vRf6vwyOgznZuGprQOO1wXK4verPDxMRbVro++XtzpAnGXtJdBiq59otgtDpNw
vdsxYeNr4MKwQZNdN+Q8UJYAUqsHNuerikeLAnf1D5LgsGaAzNb3jnfh/WImuGGju87ds416aGR9
5fSf6wbjGgYmtMIcfQD1i4as9VTKqE+eHbfqy95KBmQRilqxKls/NoOeLknftWEeEkUYlr0QbNBc
k+SbaqEKF5wI3CabU/nJKRCDN370WJDXMx6Wi3vD7it2ARQXRxTixFxgk7HjxVOGRFmVcD1jp4Uz
hdJ7bL9D+02+OCvK9POWaOX91JOALNV7XjyfGkvwq5beq7cssNBYT6CuanTcXRKV2zDP+rqsMX9q
Z9C/NIYs2C+QOjcb4eR0LqTqg+TdMFxFtAQ3jnaDoahH0c8XtlpZZzSc+voLKpHpp5sILCNYOqcZ
wMJkpzSxMx2xC6zjE2ej17x4w+ZT8I+owNavoAqcBL9sqlRRw9djZ6eS9kfNXGfOeDxBvYfz5T0s
k1NtB2XGqSmazeAibYCB+PdLx7fwto8k5+koZze6BjBSl2xFdTMVtpY4a5aKhkF0hbCd0mniEEb9
ReUzJ1QdNjri6u+ChcX5Wq3ulFVyisZnG67el7ZWuNaw0yXfcK0DNROJ8LDAEpm0Je3ryEIyfCXU
WAqHrJvjryERo81tyHRwDSpO58exgj6MzR1XdCEbH2cTjcO63DS+7oabWMnavyeLy6NTBUAG32tZ
HHbtlCNt3k8V1gxUY0ZfOdw4tJFJx8qppl2d28V1T+sY4L4Hzx03aVDV8fWXqvR/WyO5Nu9qmIZP
/VcA+09iy38epR2i0/n3ltwXPGWl0esfFZhfnbz9bb/pKUiUBZBQ8TgJF5UlHoT8Bz3Fx4MmIIOF
mJNL0LP85sZ5/wCbvT/eLyDYpJLdw/sN0kbeAdOioKSgkkH6FBLi3xBTYndv3P7YcgAxw7O30Vmi
MkJsOdzVgj90sCgcl2gcp/5eeDIIrmA6K3T8pnH7EJ2RJUm6LPNMUx7L93Huv28D+IvFEU+BA1va
j3+sM3wGadhRYQUcJZwvvdvxJohvXe2NmdMaUKhyCdJqSGbY4mtdEhmhgZEMDlbVZfNc66ythrtp
1T+dqJNpmNifgXSwxAxTZhI0aQDELkuw8dQHPObAdVfuEOZD7W+3qIzmXFf4Wbyqn84A8FIZ9WNu
dLn13XpAiveHs3hlbbWXxgs7xrG+FVsH06urqzQc7Suwpa9crzxrO+/JD/ULAw0JJNKhBw/F2R0D
SltA99KpCTuF+oW9xfE2HKZwBjeTqIemIXdDAESs3sgTlF/sOKZ5WIh77t3wI9AACJR9mwBMBAR+
gXKcbKHkgtIOr06OvatejN+chsVEuejYyzBFL0n7w7dDjucDvk9J8q7IdKe25jkclvcuoH0OSWLL
aRjdO/iwqQrtsa8B3rRoBrCjGFauXfM0Nf6tkc7t5o9V1roNgevDfXxp2oM0x1ofehoNlxvcO6Hl
FyzCLA0ddJYM9ExbR+zQOiYqR8av9Wjcgk4L+kgHYu2o0iTWZzrMoLaT/k6uQZKt3UhPSgpyWLU9
0LkdctWYOpMrp3DlapW3bj8X0VwtRWjARXscP41XclQgaCsal7wx95Fr7lywJJnjJONBBSJDgURT
1nUnEsK4BZYD4sdu4MNddeqdUGWKONUBN1qV2WG+oLC4rXEqdij+R+uox2gO79F3nFgbL1lE2kPQ
Dl97HRwTbxFpt0VfdTumbs++TfB9Ipc4WbeRIQ1NFKB9TGqwy9uLaEeZMyC5VSyfHWOmnE/2q5No
meGtvNi4Mxb+3D2tDlmBs6ALRdv42U9OnzWDvAZrctcFMAX1upCUDhak02yLhS7DHaAqhntFUaDL
DcmqLjla9F1p56vlTVegx9xJVrmvJgRzuvbZdDmAlq++9jiuwCYucK/lQTCbDJ2pPohJizREQX5c
PIIOcXAve/0fCGfLUXL6OcJCD+vc1sUqxg3QW3/bCALO2FmirPF9lS1s27ejtw6Sw36tPQX+2Vk/
O3fsgfCoxwFmnL8ubQ4doqDB8A293CcslnY3rj/V5r4mU3LjWn4r1/UJBVOchpNTF9Faw0Lsx8fa
TG882Ho4Wic6bGfY3ByCxuKmuPZabNNBpuj6SSb1nTnmYgf9wKVzBVYCiF7ofANv7SfzknkugKBQ
QHZqTeemJqnnTGn9KdHJpXyxJOdL/NaM6nuMJTqdBqdLyQA9eLE0OmuztukEzTXjbfCCVXdMoxUR
gJlH79qjQepFpMmxIF8mRy1oLowp620+68qfMzioj1G9vLVNyJAx6IJSj6guJNNeNgXjMeqjfKyb
LdP18qTDEcVtKwq+1DYfu4YUQoQKN92AW4JGV66athiW6nbgvsgCUy1Z7LCnqgruBpk8JVVw9BeA
g5FAa21W/lhJeQvBZiyZpvxF2anJKhiojhuTzPD9xg7bZ7hrOo1mi843sUHGSP1jEUhtmQCQlBVn
LOiPazDMqHj7JccG8CCDmaS7pzuHlB5qt4EwAh8wDeE7VxTxhyoKsm7kN1M9PzRhIFLS9sB2/Qmq
hPIKwTjeO89PYdTS4ybMDyQHTJpIVaVEIAgRtaOTIa/2CUgF+0WtmgNNwAKvw4/Ix7098phmQU+d
jC8MzWi1iVt3TIJUDeOLR/sqg/LJ035dotQnFiYadb18wJodSuEC73R1yfXwwyTN8yBxIdlKlKtm
sL5xylNsdyqzwC7QYLqshJ2BYwr94AQC4JiwALpIHYB5GEKOozR/rdfuwWJPzHRLYdmGyKlgnjY4
CGfF5UbjLgfUgiuWz82NdDabd0F7XR2YexBqbMZca1Oni76Gej2gm/0ZDnviQH4sHn7dFLQvyOI1
qVUOLj0jbiBijrdxuF2x/0PJi8UOU580lyoLVmKKDqG7l5G3/DRt41ef4Mbnwn921uBON/qnHXmZ
VO1XbPbupYmQ28P+j0AFu4ub8UuydUffmSxa8XlX8waDSIQ9ViFouL1dGObA4qPs/HQcvzfL4OS9
Amo2Alwu14E+elU/FmEIC11siyikREk6c1OdXLW+RQ4uBl3PpOw6+mURMcCMyjk3jL2pNs5Z5wBM
aOVhGAe8P5b3oBu9FHQNKxwvfJftEpRGN+jaGohdY3TvmujbEESHSvLluDH/s3URO/Rnz6SEQHWh
i4BYG3OTasibqTsgCClaT++aZILAlPcaTTOiHF1TbBInVjlYtevVZ3mLaBkAuvbNFeTaNRYCVVO1
2TjLSzNzHGqtDuuGFtf40HqM2x1bBjKooT72O02AMpCd5WsVLzAS6GfNHLC4FKDF7PluNvTAbgZ3
zdAO76tq9NxT5qVAS+Bojs6XWtmvKkmGVDRJNlh+YyYPdqihGjDJMOYkqJ90hNxTxfXJMDNlvZt8
DYS5Z9wmmT9pC4zTMdkY4X7yZ10uzOE56cTJQeWEG7J1M0umHxLk50Kwn+NoYQtpj2OENNc2Nh8W
AVFHRp+R63xxfEixcR/PWZd0nzF6OXhR5H1e1QVOkQX7G75Pc3wYqVG5YN4ZRKXIk20OsiXqnlnf
T9m4KJJRE2VIJJWIKLmU3aAwCFIaOEPqmfYsQ+Vl0rTtLWmGUzUq/Ix2rwxQVdrb9ounqEilcR7j
PolSAvE6SOzzgporjepNAoscRDFqxFchgLO070Z8nWBES2cVAN4huNBxuKd0HdIuHnmG++4TT6Hp
IUqj+WWdX7qzeZEzbt1aeQ+cgc3AtXD1o0YXImwhdXbyKWpwjqAG+ygvF6zTSlyXQAnQkkClqX5v
exDDXqOfx6XGGmTcr0jXnpeVfyGB0+d2wpIauz/mecPFD6kiTXQMxIWbGzmpUrgLTV2I8lgOkUnU
UfuRoDau5wghtUV8bL1C+w6EhantRIh4aVpkIOL2q5xll02o8iBuoc4ccWXWiY0PA2/wIU18cBf1
GdUo6eJhefV71HxIWGUNb1/Adp2qqsrrTrxVtPvRanMXBCNQOO3lrF8QuhTYKf3xuI7x41J7xRL2
kInG4WmZkqMMklMClX5023u4r9naeGu6+nVRV7xo1HyjoDiZRmY8RMLuPLXemo0sJt0DF1v0sg5N
RG9HJ5zxF6GW0F5olJlQOr/6J//bnep/Xg+6u1n/vgfdn739rw3o/p4/NKAYNutFyKIjEL9n2v9J
hPr/AKlHvBCUpBvhFb/3oBhOHcIlRakQ44dgAfALf+tBKSbd4SGoe7J3DxuBEPgbPShQgL/2oDGC
Twn+HuUh/OC/UjEJtjDfHUV4182cXcCqj9XTsnQC9RMBH2+DwMcKBPBwpGHOGs5PgQptFhonPHYV
lol+Jf3VglLr0pYjN7nsNV0AjT71AUfTELeTbZE5QHzi7CQtMr4byLGFuyXkPSy7uiuTjX6EUL9g
f1uWo+TaeuR82UUs9tIKXjp0riE4teYRbCIioUv0nS+JSKe2TgrrtQcOzXDz5cES9jh6wuRutG4o
p8BniV4dNfxhFMQfcWUeGp/ebWiUCI2fGorkyzC9OIzKi6iGy1gD46yD5uQl9oVrllGnfupJ+BWW
xJL6NKlhbPvyyZvYK2Cmk09l0brVq5/wN1MD3YagWoHVnqGC7thnA8URGgNKYiV31yi5jH4NuUuR
Szfx25ETZIpbdh374A3e453exCcoS/hOesi2AaXLWskzmPE462GBhXAlERsBkEriNNkEFHzSfo2l
DxsjXs9b5bxQVT+sNgAUq1vsXYhojPG0FcmKRCdFYkUispC1djiiiXztVnboBmfIQl9tJVuhezNZ
v0/gDbJVemEuvPUQOc2ZswQUAiwAIQOSWw0VtlHqm6zqoPDVp4lW9xh1UVJUbAS7FMK3iL1PZ0FN
jOdf3I370IKtaQAUxuMXqqhz4yT82IUK+8B0TGY4isEM91xLGNFMoMt02fp9FduZsuBnHE4+MsVt
kkG7fA2UPIcs+L6428MI6H9W3quVlUKSvP4E6LuWIBqTAijqbR+vx25aklQF3gRIzn4sFNs+qh1s
QpKVLTHvK6qBFM1rGc/dOzRw/LxVUpUE1duPGdrNzYKCa99rFnbQgMs45MU1OOD7R8d+3VvYKmxM
ks29WmPoLzHAQyQdcKZILJJirPDmbj/icE8A+leguzAKpEwct1nTqnNYJmRdH9fZvdtwMzystI0P
nUMtWoEpRJ9Ezr7f+lmAmKw/4j1bI527ljEUjYs7QJeeEVEOR1TUnbe6BcDd5dTHTgihYWjOlC7b
IZ5DWwxNo1Fco8R357m0un+nLrsbZzDDWKSuvhlhaSXJwzrFiJTx9naMZJMS79nScH1S0ItfhQdK
k4xQYn1vQSxZyYJqXJAq8rtCwBycAxjei5B+6nu4Z/cZQYeeJA78LbCqngWr0wcBQFLQObGzXjsy
w4USJDXgK1LDkdElzfRDGQfijyTp7KuTiAyCtSE9O5j7evYYp/kgWy+Ft6K+k3hEbySoRZxmjtKg
GXUq6pjnTa9kCSqlzza9ue+jR17g6VVlMuG1Vll6QAmNVanj4WHooVtNTuse5m5EuUT281tFfboF
1QUCxAHO022DOwoTDMy5heZUW3xr1wlLjw0XuFeHpq90MSR8SttNXXdZMVtqRPt8anCGkCCSU1fq
tl7LXvQPddgEOYpylJ80vFCGgspK99CE3as7q4Nxpqetg7zFuephOakCsvd1Mgq6kunrrIkVinJ5
jMz0yXwY1iE2j1yiBsXreEqudOm/9FPLb9CO3wsc0XQImqToh1ClDEmlsNXPayRAecuLqejHAlcz
5UN/1p1FseYthzgKnv6/aNn/aRXC/vye/1eF8D8ck1F+vv21SPj1bb8XCd4/EMqAOg3jmQa/zMT5
PTZC8IQCAHyujyEff54mgomYLkbZg6hBnOTPRQIGYoeBD+wmwjidIPl7sRGYUv9SJKAPjzBBG6cd
8OhexPxRqEb6bkwMrc1d22h5pjwJrkosFyr4iEpAfYv6Ph9b3R0FgsbbB5Tj0XkwmCGxjluTwQTn
D0kt0Z1264NmwXmY+qEcOUIC3raCXus859DwOUgDWZesm+sTEAkXmxGGDcDEYnWWzKMo+1hy87Qy
+YrQL9Zx1ElpDJ8agwbIFJznxdnOECGWuspWujZnw7t8JZVz1I76ZInYAM651WH10HjXXpfsaPv8
TSLsfcFy312pL0CoNE/S+DVWtn51S+nRJp+V4+bxnIh88DcMHeGQckmUwNTykksXK12MzMtCTXQZ
LvKWhtjjZ+RWyplvS+pUGsZ3LewRItGtN01JpsX4qiy7WT1b1C5ysRO5ugG72A26kW6lwT6xjmlL
aQYO2hQCZxjDUBxd4B9jn5Udou/r1s5VOYYj1k0gXBmtJ++YKPNYd/4TbV1hThIBaf3QeCjmwN5k
YqyjI9Kik3iKtIvURG2qeIaPUAUH37PQksMq/OwqY0/7HMiDEV2Xb724X9vpFonos+D17eiSC9VO
OUz27EBhGzYYYtg53BZDNBr50wry2Ojk9b+Lh7vP4HIB+/379uJ/ODyb/0uDsb/rt7UDQ7jw+Dg/
gjCOZ7pijfhDg/HLjKIQf+CPJKhd/tlgUDz9Bn/wbBTIiMB5MRzrnw0G1HGKiBGyW78G1f5Gg4Ep
nn9dOyghYEN9wGb4nBBs/7x2IOFq29an/M7xxlfWQNDYDP/hreGJe71I22jLJkypiUNIBXNcbj67
Sdbx1tK9C7b9eOobqN6GOZmKDSlZ6Jbu4D/ZZiYFjQeTzWy9cXWVI5AJgsbT3xpK0A97/KYOIUTM
jjrybnrro4Wlxgt+VtgPM+jTLGPhclno/LMz8MpohxsRqzBE8jlMPRSfhWuwpao+XBBcR5o3NomB
CuhGmR7EWophvScrlFrC+MUsEPHgMr/4IAZzmP8/kTQ9AyaV+Yh6COESKGQ9arawBmAp4uQeUbPn
udoY7nLUhXXtALGPNf43aptsYyh+EIlFsrg6+UyXazxU6Qj7PSV2+bbV7KpjcZGVvNT4Tshho8Pq
CXm0DdI4jPVFB2Wt8siXauUa65DpMc/HBy48zSASUV6maOyOvY/oWEXlMw2Vk0UIX2PYQziPDXvS
pJXf3dF+gw5nL5pOCEzo6cA9C7ANcv7CADYIBKilRdllQhSRFmuy8SuS1hW91ox880eMRDGNvcOw
h6joEIvISbixYkvAlGC02d59mUffqX+GvBoO4GsyD9TMZYje9PIGtKgMZPQ2rf5wQOz6wA2mQSlp
++Fb4tXiibtcdh8N237apX7cMImhiI0cMABG1ZS+Ka+9rbBznlwt3OOiyXBHVJXcBX01ndekQmuC
ldXG0VErtKwutPasDpL11m832PnN0NsDyMRnK2weN3199ZfhA7QCOSL+C6dCRbTefmVl/yuj7NDv
v1/nnozWH+qvNRIebYp3/bbO7RMFEXqAcv67Y/97jYSRgsj1oHjyPA+T/v4kpKBmgruOx0IkHjiA
6I/rXAygGiswJrH5vyyBf2Odw3jTv65zqMMQmAoJKqQQSg8kmz/WSDPMFQwXSNY7yC1T6TpcFFPg
4q7vfETlLtTFXIsUE59gP4eVkJBMzBOM/kNIO+TwFVaFpnbDm0XAHJtb2IEGJU2AcXIZX/2pJJ5O
biOMxDou8ygfCNrgNAq0c+lXFh6mdnhJNq/NnNB9FyOcNsBGD30zYKKLHTCnRc6w71l8t8EoycQA
bolJpDYwYwttGcW6ZDC8AGIJeeh8h5/m3pq8r8ICSHR4dGIMPoC/O528zggKKlaEWSO7R7S5H7Yb
n4bdfOktwktu5JzaxVnOLOEcrVci72AjfEfS7TEZ8VsqNDJ4yIPNA2LyaRE8r2yC2geHxic8xary
4Hbbt97Ir0k7Xpp6+u46/qGVPT7sZkkmgDgH4QoPzobXTdKfIMO6bIX5nVEyX7BODlnFLdgHgzkC
dbSUCaneuxr+WEiHshqmInbGqyDypW0Qvo33BHFT96pAW/9ja4A5orUHtCQfQd1Dx279kd5PPnXW
g2PEug+467LKtXM2Ag2mHvJccjiA8CrdxB6Iqy/GS0pPbR8bpU0RxjN0LLjksYopZndBiBFmknDY
2h4eq5UwvaA5WBI8S8OvxoE9gqRaMS8EEY/1o4qjghCpM1KxN9DynyZmQx53ocAUrW0oPVfzK+Xk
vlJrlMYRujvZyodagYMGUZCCe4TYwZG+VbucIKLhNBP9rW2HB+P2bhpFGFlHeVvuZBSHN1f74mC8
6GEBxK6FTJAwAeSnNM9nB/gAjXC50ims0qZjOo/XzT3GXDTF0E/Yhxja4GYEr1W1913PgBJO0aWy
FJDUOC25Dps3KFgs0/PwFi+wuqcFQyp2uuxYIS0EbanrYOEGmJSAqUKp620yXwIWQCdkT3EV45oa
fHIkfX/V1bBkqFGTtFpAsDYj6HWk3hEztQ+RV79i1maViqWnRThFN31EjmjANMqFBMM5JvADDgkx
n8Q7ucyd0kjCuAoRaIKKudwNi3NSg1bpart30xrwwP4Pudr7NjAQPlj/gUXqFlghXC1Lb2cbugWq
dYWJLGJG/QKBRPo/WwxSSidZH32+/rBtcothfU+N4G3Wh9srR4sD1SFkJaa/tBhLo2CkVdErLKgH
wqAatW330W4znAFSHTZj44xwBxnmYMI4JIYZSTWDdAVNtnBk9yzs8OwpDEOKZoiJbvsdukmP0z9g
vx8qVEaDfzUD/dYq5+Kx+UyTHum/JSyiGlDFsPtsezEVel7aJs6rHtdD3A43g+p5amOYljWLXzTY
eSi5fnKcZYyBqYCkj9bDhTdOSXBHuoHCqgDi+/O/5f8v5T/BVvXvt8Xrh/g5vONxaf+6M+5v/H1n
JP/Agy98zB0D6kZ+mUj2+84Y4EEJ2BATgGY7AIfG/jfMDb0BIk0IH/46n3c3Bv7ZAcQhJp+Bb9un
l/6NXTGM/lz9I3SLDgOzUCnSiZixlnh/SdXEENFpT5hz5zkcI28b5NqD7aOyGOLZhRwghO+WodeW
amU9P7iNVI+J6p0HEs9YCSGZi/iRYRYSNh3IbDmcWvWM0Ufx+g5qBGhFXfUwo6HXteOu4RG6gRIB
lDDhWWAHhCIVUGVofYtuAHxLJykVhEAhO/edjdAGR7LIctj1QosSJZ13DVEPeK2/64qmI+q7/EVr
3FXHrZ7DsxXxuW2Vj8mK6hTWGAI0Qaw0xPzogZyBV4KOyXdFk0PaxKZxxVzjBGNfwgIh9PmW7jpo
j0GWBUYg+we1Yj9Yd71UdQuGnkJC9dekKygjW0p2fXXzbU70Mt23E+xMsWr+Ou96rOc9NwHagcnp
bpuR1TmCTQ/tBvIIjs51ddsBBmhzZzHKbWpsGVGgTwisYGTjrgXHuyoMa7Q5i1+U4l0zxjAmt5h+
EZKR18GmsKvLs6QkxWlx7uD1rmkIEbrVA4ajNsF53DeUbh6Wh23XrMUUdA8LZOxh17OTXdmufhG5
kXppSscBhIyojeDwiXY5XO3C+PaLRr5gLGqO+Vt7ZB/oGLwNIaunEP/sAUM6pVvgwhYnEP3zoZ+g
aVeRQ69NYCfMUkwqDBnAm8XVG0314Jn6FQmoMK1F9MbQu6V2wqwlJL5eO8QOikrLTxjjfYZt8f+w
d2a7cRvR1n6V8wIMOBbJ22azZ6nVGixZN4QsS5yn4syn/z86J46j+DgI/tsgQIDAVqhmk1W79l7r
W6csiPIV5oxzBruLaXT+Hs3Wuua8dZ4YJHg5LnLPlE7quQgDV0ov9rKv7YNuVRqIg+kuSmgDsxdt
zYh/uRJ41Gh1nK2+iTfjjrOKtWq/yTplzxZ/hXVNOUyQMrTSyAzwKA3gAcm5ix2IE6Sn4/9YV0nW
nmTtQrDjQTtDvRUbSaPnKMwSOENZbku5CK6cudsaEeSD3l636qh5CMiawzDmxirrQ21jmYFzzYxu
o+TuV11pTiLJL2XXPQSKcdVUto6OQ6muJwURmC7kAqObd4sUcZW3VnavJgHGCuetVcZjnNlHhlmn
KSpd38ZqWI+TLwBT8ZnPzlScrBx5aq8csfKf8gisUdxZwVXhQCpDHY65IwrvcD6E+zrK9jLpd2nN
l+Tg46sWfoqS2MiTUucl7DhOtiI+jz3m1rGgS6W0fe45bu1pIttDC/AdScKodFZDmWo00N8RX7O0
5Bsk5puKOlDtG8zzunpbNcM6qpK93ZtHd4Aso7XTKmottFlj9uBk6lk3uwfRq3C4U7cUgBZdcQic
+b2qtVtr7vZ256wNPEkCG6CnRuPRUnBR9v1LJIytkL3fhCEuLIsKMS1unVL/6uI4W+WZ8da6062J
om+d19UVfdCNkppexXeMgZOxGNVGmPcQXdVqhbT8dZ6me6oPduw02csuupnL8Zw70LaScNEC7uy8
9FhI02XSf8mL8XqqJ0+fp30RLBxcunmzQpWQ7myheph/dqIZNxwHEBrp8atwOiRT1U5hUpUiGpyq
8lxUKrBStdxqHPbR74U3OlVe3Ie7UXXWeamcoBzipIpf6g7tajp6mHjeOf94gdTWkIy8oM3eZPZW
Bt3t2CIacmCtqmIVD8WTBeeuoVkKkAH0PZKeQD/T/MYoJTZmjykjHG/N0b3Pkllfc1ZgRDGo29yU
nou7YoXrY8Uha0OV8j7V8TUr3AYMpIf2fi0cRnphE+0NbdqNs3xStfYwW84dtewTbdDbsJ8uXf4V
e/hbraoRQjaNOj/exKLaNMG0TkNzabt6oRFdsI9dlb1xqwfgLZUWDCxVJxa/SlV3itvvnEbZqDCt
E6s84SN6kPymduBSMFqVHyj9sVG7Da/ideM6G81oDkYwcUGgyRU3jEJzXdZBQbdFfx268on/FdzL
wFhPjVl5vEn12sYKMhUolIuG041yRDy3nxXbLycK2l6mm0hhk4iqoPZoe6erTthbve0f8654bhk3
T5W9xyLvVxFjX2rWXeHA3BnzcjVb7lZL+qdBqo+lTG5LRQPjNm7ioOPeuX5YtDu7tXg67S0o4ktR
ZscK4E2vdHdZbO+cMTgHxrwvzPzQB9pVVNK3Kbp4g1HmpgoWIhr2scG5JNI9MRH8XIkMc4/aeWQG
PARSXBrZnIvGumV4qq4crbnrFmUjUiL8ILTBrOyUWeEhc2pY5AA65bJQzeXTlLZHXVrbCncLXG1s
1YPXDEvRU8BpKx5kNR00vTwqSLXOSqAGX0LclHdNg/WECvUgIV3Ow+D1iAsUJUEgJh6SNgelNiD2
Qzr9GWX+SjdTBL8M0WPtq8ghzbT1E62jPXSrM+ttzOE33WpDc6Sg5b3MOC/PqvY5sppq4xrpfc6h
CE5huk0N7SZJnYRRZrUqysHYoC7YBfj0Bl3JMcyAjsKZbocDDa5JX6dZ4ltRcTOGYpsE4wFA89dK
qXylSV5aaa0q9j/eAMr8pLf9rqPrFSkF5HRq7xbLZMYmgf5h1yvO1763Nk2sbkN6p7E6+kUJcYfZ
34iSd96MeXFEe3mUrXUPPJW9Br10gU6pjVNPiQblUOgmzzrgOpMxrlbuM6W9mpXhcyOr186Rfpgw
rwiy8QrHmUQIx/b3Q0n7EybC0hf50wTxe4VIj0bAELDpUltLX+UHE0Q7SCm7uFDOag7JMwW5fatA
xPv1Rf46wPrjIkLTVINJMf3tv14EXyk0KlNTzqPzRULD7D6PJaPTdc6Q+tdX+lnBa2h/XukDlaAM
UEHOAVfSnevIpF1ga/4870vxKemeY47hv77cT+8ebxOtdZpfMDD++sF04J5OkJXhTa88t92xDl+L
7PXXl/jZJ6JapljmMguC4K+XCAQyA3eqohsEh8mwZaznZxHn83AbgxPX2+tfX+4nn4hpBYcWXDjL
vODDiWEBwuqT2sY3BHmsYoO0i3Bbpf/wmf7K4fj2PPzlIh+cNw2jNEsEXCSRctXKU+JG6/+/j/Gx
HdjOLSh3riCrKzFUXop8G5jury9CO/Tju/OXj/Hhq6nSBQeWN/HNqBiryPLc+MZk2O/an63YE81Z
R3D76yv+7NtB2cSsiTamJQz9rw9DGjt5jMY3vrHrS62GeFD3dvD+769hCDg3xMHRUXU+3Drk0Ipw
epncFE3kM2K0i9IbsodfX+Rnt84gjYMxuUZKjfvhIuUQ2XYcjwnfz+dCnCJOisQWrNzgLumOZl9j
g7/8+orLM/VhoWOJ+/OKH76syKWYrbQJ4PSoYHh/RPj3D4vBojP84RL0ywkisUllWnIyF8jjh8Wn
Kc0ojUYtv0lOct/u2TyvEHf51iW6tbzCjzeOp2x+/an+esnf36QfP9WHS4ISz0d0pclNL+DWhcyn
XBaFcvfrq/z83kHOxDDGk2d9+LbErAm7zdHABrXrYb1eGnm/vsJy9z9+O0wXeNoQdIBU+fBgQ7FA
WYsG6Mbm6Ds5OtXmc2zCEEySf/gsP7tjP17pwwKH7Aufhi2SG816i5yLFdzV8z8sbz+/BLZGBoy8
SfaHRy3W0t4x5zC9KYqzRQjRuAgWOvEPW93PXiEetu9X+fDVpxLv4BRylTh9zZRdYCi+NDdWimm5
vVFShmf/8B397WPpKvwY1USq6pLm/g2+9kOpoLt4v3K7zG7afssIchB+Pd/++jH424P24RK02X6s
Roo+5IZGdXYzYB0g1GQ9JdY/3LafX2IJD0DEC9rpQ8GTjGOuZJy0bprsVZn3AvLjrz/D3x5lPgOp
RBbvCY03/SPjjaXTHrRizm+o8/KOBIBkHycUpu7bt+v8N6xU9R9u+N8wbgBAfooB5oe+d2Q1wqHE
kkb9PT7ie0cW2O+SyUQzlCeJYeWPHVnQhC59ut8ToATv2x8dWRd2sIX4ki+VKhnV+L/pyhru8hT/
udgBTlvIWYKKbunNslV8WB/6aiRIIoyMczOaqjeP/X6YzHqNupNGpKg3jFg6jgrTo61zhG9C81Ua
zomORrq2FthCMiIZamV0bIdSXRVqcYV4Uq6cuerWI56fUYqGBoEsvbLsIN8Xn6M49CGA3OLO2tLE
POiGflvTWkVLMC3uNL3h9KGfCuirYPNt4g9c0Pdu3oJBCB7mMnm0YLwQ5TOPnhjzsxUaZ40FwK3L
g53V+9Sajf3cB9Kjaet4fYRbMJ193ane0ZTddkNoHYow2BKC9sWhkek286cRFdoq1WnhGjptOGGC
qV2mgerIIMSuok+D1j2nI2Uvu+pOB4q/qhobnUUEmKclyocZqHGd5vUhS1HJc5B5r8lkWI34oL05
c86LBtUbwvqcWH11GHNOo11MoBStHMbCkQw9zFfBdSPKBVHazYxRzPmdMWZ63Zv26xxzc6sgjy46
ZIRV1Mi3CN3WVVJme8tVIBPo1bSNisY5N/GYk8gw8K11uMMk0zIvzccBWkpBEyHRxDbux3BFy8ra
maMdXtTQ0LZzBb6/ZoJEPhfddjhIWOxyI/TVKUtgI4+MlrBXb5NoIZzN8LrESOuGBB2wHIG21sYJ
WQZt6I2pVsHGHIzMl3mrb2kRw5M1khPasyPJAee0wEU3hTO6XOc9mBOxStBqc+LFDjvhGPC1wJ62
aYeTV00ihxuhTYjdanfbJgJRzCi7ras3PccOCbIMHswt0g1n21UW8HqcrztVxWXT9xisG8NQLhkc
bJjPfNJ6FLSkqDc3Tqhgdp8GIPNlyHEbygwC4DQ+WE0zbDFn3k96c9N1auFHCj3Bsq2+lBkw3DgS
kI0wQR4qF0lLqC1kvnm5RbFePA+NlTwUIHXAC3MqnzowhDoSZ/p6hXYGhA02piIkIOa+rwxccDtn
QGASDSZDdruLv6Y5jjuVFqjfh7myU9tk01lkEAQFAU60T1e5W8A4NonlcMyko1s6OGtZ5RnOyURc
Zm28JGN3K4acvBOd6tzL9OwaKBeWgbR+b4v5S4sce9NWWPcyN5NXMQwOz6A5mcla7MU0BCeh2D0Z
A4V5qyvdp9gtW2Wttt0YbCN9ZChIN/t14LeyZyy8QZRkq8aJapJDpntNGTQCGUJB69U9ICIQRCRO
2srtOySWZGtUYNxgUIV+XBTKQTHVXWwYDz3JUYRtRPd5nRzspLhhzIjt3L5qrOfA1o8dcRK0grK3
QbSn0VTo0KDpWTtDh3kbANPOdZcoGklbI0zVk87Voio69r35XsMr8rQ5u1IHVVv1rv1pBs+8ipMZ
wH+Tf21sGHQgqvZlMl2oCE+dFcNHi3pjXeROuaUlRPe5j6z1OJXjqo8J2pL89aJBWmY3BmENE1+h
VufnDpdwNgbPatl9rkyWB0fFZmWn8hgP2suYCuE36ZL62JThRus0BKYGjD5T+n3SkIwwa9i/mv4K
XfpjB4V3bSvmjTsiFihzph6OZfE3W6zdXYp0o2rLY5eoO9Am9OnMYJOoZX0m+XFibp2oK2V01+0o
35pA4Mvu4zV0MfEZTWdu+WUxontoX0vT3hed9UTb2drHOfNeOX+Bw4YFDy48HzrbRLraQa+Z15mw
r5lybCO3xNgoBzyKGAr7UtsptdhNQ70mqoH+fTxcyOo8ZXoDkzjOvrSOu7ML41oLq61i1tsQyhjf
qTdmGv9tvUROHHtN3L2TuXkDtpAkmHLat7kZ+R1DfoVREmQohb2AvrUxHaM2u+T4CDTw1bS//EgU
O7vLinWXx/dZTJwmEwzMyo2NMxktAeS7OPMclRFR4+oeusm3YFFvsI8h5GgcvXGI3CNqIxTFrboo
Pv6rjX4XrHJc+b8n1iBuX/o3+dL8fWK9CFO/10cMn+n1ucjT/3C+fa+PVOJhLfIxv8m1OFx8r4+I
yLRUfkgVSFl/F2x9r4/s32jqQYFFAbugcVXxr+qjv5viHE6aLlvCt6G5a388BYQOG0nvlGdVzcJd
Rd0QhUgmpTEcO7ufEGXrzWns9HILB4T8trG7KRLiaIwi/yJNvUTQ0pDkElm+a0jmDIMwVokZ1R6b
M2GvCliEqHWUlV2Lea0wsbupQ/cxsmYi/qRheHibjrDMTtIyd07psuUqjNymitF3iDGsdq5mOaF2
xMG9gzVwCHMIGqlpHWaHTnVo2ldCNx9Cq0JREjsXrKrpupDxpVXliw4zAGRU+KnPsf4OiJyA6S3m
436+EoX9OAYw1yCvPLlZ+SjG/uim2mmws3vFQnODYMkDr/VQyIDFRgOTGAxHezZviyLBDKN81uPR
C+tw09IpRthbnSq7fNIdcW1EeUKPatz2IyFmPBkvbeY0CHQyEP82qiFBmhZOgWwNdUNgfKsnpo9F
5/dMoSBl5mc5QO4oQmNXRnqMMaq7HjIiAsN50LZW2m4S0mHGtE88K9XoluvzjRGIV72t7tNu2sCI
Il0ppOtuis0U5fsY5NoqsJsb0dkPUR2EfmVOTyJmqB4PVrWmimfYVsTlxoinZl3oNiXvfJE46zda
lB1GLXuLlvwGp9UfBKZmEGPgPkTpnmnb69dZYO9GJ7yryaTZC9JDwXMexZQkHuLCTWz3SGZrcFrt
nPgtLi7wWs5TJKh2cGKhHyjjLQJpCCl5+ZraolwnLTJVwmA2mQMsayH8t9OOiKRklefJFymNN8Lk
3qjIw11Ym9cLaAytYAgcts/9ZMrMT4aVwlSku8EIK/bKAhuyJfaZpUHvizbSCYmeBOzoT+OoM2wU
09b5JqgtrK71h165xNXwFYrBID2m84mnkuM5IwPAhVEfTKXWPaRrO1eUuA31gGxYdCGAUZydvsSD
kl/wAnLwPlbLdd8QIrFYPHh0eY7cx9LoDS9agkYp/Wo/dsPRJ0oCCwlYLbbyTvOhMGAqtbJbtwed
rAeYzMgxLVxxCvpGw5JOxGkWEh5iwyTwnaQiQ3OJQhW86Rsy4BDzwS47TnpxCUhONcLBvLRkqToS
veSCyWWexWeJWiZHykwipkmGZ6jO57LkTUmWgFZ8ITcBia1RTqpAtYS4ioQbWIjnlnTXprzEplmt
pHRwwufBfhTl9YgacdUTDuvq5VekWzgyiY3Nzbzy7bRJ18qopOtq5vkYrBpwcm2F62WUS/hnMj/r
Sxwt/elk3xBRG5fMfOuAx6DPg5dpAQfqU30VLMm2BRG3I/EPhRYp1KrRJyVM39KOV0YvGHJBM900
Lmr6JTEX168BgC27B0j77iIwADnEc0eK3Zb0kNA3x7kmLWReFDF1cVL00brSyOhVUExejz2AR0A3
iW+7c7AeGfuTw4a2I5SY6qOhv2JoidRxCQHO3PgukjzNlhkSZ5HBvDEDvnGwj8CTp/mCMk1gAsI6
i+t0hlWk3Bq1xMC7aDOjmfEmqguwr0s8cT+1CdNUyEER31dPhHEKJRUJUX3JTeOYkXKsBuo9dsxy
rek9g3xL9415HlHJlFIm52rU5FPqWs3gg+YQidd0ybHreqwrbW/kOvmwAUklSdx8dtwwMk//1QS/
1wQ06n5RE3DOkC//A/O1fflJWcDPfi8LNGD1JnsLme3/q+P+XhYsHDfNYounaLBpkvxYFjDV0+mP
4DOBj7842P9om5DVSUOX5Brxe+D2v/LKw9z+W9tkgX9TDsBo55/FsP9jc9DNbegQDMrPwGbAFHuy
LtUD4gLzUNChSLxE5A8E4rG6jsrJKXjHEivvsb+LdVQoaLLbhNyV9pg6411PgtoUwFqqIkGi4eCA
ooxnCL/tpyGfru3c2FsxhB2MEaBNcF+M40FUED5GLDHxzJqSczAdAgRZge2OW8qGd8MJCbH85saK
08kDd6j7MoVsMzugXZIErk9GXe820edJoHRtMnPyOTrka1VW96YAeWV2is7+SWZSNaveNLQrk7g9
TxbBY0Y2UqsLwrIRz1rx8EV0SLmCmrg1zX4lEDf2ehE/CWiiKxj4e2N0vK7mZAsz90mE5taxqxlG
krGJHAlIq8l3OmywdV86u2bEQTiZHEFoU3yZyuBL3o5wyCIgaeQIxGSTernJpD0d95ynCTgaF7V5
z1nECauvIQLy9agVTxU6VhZpjnFBB0ss0NFlpNNLXFnBkSMe0G5LRxUeCl8pHO1Wp52zNkE+e5CU
6C7hFd8OQ3rUrLpnCaAW40gkW8LwliQlO2bxsssNenxE+RCgfSdiJQrdGd+LXjSo7pxxneKe3zjk
Y68DGEUeIBn8500a0UkBSz2pcYDmpomP7IIZ5KWhvdOtfv5ENnq0LlVQrpAB1CuSo/FCDWn6uZRw
PTh/iif2zPy2kVp9E8Fm2DuaHE+1i5akn7LyoAvWzZVimskpICFyIQ2Pp07Omb6acxQSoxMrDt51
pd4XunpJS1fzo2ioHtSJG78NmC0/K4kbvpsOu2e+OA6HdlqIR4435YSxN4svsV8cio2E4YtlEes3
d33wa6yMDZZGdfE2KnV3LRe3Y7D4Hm0V0lG3eCHtxRVpYo80F59knavQ6BfnJBZKENXIQRdXZbH4
K4nNIzLTTKFKLe5Le/Fhlt8smXp8Z//u0cStWS6+TTpG/Sfkoc5eQHlZRYu/U3FwegIMex8X7ydS
qPW4uEH/W8x/X8yZV/xqMadh87NlnJ/6YRm30XFoBIQwSMOG/IMjUf/NZmbIDA/Fwjdf8h96ZJAn
2Hv4o0Ws7Kh/WcYxK+IfxAYNahZVAD7Gf6FJ1hdv48futwqNhZw+fgXHcpY//2GMNLJowl8G7JbO
lT3tZ1Hmxpc+MtrgDNsXuR/dbEUn4GppRHTR3bT4D1IMsJwB8CRA0AAYltWp37mtuW6sXN2pA4lg
zuJn6DA2aIvDgeXmZV48D7kRNWuJDSL75ofAGJEsBonFKVEtnoneAarrLD6K2KVtjhkxwGGDy2JY
/BbR4ryIBK6SxYuh2fFjjzkjxqRBILP0ynFd9KRv1vgqGcWqoCbKC9FZn0qMHlSz1ipevB/64gJx
Fz9IjDHETeRFLE6RjlbdysU8gm0F78niJ4GkXax1JCVA7Ot3A9MJ9ofWyxGktdMbJzBrDcjfX9TZ
6ywHz6RjXCkQQdK/qnZmQ3QBx2T0DpWGHaPk1DwD6fS0fjwaM4g9HWMMkpVNByoSyspWwzjTYKBp
jMaXGGpoX/a0CuEtyX4RUZKsMJD87gKGmI1TQW9ntpDndWGA4tHGzkH/x1kaQVlW7XI6Q2OZ3Gd0
itq2uFRSPUZ0kED3AoC28kvPV9otTSZ1jGWxbRXN2TiiOmhW/gW1QQZaITjRxCTcFFqJSQNXHOg8
yIs20uB+BjhGlG1jlGFxUeZ2qrY5aUqcEVL1CT82Ph6i4V51aCLjghWJ4Yuw2W6QH4SES/PHcTe8
cb4BRrJgSfJ+3LVTdG0WgePTBpg2NQwTorHRIjjTZ5LB7tt5vGi99mxAPVGhn8QLBkUsQBQbMkqs
j4dhQaVkEdwVvPnIlaEXMgHsV5Za7xIIK6gpd/aCXCE84n5aICyY6GtoaM45WAAtmBjfTVR5XdTS
MUyBuLQLzmW237WkNCGvt5/6BfiSL+iXDAZMusBgLKgwEiT0WIGJkQswRimj1zCtZwKLp3njDAR5
J/Bl0B1/jpF7lwt4plgQNGDwaQgDpWkXPI0GYnpcgDXUBDcTBBvZqhQ6IG0S2DZWEIU+LgV7hW5z
xduMExc77wLEEW15KCjlVxGI/26B5kQifW+g6FTQdPqGjnaGPimdkmtHV4/VAt7hbH4syCNY6QuU
J2HLlwumJwGhgqIZ1nS7QHx0aD5F6nye7dLPM7SU0H6MBfszK4JeReQsklrrwYYNNOrKCtvXU71A
g6rI3c9jfST7sTpiNHsSNM9JsLlThNhHcIcUAvgiVbyRXHydwyWCvdN584IqqhZoEXEet31P8xma
UUicrlzwRilCvxVvj3huYB9FOhCk4BsOCS4SA56jaAk5/29r+7a1Gb88p9y9FP+zjt/Cn7htlh/8
Y3fTxG+qo6mcHb8dNjR2jz8OKZr9m8Xm5RqISHCc/jDbNciF5a+zHyIAot3AAPf7IWVJ6DI589Br
ZG9ET/Fvdjc22Q+727Lj6qgLDCa7roZa4q+7G8i6iIWMHBtOMbBiGACRtuAxWUiX+NWBqBqtn20W
CEZ2OunLLKl3XRmsw6gIT0aX2C9ptGSm17Az6+fEzjTtZtAaVKVJP1WUgX3hnqFRzYfQ6LJ4X7eT
fk9zVrH2WqNS2Luu0p7zwAg4ngs82cxWE+0utt3MPM7hnDWvbhGK4UoalbQuTLG2vSiytwDb+bos
4o4VmsCPZKsmjrZxayfubzGjtXuT4YKyIoKcuW6gTt0zFTknELuO1KNOhPdR1jWLY0Eyqh+N+AVk
TX3ZqVN8BP5pnoKA8TTetsB96Zoicmm1BANsJBMCQVpE3U1EIAUOy2c7DV8TpsE+UUa5VwnrrWrz
N+GWaPb7vDa/IiJmtFB4eh0S0TCr1qZNlQ49SihWva4y2RjYxfEsDAn919Z51BSOAy4b2esYi35H
6ra+j2B4nxTGz7tUkzbZTt24n6uq3poWKCxJoU1Hqxg9y6ngdsqOPbAntDxqSHwljgIsSrB22vzo
dEzKrUDaV5NlzfvUpJ8as4SxWkZbqKM4FEOImQZcKY7oHYyngn6T4745ZqSAiZ53jErPRhKL7RRw
3lOaJacwgA+JmvrJRFS+TjmcYC0FlETABfKIEaSuHK5TWAeYIiIydTkNrSVcVj9RKv2sQou+I9Hc
uC2EKN4S1ZSHvI5JVenR98dxjTS/T47/rVrfVq0F/vd/F+RXdFfe5Nv0987K8nN/LFq6+hszExQn
y/xExwX756KFr56uBmIkIZguftOK/K9F0BC/AaYnlHpZUmz+b3+0VSyKeOLxWMVsOisLnfBf1OMQ
DT+sWIBGKOtdUjsMpF2G+UFHlldEFk+sVte5MfebSg1MDsL2Z9sJ/dLuHvVWPKTzJZj6Lc1vX6+d
S9eGD0E24/vm0ODBfl7XxXQlTkmovBpD+pAT6rHWDJlsyUD5IlqsfZAF91WOTCCEbV51Ja5DCSWP
+bmnq9qzUvTVF60lNtqgX+vj3A02c5TshhjMWxDKA6tKvEqM6DHHCFJM7ucZs0hWOcCM4/plSlII
R8aLFNoT/VGd6mS8gpa9ZJel5bqqlz4jDjwrL/tH2gTP1GrxsYDG52sDuDy1Sh7SLntWJ3vemzmO
n0YpMe1R7db6Mwf/axQA3iTsO1du01n1a7eUKysZHroo/szJfjeo5WMjlfBg6yw1YJfzor/WEk7O
2XQ9TvE1CWFePUlm93H0tazacwiFaFWL4dqNB2MF+HxvlhtslCvYSp6u34X1lcRQ1aafa50+DL/i
tmnQqCAlWGcmNpjWkiScJjpWDzNYlYgodr0gRYgWD7YG5STyctiVLbOlIO78oUxuK4zYgjJ2Y0Im
8mhA7+oy+yoxItBZaqpVBOVDMgeCQdLdTIyQ1QQ7kQoiFZkLp4EY12FWcD3YAo0VsiTa8os6TzjI
VTS8cHRLLBSjCNyV09kn1ulzVrnXlK5rkVgLJiU5DSHUDtNeA3nOV625aCBUqwcaB3ApxHTliQEs
MoqeGh5L07BctRDkbQ4kU0y+VZvPN0BlXzDy7UOFnIOuwQ+lKtNiQ70Mtmg8GwGGqA1ogkntmXVy
W2g5qHa+OQK4H6xyWNV5Jn0UZM6pVrR95pRX0Jef+3z8FDVgg2tnWGvDRLaTEOUKfHfiTVLLSXhu
9zTBmZ7U6WMXQ4CYHRhy0AsuQWMajPDGXY7jeyNDgxyCSQyrtNwbDOjpteCTy0tyeqqzKaNNKtSt
pWU4xbCcVT0ToSkz7pK5eM60+Nhqw1U566TEtMUhaNqTCuhTz9mDMrXaO73zJWnCvRuFW2FCbRBO
cw///K7qlAcsDgR+l4dOmm8ldW8KY1BRi+eiyR5EWnNT5+FkGvJodOVV16cLjWa8ZHm/HYP4ZC4Z
DPOwq9xyry1i0sncYf06hBQrKzkZxyobjkOj3pBnl226mSQtmDsDPG12q3lDtuAZigIM8dk+SFe/
hUh1JG57Z6aozKYs7/ZJr59NVV6Bv8AA12OOnWx6iPpdUzaPIWqlYEyuGNOuo3C6LdSMEzUvfZpB
uh7ixzC1t1aI+knEzn6yOISTwMHT0V4ZBS1K0iovJn49bNqXXOkDToa1F3VyD0jySR2HRZHAgNPV
u9shsujO9eFqtrF5odZ86loDSQMSj6ld6xANvA5Tq5GJZw7Q20EZ/NYdiGjoPxey2zWW+j43IdAQ
SPZzEzzFKrJw1CSEitzqMWnjmUO8OY1Ii7VvNMgPMPPZlyI7umF3Ml1OXW3Hbk/7jTTDs9lnnFsm
BGNleDUEFD/kgS05Hs5Kkdm1orrbunSvJSlPnjOMm7xWNT+2tE+x1p3ogD8aqXKtBcndvHyFFMhf
KgiRJcAeGPHwBpTHUe3PhqZdqylFJ9FzvpyGF12h+IqrEEMk8Q6UkpzINGtTdGEM7zp/rgzjakIF
SBm1HJdIly/I5WmE9gmX46FGDxZFCfhD5QJCXvN0894OOz+O5y9JZt/NVhueCtBnIB6C24puhVKo
JGbXmW/O1rNWia2tByvTGKxd0goTLuSo79LR5F0O31LGTRRLS3qDPZ2A5ukbTWOKpsbG1q4hKfJQ
VJ4+Yr0Uobpr8u6pGeK7uphPUxfeB7LZkfgQMqh2PhVDvOUz38NYfWzrqCcS7Abl2TpRyTFIxMSy
Mm4tszwPbch8dG7WDnWikmHSngn1aBB5ZRo5HS63RjsrcLFXESbHvtPviAJ1fBWd3dqRQ7rqNcCh
hrhqMvZ7P2sUPfO7oY4/WRCnWfyFfdQLYmZyQDCbqBarvMZwHTs9b+d8ol0PQELykaapIhsNBkRY
uDdObjmYgvvCn5W4XumU6hCt6Oz2Xf6lR7NnCsb/7DAcwh2O7pWeecQoeda33EYAHyMHEvD2bn+A
rpGvasIsCtngnzeBo04FvP9EaisRj8A6suyxL0OdObWQmCMdmv3E7SmrnPGKJ/PwNGhtdS5qrX1K
NJt2NLIJZdM5g3VpBpCxGTJU1JiZ6QDHh8TqV8Ocrcm7OmHZP/RVfKM76cYcmV/qkGbq4Das5bGr
iT6kuQxjA2RnodVPAQEOi2fPlxqTlj4dt50ZpL7Rtl/6pPM0OgRmYFz1A/7xKl7nXb9pA/ptRnOP
eXRaO3b0wsr6STXkDuDBWbXGtyAxjvnMbXIj7IWxUdKnNp6q2TpCmLpCOGV4glDNJMO3WGG67Nii
5YQJWcjgnKjWmhywW0788crO530VipM1xjtgMyjgqn3uDiurVNM1GYEhQQ8Gyo/8jjx7ZizTtEZM
cF9kQ0EzLz2q8bBXVeUKApxHKbTVx3pPfO9WSaN9aNfHsGofUe8cs0I7SIOd1nA2qVO9BsnsJ2l4
GQMqhQkP7BxEvqSPZNXtWx65J6UovIaHbvx/7J3JktxGtm1/5dmbuwyOzoHBm0Qg2oyMyL6bwJJM
En3f4+vfAquoIlWUrumOZVZWVmVSRgfA3c85e689dlekiny2DS1Ag5UfCi26q/V4w+xi7ZrxtDIy
ex+O2n2zjKjaHDAS6cfApgGE1QNc9MAjSmHJFGkgp8p91ukv2BqICiGX2YJabECQ5WhRkUaaVqzu
yUtKgl0A3Rctrr5xGX7TJ0wPooyfXJeIGme+AZIeYqKUDxOSRSMunwuoUR6z34hBc/Th10VPTMjQ
begEnaG6nP3AADXc2hsk9Mv4Zxe70cFlILUlT+CqT+Yv5WSdUVbyjQd8+7bOzRIUg0XDT9GcgqO8
8SfbuRSSfpXZbYrUYRzYarepKU5pO85rERjbhnkFIOFQMivCCBlO9qs1QBhwWWnwi46ncXSwecN4
Ga35thT2q67H/raMqheNieRKs7tt0vQp5k6+teODglyWHkIREOu54T5g9r62yuQaPfE2CcR8EXp9
VcqAuAOM4l5VZ197OZIkMFW5Z/L/pmTyZF/dB9FY7tI5OwwKl/jUdqe5XnZty3wZJQ9aTNaAV48U
nNVknmUSnRMS/UzkTgcVzs0JNDPy29F4BpMXHIfav3Wb9BW2g7lfHnfbWFxXObs5fhLj1QnbeyDT
t3IYo5NLzoEjy0NQag96wImmsDS0Od0uQEGiZcmpCrRdp0ygtlb2tXOQa9Ab2QSG85DQHYza+Crp
bc6ZQG0bvX2ZZHXnjsAq81KdYxkAiI63qTInCE3xU5W6r+Zo3DG5KK4sg6yYLrCLrd6ar3MGhb+R
Yk2KU77Le15YoMMpSCLwytzs93HKmK2BKxKvAzPTjHtSdHTKiLoW5sZJJ1OP14lhi40uI9TP6x8q
vpt/Cfd/jGWnFPthoOEsLFnG0TrGAEkthd/n55aPHmnaSFxBdIlLbB75dQN11P03v5eIuF9nv//B
VfLvN7GlSQQ15nC1VHE/TE0Sf6zJLmmiizYdRH6tkSYizId2ePjr7/Jz++rf30XZ4Gs1Rq4k3f/8
Nr6muVQBGgd3/etQPArjf7Ab/+L1FVZZTTcXHxFygZ9fv3EnuyjsLL3kAzcaQx6GXb9X37+4Fr96
fcw3/EL8UAtF5+fXDxSBOYaFLtih7rBuLPdfIpI/vQwMz/77Wv/w+/zh85t2gr6HpRSM4Y5oq0Ru
a+WByxq/pLH311/lF2+1SB0WM5HFxM79w6VIHbRPw1wkF9T1eL+hVZWLuHDNNizK1V+/1/Kx/+NI
+XbZf7osyy3+w92lyYiIZTtNoUyuXeQF1F2tx5o69du/fqNffakfr/8fvlSumNJ0zr/eyIg83BFj
uGUfWbbi8n+4137xXII8Qp2ytIQNJCo/fynDyvWCjTe/NGThIpwdN5b/+a+/zq9utx/e4o+329zQ
LAwsLb/kznvsv5rif3E7I6g1aXVijsR99PNXiCtSQ0yh55eYFdBQq3T6XyxeDHA0Gxotj40Nqvqn
K5+LnPO9LYvLrN4HdWbMScTP/V//Sr+66NzEChAuKYvymx/qh7vLZUSUE3iOhJSD37R2qpW0bhGb
FKU3G//DnfyL93I0voYulaOwFv/hF4N9SpMttvJLuNTUSPYAC20IJSw4Y919+1r/GPCWVfn3Rfe/
DHib9P94Rf3+8YtBzfKH33uegJEBoLsa3ctvwxjUWt8HNfQ8SffU2Cx1su/kkgr6vefp/gYP1ATE
zgZBo/RnLBoTHJCWluQC239TZI4fkxv7P0se4yCH18EOTogkpm1e9+cbvwr80RKyby7k+T4N+SS3
vVF5ghYuzJ+mvhGzH+zzzC5eLBP+o2txyG2VoFuRYYJrRJ8f54C2BiFX9Zqm6TNqUkWqgIPyi2d5
O5v4zbJojlYWPK91a3YFaRQu3ErcTihKGfu0OQqz0QkZuKpHt8kPQRjmW3uuyfO0iiNKjmBfG+oA
Pe3ZHxh+9nF5XxcLZFBE7l5q4CbM/mE0tCvMVOcCQtIymZcrrY7ldrJkCR6GUy7V71TJeV3M7hVC
5Fe/1Y+tXTYkqXf3GgXkNqhIqe8G8h9wmH2yUa3t23ak50Nq+9Ytxi92YX9Rjht7eKwgh1b9tTsa
Lyyw+ZGOT7EylPOu9+FtCCL1wMdkyJRdSBhZOUavQJ2w6z+NDKQ3dHt3iQQ3bMEWxjKzDQqsJT6i
2dliypMSwLRwiIu03JmQiVU93A12EuyRoFEDk1+1YRwye3Ek7E0nxgv4HmMVQTuOoB73C/4YqkWB
R4x8OZoVGN2gJKf9cDDs9o2ccM7JBiDlDk3fvKCVHW16gr85ODdjg46qpCLAEOSYIHVCUX6du9Ba
0fuON03cmeg9sB2RxTrusgipfxWxLpfVBMco0R8xx0SrckLYoTvhCv+38TproIwyZnLdQ2enwRlV
RHmctawm9Vkk+9IqNkOs3UkkzisDtiqZaFOzSrToadHA4/OCZmYIdLfAYxnb2+XoUdTTNxLFTQAg
bGU3zPht7UEJtIxDXH903bgnTvlodjk/MdpCPx6fSyv6UEZ28gWEF4pr8Ao1eFYluncza1A6m8Yr
nYo3GqSwtwO1m1yzQBoZ73UNBb0qGm/sQGjp9DWr2dnSMvDGWHnQ5E62r65lJ0giI+syI0FHWzoi
fefYK9ua6KclxAz1Iv4sbfFi6Vi3wvEuDdvT1IsHjBVvbYqQv4YjWnXiiiS1s2b4j2MeX00D7MvK
15+CjMZAWPsP/qiu2phfqNQDc2uUJAwmHPSA6Lz6angEQEyLNKDUGgXkMhVpnwAR3g11fA6WTBnf
DVaO6i+DNO+Mie+S+dFt3cgD4RBr03GOATDWzh6uSmGBNGqfHIKXgtzCDmpdiLLcG+SBlBolb9JM
L1bnODtGHtkqidDJsMzBGa8EAs/Fs+aPPYLMqH6pm+xIVud1YjB01OanLsdf2TMhWVfGcGAGG0FU
WJymIr3DjvmpNDK8W0lar2bb2S0x3xsMVg7oPNi5yF6zLTnZ+9mkZI6ZqByIElyPjdw6On7TZcVl
lZLFJjH7m6LTUKjDOd12dKsCbULvgSxF4ydgTbo1Jvs67tzPlo1WqFT2o26b1wYd87XRYR9k3Iwk
clni6nCGaq7d625OvRbigiibbNXg/XUJ5NlnWAdk2mIF4SRB32N87ubgXmrmJ5WhDAp055pMCX8X
BEJs4ya9kwoHbxWAj5t09UmnXbKReQq3zy43kyEgNEZgkVhJtwkWtbqdoYJUlG1RLR/yqIfNjBDr
cxkKiMx9vyELAfB69DyE/aWm2KZb9nUe0eu3uGPwfmp4cSuQgVFjCTRczZw9Z5icg+tZD2j92f0S
cGxdWU794GJ3wGmoEG3OxVsxk9pSmr1Bcsb84vdMX1XfMNAS1XruamAv6TkM5MWw/Lex6b7Kjvmu
kdfHdNY3UM5o/bXWbZfM150rUOVqNROepqIiHU+aQN1ad7m2gnpLWT13D8aIBs1H0lzET3EPTzMh
J4BPM7+45L021fSUWXQXh/iG+4EfYewes0SeZwsVbLu4iHsNdrDCkzMSrpwb01nazVEb4ytTGx9z
8qx907qxg8YrXbIqHf7HaIaMYlKbWFrLZJOzEYFGMUk7uaa3K9ZYD4LlPq/yfR23M12vhmXHpv1g
G9AopY8BQ/rpzobyN8+OdhAJE/nYDr06woSC01w/4A+NIMzFtF6MMt8kWo18D0s0gKwIaRYaoX9O
Zd8G0RonlD8/lW0xlf6KVLv81e9HModsdQ4+DocyZaB3+eFIhu8PLRSnLlvj3yDW7vcjGaoax2J0
LQ30/xBaeMH/TKIXO6BUlkKtD0rwb3ER1H8rQxengGtT7dJIodj5Q8GWZEghxtZXZ5Rxx6Ct+vy6
HfSJxLSsL8vCQ50y75yBqSBjs2B8orNGo7cA1wYKIQ5fR6O5z8Jq8sKGnvbQdjuk0V4yB1iFiTpF
zwzytnAJF8c+xYMKY24STcXIyzoziW/XdipeiyG7g4PwDC5QJrctIIJ7POp7AJbkRvgLxpEGoxYJ
0J7kXoGUr/Dci+B1KtvwxvfDyL4J00ndkIrVhGsT9aRBtC1UQc/yMy1/sJWgHGWdGjbNKP32UgnC
6p46NuJ+kybDc6IzyvaapNhHYRxPbMH19RCbx6Gz7khemzDy5k/anD6QYkxXPyw/64vt0A5h4Lbk
/dRtzHpmfArzGKacMM92p+MkHJ+YVVtrgwOh6IUnMpaAYHHbmWUpPYeGLB00ZcJqDZ8xdznrzE7w
P1n3iTNcwMAiPBXRh+6qh6wzv2hmHG2ajB/FctpbZZBcH+B22w+8PhyiMnkjaJZ9coj22uyS0lkx
w85S56FKpb4t8oQuoNEKEnH1fUjsRt73tZcN0cEICZm1MmATea3mVaMl+YZBbsrCMR2NUr/19Y5Q
MYPyLjf1fZFMzJ2cZFi7BIsfpp4oWdFpH1rhek7X0CrxLR8nW7PLcvc9CIsr21VXjYEmlvhBbBCz
C9ccZ7cbNoAhxYflzttUGw9ke5yDGvM/UAuvrGfS5vJFe++XX9uCZrEdMe3pRPZ5CN0RCwDITZdZ
n+72am8vR39ur1tT0qVvneLcWrHg3OjfpG57ywST+U0oybCm6d6xo64IMLXWYCqYXrPphlbx0sU6
BXLQHluuYNt0W5KGot1oYWC1tarYzLl5yPrpMlbWs2zas9tGD6CBwfRrzVMWhHehGUZ45LqdDJZQ
AJsJUB/Wd5PyH3Dl385VxyMiEUaRghSs3Cii31z7Nx0o+Cn1Bf4R8bmuBMm5ZpnsJotNapbElA8d
XpHAavCTaCbcwmk+Fgxz46kg+s8hm7LsciirPazjyhxOmEE/SGw6RnR9kGFH13ZcYjPR1BUZR3Kn
wR4luAW6LA+AZ8r4vdbKYTu57cWtzZdehMzIubNW8ZTZzHKNr9nEHDwpi7tuLtdtpxAkk8Gk1Iis
IC+wkiX9ow4+aC9M7k5/OdI1afQlnfSZzVG9WIN1r0uucF8kkBpq/UCZaDAzdU5hL7ArmpVDpr1p
bocqvkSBTbJNcpel/TkA2LgCXCY5aCebKHNv6IpXWzulnhjKwaCLP06rKrcfBolpR6u1r75uvmlG
+pksokM1GOzzQUs9IfQvZiOemiWCLsuyp2xo9Y3uEq41tXIX2dlrMZlXDFkmZgsIdomiUEglbo3Y
KRXKcOCpU1h9MgYisXSLGZVQ5aqzqmsbSOVmTqiu+vlTbeivFb2xvast0ZOuupm7npZ+C8TVrKFy
MGAiITucPvsT4RKaau/DvGVIDpASkGwxrTpFRx3eyltJHl2boXsbQoZ3svMHr+7Q3NPxJrYi0s49
RtVNYhlf+nlyvdziZBnrvdf7hdonSU4+o2DW6HYVsmuNig34xmfB+HItUU7sNYZ952i0mBg21eg5
Qg89Q6/uBmiEx8nBnixnkgqjfOQ6Rds2MCYvsuIJPFRYXmdqOEyZ/waVF7k/g/YNQlCmL8SCrss6
/myrnCpsmZxZub8NTGPa23ldHYrS3CZ4mb2Q1ufWoUG1Yj2cd3lcvdUOY/BaAE7wdwVH9ttQRDYD
1chdTc2gkRCaudtR5EjOrcm/tQm02KpKHqrAOGHFwoCdxc6OOjnw4KSA6u2n6Rh23UdClPA2LFvj
qJfGMhPC6ZqMQb4P83x+nIeMazNMYmthNV8JDverQMdlabX9wcgQ3UOhRONt9VdB6h59d74S0Zwt
Y5p66yPTqrNFSqruHaHs09xQ6YUdxm7O/zdlFz7k+gx/d5bptjQ4h3WhqKG7tp/tCqNcBiB4Nzro
CyeJZtXRmWPINLxpI/2GtrrmJUXUA4Wdr/BqnPzU8NCb3/S4qzZGXGnYFii3CUc8u1b82cGLnzY+
DQnlUqbaguGpsI6F4Uwb/Eb9OpirdKVpw5PskvciETdpHd0zGivWcPNtZjfSXtVm+SVFCh9kmrlt
DRMjR2TykmBfvCHVXkvIogzBo7PvIimDQ9N7Q4WurPCTq9zBGBKPcfAE89rDWvpqU0ytdB5dlWZf
66x9hXRIIFR7LntuZZNETt/S3Y10IZq4WfpEXEOEMCuihhLidtZKzRNpdI0IAblVkVylNScRkz3V
Ej0LmJTkmzZoSPyT408ZNP3piIPB9apEwKjOn7OpPo850TL2lCELjRGJ+TUqCnlF8seHKJ2vw0j5
aNNBySuAbk38xRH9tumKdteoctOU/NOhEE/Isk5zcJXF1CqdwjadvLtd/ClsWHx7jI5xrQilxgBu
taDAG5tY7Qbtikq4PBmVekzrZ5y5nyNfpyzWzS+GVpAsaqn7KA74l1nAe9KDozqVK5O4pTVAiGjH
ye2NE9ghGkkP5KSzMlob8HORrbsyutiVs/LJLJcGL16OZKr4zP/oWu2MrP1MfOpzoEiNL7EwayrD
xp0/SYMNDzXyjsEr/kPHOI9J9FgPA+VoQxyUKKubMnJPBHC4ngFeoBPYOlRsSeyA2Q5cCnXpMtKW
Q7aiusD1TGgXfGUenXw2WCxqWhJ9xVdzcrw8nDvJWokwHxrL6aE+KCM8DlP8NZRWtA0G5zKRZlzM
u8ZNcDoQD5B7cjw5InkI0z5h4GZma6TpuzjuSyblHGSM+ZPhwPcfgk+OjYBKZ1IDETnkYlXvRYGG
a9SH2GIj7usrHh8kKLTVqN+eZKlwvWOgbOqNszeCdK8DlgKZ7PmOUd7mdp1Nay2PbHzn4JLFc9gX
hbYmw6Spjwm+Pzjz0dA7PRLDXky3E1cn16xIeKZfAE6ciRfwHDc5AvbmUySCp03Uuxn90aouxFao
GEdVIoZtZBaemSWd5/fFC+iWeZM7EDj7KZAbIpIfjTq/H0yifBoDtE9cP5sRyY+E7/JNUeC5lnsI
lflO8uPNuGj0wkWtFy66Pc5dzTpZtHzWgKpP0BhhO0Hpl2hsbAicba7fcu04m3cuTh43PFU1gWop
ksGxVeceCaGLlJA5mbvKERdKd/LIOjnJRXVYFuUn9hZwYggSE4SJzaJQbDvty7xoFudFvTj1zt5E
zgjqgxjLEMsMpcSKc83g2X7+UQ/ZHuIgoVCLLpK0nJNZpXd60kNNRzmJYHTYs+6eXESVCsXZGs9L
s+96nuhFedl802AuaswGWWa96DOBeu3KRbHpyuQtqZBWhZekxKprTathxFZcg7Bynf4s8GzSokSs
b8UfgNGQfUvYJmhFi0A7W8SvpWhITbjttOrEXHn1oi/tEZomiGlbhKetah+R6mFXQpLq1LsRgeoY
NGvOveDp9beoRIewKFkNJK3zom2NEbnyAR/DpbRXnAU34aKEZVV4MxdtbDYjiSuQy46Lbrb5pqDN
5uth0dRWiGvLXnsfEdsOQ/6eLOrbvkEnjxw3RZYbLfLcRaf7T0H/raDXGU7/eUF//V5HZfErs+fy
d7+X9O5vhkZOPUAehoQ4W34q6Q3XQuv3rWpXzD++D1nUklyLYs5iUq4zT2EI+72iV7+hA4dwCP+Z
qaMOmvBvaMvhiP/XkAV0NVGXDP5we3Ks/nnIEtc4LNSsh5dMI8z5OtRb622UWujwGOR5cFNgUzjO
XWW/2aE51HtX5Djp2AaH13pWzZMbmsW960bWzDGlG7iTc9U+NwYmzW6pnEhPImnFjMTTqFM3jsGM
QEnXE3SB9g34ml1He67r7Ycgnd6HYH6ngQqHbLyzGyfjHKLt9DSLLvrEOUsm9mbsfY9N5hjaMSVe
g4YuqNmjaJ2+J1XN7GZgA+r0YHneAZpN5LnRNHOWJ3VcTmvOyurcgxmAte4Hf19m9p3ZW3cZ6kgv
MdTH5I/n2amRVvXyvcqr+9LQ30Inpo73EV1B8aGLqs90OSK8L0VfIGU2rbvYVid8qi96liAdztNT
VsMhC5NuaY9zYGzY2Mw6gI04lM66nJM7QuoeoRmW10YN6IZiEWXT4v5jUwFbYPbDqib/d90aY0hK
QpCe8iLbzKp8YZvt143USq/T6i9zU09g9QEROk23TxtsQUROyQTdjUK8Mwl3bZotiiddx1IK9TBE
6cyHkiBNyMnZRzn/y+xHwgbc4ikPkw/lJreOGXpOmX6WSfhgF0vmbhtjELL8A0k3QG44GPaWCvGN
kroZdPYpWHwGRWrewed5QB1FVoqlPuwiv5on466cHGTCGvVlngOKK/sipnIer3LijlqS4lZAVXZp
JMaVvqjwEdAviJ+n2G5Sz0ZWDM0g2tglLVML1okYSOsKNWdrVqo/d8sxXE2N03IYPbSJnT2hxsRt
k3S3c09ckWWE55zcD7YUqsh46h5Js/zkE0m2B0rUQV7Rtvg/n23deVF+sNZr+Y4TGcXI8jG0/k5M
Dqep+ZImNFQifev6N9ysxZlN65S6yQ068rfIdrNtzrl9W49MH5APtwetnK7oXXNEt+JTAfTKyVCk
A058FoppWmsN0VpCCl2LOtqiCTtbZXah73FluvZN3zCEbxefaqDMrTCqN/h+9B30xwxOIEZNdSx7
+zJFlGq53V0Jl8KprwpCCZsH0oY+UWhe13b3hdyOh6ZVB4jKp7hPSHOjmMJA7DYUS1wHwFEfhJby
iM0Bo9MxJSg9ty98eeYUQ/hS1RAjpJZddF/eVJa5rdzkkxD4UQs8xyokTz0zspuWs/gpN8IrlbX5
M8iOGikEmi+k7emVSLtybS3HCp/B8Vpl2fvgIxVtp/RWos1OqaPXBjbiFRlQe9eZT2neXncSvFRn
vg529t4akoMsbzrotzFi0tTnSMPO3KTazjTMvVGiCI18PNqWbXJyRBQ7Jej0dHCpLLQ0z8Oji4D8
KpJ1ftuMCRGnI3o+Foicuko3Zs91q3YvY+e5y3KwRkXGzIXxYUMOt9buGMJhf8jJFypHU78ZJ/NI
dpM8hzxYa665dclRnEIUrLk4rRqf5yoP7mop06vYjK1dy0+wGVKR7iWqzBUdPQUns/EDIrHsNty3
whDUPiFvPZWa3IrY/3fGwz9qiGVP/fNtepd+yXP2Y7IE2unw8f/+r/xXs54/+r5H6/I3h/tioQ6b
sPOWBvrvSgidIGjH5D+Ie9jF0Rd936SRT2galurvUgj+0fdNmj3fgTHv8l+L5tDW/84mLe2fRUwo
IZDmIKngNR3HNJeX+1kCNDVKHzvHvehZPXFOlXMJz2Yx2RsiD3WyUrLGf2O0WN/Cw8GSny3u/Bmb
vh27pzp3E6q65FPCPJCMICyYbbCdTJMBUGkgNwdIQIbNaFSbrndv6SZ/hXwZrVkUqVr1nQBLGTQR
LcVqp4GrdMBWjqXYiyj9ZNVwUpcYxCAebpOFdGm3tUdbdq80coDpSgN0HdbQUgmgBJMJ3/ms06iI
dDg7WDzwqGjTfpJojXIhP8XANkcyYA+1o15KMJxzPXymbLkGkZBaC/DVfnWhmBEDmaCwLb7Uk7Ok
xVBRuxA+MYZXl5kZ5ki8+1rv5Z7QOzTIdI+HhRBKdGsNUwJqKJI0vi3MIa8p5mca+9fOwhkdYoij
9cIe1enchyZkX6MLtvXCJ5V1oDYxyFIHdClSkp4YUmimEqxpBt4UfBDNueIyLtxTQTTsNltYqLCf
D8NCR3UjUJtSZJansbvDLoWiWi4gHlrU2Rro9akEtZpZyaEBD7jCyP4xZb2z0hYua134aCA4IhjB
9A5kg8OBlF9bXRwlUFcwNKd4obz6C++1/0Z+XRiwYPRjoEE00UcAsTOg2EzkwwvX84pT3pzZ14Rh
LC4zAKPxUbP9+2EhzuKSiBtPSrfCf6vnHdUmUabBqkzTIgRG1iYukDP290PaOCaFWR/uIsepR9jD
lXut4/s/qqTAjUiJcuB3IaDOXLLqkH659z6sVXedTnJEqVDQte/xMO2YspuplxKDtJNTQfCdymv9
pNK0e3YK29mLGYLEP1XLt5VtSQj68+Xw4Uv4nv0CULP81Q/rIVpD3TJZcsDJ/LQeGui/iDdZ4m6W
5fA/66Gp/WZaLFAOOgxkZZaBnuw/6yE0d9TKlC3/Jt78jaIFOtYfixaI7JZc3osyCNzZH9fDFFlx
yse49G6YNB5Udlie9BIXeHIHRVmS/Lv0/MBi8niMC2q5WKDLEvpyC8JjjW1KboN4enBEUe26GBlL
LpnPI3zexHCcg29E5/kb3RmLYSc8Q3RPjTObdxD1hp1d2/4pNCebLGfl2ZWOyVb19bXF+ZUMSD3c
jkp+av3mqwZna18OOVm4C3faLujFRrCouf9vFeba22rBVAcJwGotzWn8ACWACgjOOugIy5pcoDYZ
n8oZk20cdIITCj2BeAFiO5CxZc7GQBsAw1Kbkxpoc6IguRqYdmuQyMgEVF58nQpsXKDb7YLfVpKe
Ieaz2zlKiRlT8J8nN0LMYrgLwdWpPNcYrlOFn6YIj7RDiX+HNdjmOkBSg5DFgON30fZohnwi01Ai
JzaLrNBYpmwa5lFGMu4cyojWJ42zrgrXdWj7G80Rj+XcYNCt9yXH94NFb5q1ZqJx6D4blfpc1MW5
gnHH4hYekRneWK3/EPRgEgdgZn3ifq1L0uo79xqsSeNBO7DXFHlqV6bFSzykRzuPXse4bdaTK76O
gbOEo7nbKO3fLMIdylxVB4an0TrOW3LabH4WcOjsUGEQnqJoUKukaqI3cJA3zhQ/JXRBV0NWwCnP
rXEjwBVssiKHQ9c0z3YPA9Ee1wU0W5QkEe7JIApBx1RPheGiK9RSazU6duA12viAEWKNAwIZTtRD
fMhnGD6MskFCmt1N2WDI1NQQb+q5+4yU8aWnDMuC3Nz6hvwo/YR5xBi2xxztnC8cYxvkqt/ao+GD
usVBmHC77jo8ATiBzYzZncQTU5rGgTBDd0e+LHohp+BBIAtygrVnJs0no6SH6/qD2sgYyGZnN1+B
ohEUqk3Zmme/XJd5km4jvG9kyKK4rF13XUU8I2QtcoQoUBz5slobi3FtwHpOMqzrgX65GL2/1638
Jhzzi504ByGibacfmEn6w7XLazZme19CtF7bDOGTzH5WLkrEnIPJYDAxQg6H/pAc3CpCUNG+qDTU
vGIka7qIS3fTKCbDhduSux3n2yIpr3W92zUie8TteUiq4NRmJRWwjkJen270FHNrxyRYDXBi6nG8
ZKk+H7GZvoZNdLbskm6/NqhDXKmT7mZnjOe7VBjkwDa01IokYZxrt5x+Qkk4UCAjdrTopHfRSWbl
aypH+LZDw1BA+o+msp47Ev3oApg7Nj8XDZ5kKBVC3yPrimzNQNGk7todJhgGezY6VTFld4PtP88+
n68quwbMoYGvmL8j8ZeUOvBWZZwc/Ln+UuWGudHnBZHqcroijhTtNCchl5+VLL9vsoDbdliSCqJu
Wvjpppf0HMaYaX3l6HVlRtEpChndj+kSgoonUsui19k2HnwGIuuaYeC6alMBJUveAXJ5xbGKpcHI
b3WBeE3OmKTdDs8lJUyVO/6GxIHbOux2fq4/9GFzrfUCl2DpHKOaBquvstsUuxSaTHEMiaiKrDYH
mg+pcUKBSBW9akdCxlEPgOrPh2STmpjxZi28nnNGuRYJ5h722q/B7D9UZWCsJrmgOqKw3I1h/FGX
1iUoZM4haZg9umX6OkeXfDXg39q3DgO/gTHjXM23k2EMG9ET7pe4wf1oRJtOF3vXL69cN+u3Zlkf
0dggiJLgnqsqm3bGYCMlsQtr62fTS1ZrDDW1d3hlzPj1sKMS7dFtZI/ACU+AkPhTHfxhb26X7GKQ
jVdENe/jxiegg5toPcxA0Wg17CYlP8+yvLYC1uzRNTY2zNdK1l/aOLpux+p9HoONing6m6lbI41+
LZzc8xOSTgGzbfyEOPmW1TRoiQnlJiAumZW7REtJArOV5BhLJ/VQdtH1bFpfkpaFMjJsgopTtefh
JhF4ZkJmDAQ/Ny5qvBl5qjk8pdy3jF5MHL0D1IIebhMP2m1t9VCh1FzsyOB9Z++sN0UUglGEgbDR
DMO+OI5wKBEsfVc39UuUyHsrB1GDkvkR8+lrnIQ+8kSQUA2INYgBpWQFQXytO58M34HL6dZbPt+n
Oq6YCTnFR+PPzKFjuvV5aMxnDNWW5zNnYs+7HlD2roZFTIQjbmmPrI1SFBs36z6oCDBGqOrDCDFj
xLQ3fOEncGt95oE24M5gChFKu70XjK1J26MjXbllBYOCew4VCY9lGeWA+gtYisEehlu4UayTUGgA
zeX3UzFzzBXxW6LKzxDW1vC6sx1djB3nCK6B399LCw0jciN1JJ70gNqIrThfGNkcjdYRA5G1LWRz
cWfTCwiKTZZQZScbLiP6lhWtzJNmRNnaJYHZEUCGqT1fGSbKjahISQ7Ia05Ci/DLQLxoS5Qz7cJr
VvOGhGeTI3jIEErQMKF1q307ohf/Oq/XkcbhPY6qfsYGvRzq/zlHfztHL1nsf36OvvpS/6KrsPzN
91M0tCuboEtSABejyzek1e9dBe03/G/gHFHl2ca3A+z3rgLsmCW7i74Bx1sO37Qpvp+iTbAyaAA1
bDpY5zBf/J2uglp8Nj/ZK2h7k39GjwJDJKeqP3T+lSwDTYZze1aEfRBTHtG5ckI99VRlujvVO++c
JYdttQTIAGyMTXHMGqdDPKIiPX6NdEQml9AvuupAGVlmazAcg7ZBmd2pm9Ks6+EmH8pzaSTRA1Nh
xK08zgp57dzcOmkYvxkpTt0ph4EH0kaXm8AdCiB2hOxGnm7O4bbFiBF4lQXc6WD6IkNoLVuVNq8Z
3X+GtCMqXgbMBoeXqNnq+RjJY5bhyLsP5ikRu6jyY33TFkG9c42ApoNikj32re3Vxf9n77y64kba
rv2LNEuhlE5bnaHJYPCJFsagHEup9OvfS3g8gz3hWf6+0zk1C7oNrao77H3tMcXJrZrNyCh8N2SO
sRmnZt7pmdM+QJrtjX2GE3LeWBIszVqZ/jxt8p7Z+6l2Q42WWNQaipx6dk69kjFjQbNybhPHISYc
TQgr71LJnVHHWXebWTl2AviY+eVkOrG5a6imNiqS1eM8Ch/EMVJr1hlTXLkH5HeWvvnvEf32iP5r
qwuek/ihr91fh3/Lmuv7Y2pavy2a2oWf+t610kz+8ZgKmKu2YaM2tRYcKn3o74+pMH4TyGBtnU4T
FKthsrz7/TGlD9Z1gwb5T6XurzS7Pz2lwoNVx0PKiQBRGPbrj6O/ridCxq3s8arXjxGYGnVTyd2H
c+vq2yP/0R2NrfeHF+F/gdULLSAoK9t0PP6/P76IgdI9TTNZX1mjn+pyJWxJ3ldsmaV1Fettw6ir
cqbseq4Sh9ReCshHhmEmeyLdVkFMwqUJXrkO5FQdmng6ZxCPbz3ZzERGrvrZCpTKr0JbW+eVdlDS
Jxunuu10kHkqJv23cW+mRO5DBYstLqZtmXTG2hbNUavHS83LvuQqe9ZIr+rr+kCKzyNuHwQmSQyi
SW48k4jVWGJZnNq3tl+6wWRc5wznOABEH2iFkS/Lln0zoHro3fTe9faNJQP+e4+Rox90nw7TMupj
M5WvufRjChSBTah4DWuA/V5Rd6tKn9iayXYLG/Q87Nxx7ZWLPWCkHK1d/csky6MltAK5ZXk3GNEx
NM37dmKQBWvmU8ZOj0p9fJGOOCrRltsmrU9lPI1rv3EtYOGhHYRVe9smNP6uqLpNpKwTLSC2NGld
5yN81HnoH7XUAnrt4pM16U09s3tLXULfvcRkB9ZUV2UlzqjfBJ4ICCR51pByrxNrhpotAtvQE3Fa
myxSB6pJUc+fDLBF1tIPMOK4sSlzWIXkd2NBPel72RMcFVAvY33wIbNf5N1oBJiijhJa30o3GrEy
vOg86l6stNr6oNfBJ5qBmBo0Q3n5KZxJhgsbqtcqgpHh9e26G9zd7NovdUI3MSqoIq548WTBtjFN
3rwCQUckvBnQjX+H4+1NJON7H5g0yFYNme5js43XBuD0KiquBlN+MdJUD1qBUNnKykOeZGhUh26b
eItdzgJLLmQ3bgR8noC69Aqbx/0Q9cRo5cS/WnG7qKlvqQibdQUZJyhDzDzcXTQn7mZeBpG+l96a
wFAxyCDS8YdPmY6GJFHOG0XmZ9vIlkgH09pa7JRWFIvZqQReFURpUgecK/eRam5LYdfHOLMuo9x1
13EV00pN8KzAmOD/a8jiGPl9uO78lDnhnTMwqh7S8lUYo7MdWv0+i3KUM6RETBq87yHqUFRqb53m
PZHChsMjiwPXMtDJTyHWIxLInIp7z1LZoTb59G9G0Tbsuvlt+LNvNHd2NM6QbjI+5X6e3WcYcg/2
TNavY413TWMybq1fC+yOSVbnBK3UX42uQSiNbBLDDPrObIS33CbpJ3bLRGCF0Mach9LfTDsVgxAr
KhRUmnbT9qm/DNVzyJUhG/H1QMKL5tLitX6NnzynnEVkGEQW/VxlnQSsaNYOGv2EDIC36EueyIWs
3MfYs19Jb29WHHesV9mzFnlNiqE6Y3PzrIFSgWVGWEv/FPX0MJw5N21pbIg4uakM6zAa2g2BZGtH
ix7MzHmSno3XQD/zx+iKSeeVKug4ZbdlTRyEvvqKfChHJZWuM9llG3K2gozoEVe2HaYne9vWw4W7
EJoatp8EaKzR7Y+ryqcmST2NGY12qbr2oUj8bBOa8lV28dZspk+afLV7PomD424tQcBfEELbxX0Y
juxr0l5p2kYflPvgRsO0a5rWDNKIpBkQl10NTtJ6LCpBisncbNyhjIDsp5xbMMxErVYFCY+7TlVt
4OWsIDyreGCctW278XEc8wfZaE/YGq1rvbfnKy68ZtvmzXNjGoe4tb5OoXfZzOrCz/1oiXijWWWb
vaZrYOqR5sm2gPFxJwpPnaIivk2i6Av6d20BeeZnLdIl9iod0WYlymfRxU+lyV9xjO+SpEoZKDKX
HeRjb1Qzwler2IaQMgCbNXCDEu6ewM84A3otp53pa9grnafdwedBP6yYukVthbCrFfJT6MseIahb
7HmavXWTd2vhDMN+MLpxh1YS6E1Rqd1Y6vSwoO0Yn6AhRxRq70fyGfasba4ITLiRIl7kUrt0WHYx
WviSVKhTZse4Y6v02BrTbWS3zsEX/WNFWUr3OIf/I8f9xyH2+6Xr+QJMLmU49IhlifmR6OCwEDY9
s+mvKo+4FeMy9e4c3rXNYiwVn/79iv/RSr28FkN8uCTGQo/EDrQsGD/4+6VkfmaOcrxiZBNmD43a
xtrD/99LLG/hw0vAe8/zsc/Hq5oHU+HCjofPor79f3gRn94IGic11lJ1fXwRGZNvkZbjeGW1d011
PmkX2nD495f465+FX9WHl/iJf7HoGCJDTOOV8G6LZjsXUOhHlvvPqfofr8RW+UMD9vsf5cMrLe/k
w28sjwe7cDr+Mw3zA6PEPGEe+wIp32YojjNign//jy1v/M9+79vLwTZF6MVcBgrz8nY+vFwXpdPc
Ai5k2fdooAhy0VzFZ6r4b632TTCwrLr+eRxwm7y27d+s1Zbv+qPTeO8MIN94PPWY5yjD/+g0jN8w
9bFQswxbmNCK/ug0yH1wAV1CoLUdH53eRzI2MgOoI6zbcP+ZiPd+LfdheWsfPiGLzACdIlIDxIA6
MJa/sFKYaMVmleiXlscuISzIXXOMz1X0VfdXiG9Y6DjlOSQ8oIqjb56PNf/emu6lY5SXfVNvHS+6
yfv+MxTUQFfatCPV5bFs7V1TuzeY5081Ehtyr55QQNSrfDHCuBmraMYPEZwWXGn9fT2Vdyzvm1Xv
6zmTWKMj6qp+CtNk7djmmU0SbmEwJIVRaqTzoylw+hZTd4ztcuPjeA+yOdnLnk4iLedHnPL7MeYG
ECSuT278lBbl/exV537aPAqHqJvMNt+0sfzUtP1DZhTACXrud1/bzu58xf1NkkJT72ofoB0LhLWX
dBAhQspnNxzBPmABRh62jPl2bqNtW8nGXhXeQzOaGHrANR4oKbAjheIsxXYfpKO2R9BG5Zy04b7X
1K4S08FEaTbWzs1YsxjsivY+t9VzXtOuoNk/RrH+SS9sQAgI+Wt9OoGys1dj5GobOy33Hdb9YOr7
MyHkwfFZVzWhfVTGV1mWn6Owv1d4vlZKZBAPvPFzpkt/lTcWGz5cBW5NTWgb984cghzQxUCyaLjt
JBNDNQ7ORp8UQ2xi7rij6iE5B+bKPiDKxXpU+IxhPJIN0F50U2fEmxAhyK6zE3s66yoypGdR692h
8uAUdy6ycAN7R8rSX29d9BUiHDZSWp3/nA/NeEg72+zWTqaDP5ws4raDwqzaNal8MbuXpglq4Z+K
vmk2OCFeyrglgC0kcYGuKwZHiUDdGvX1OMsXJ4QD4ZPri+ZnyUlEA1FymrqGQkxnZzfujDAP/+2F
FpOE3YEDBruM7VSLH/NJPJXeNAbDNNzWPXW1r6E2E439FUvGm6mm17lr1YqYjIfIEXwULIudB6ay
TJpnbaklKEQ6awOi/Aq9a7RmFbgXcftEaki3tXBYQTjynnBdU/gLB7WMO34lbHVcwR1EjFZ0WLMS
ib2NoKFTHmkX0VPOIDyKjhDYvooJ8lPB56UEHZnNZ05Z7tKqvh4sdghxNt3Xgs7MqaJdztTdJWAc
I6zzKVwY8jb/4hnjJ1w91/TnAboQeT7Kp9K2JfwMraIwd+dkzY+amKOTu4fontVXDsoiltjwJtSQ
I3/xNMbmQT70IYvjs9kpL2aiN6ayZjMEvDwXNCzbRmXty/tx+p96zeAa+Od75VDUr23ynP/NDIvv
+36zGAyqwIzr0BzeRWqc7N9vFuIYDB2ID0Ume3RD8F3fR80MvkhB0Bkq8Y3fMuO+j5pNRtck//AR
YfqEq+yXRs340H+6WZYrxTZNTJSMu6mulpvnQ+3hxgBZJ61Rp8lC+bg10AK7DFIJk3/T57m0aeE7
vaNrtPCdzvvKybKxZAyTUhk7IrsJTdwgHrCIfWsMEFjBZL1EpGmxCA6fWyO7zcKsuFIZZ1wzO+bW
sg3WkEKXJxDLb3Ht0ckVnFxGSRQ7Jj/SYSQxnp3Dzh8flX0+48iA2pd3jJFwQ6pgcvCGp2nUXqDG
xJiLyQmHbnYGgKFcy3pU29ZmStI1GXKNgnV54RsI0vHHowtWx8xOzr2qC8+KBGFqpvl4R9Dnecxs
eKKKDGjP5Lvx2mL/GTTMDsClugB+JzqtxutZkgrtKacrqJ2pPLpxf2c4rMHDAicQjqM6iHylXbSp
8zKWNJBN5Ro7ot3e5jT9jK0I+IcYDJCUIXE9tUjVPW66EPtrfIpI5zn0cfraRbP5xDgFpzHe9+3g
5M3alTnUEgRYaF390kfVERobZ9S1o6gn/dxOym6XEAOxilpE363rMsmP0ltmDIcxVndaTXJtJbgM
da+6dh1k4H7YkrejC5CeFdPBOVuE8PqIzI8J/bkR90BuVBvbT0MdYenWLQqCUBlsyAtNMX6Z29Zp
QYXhIiQnIzkpg1nQij18iCU55Sf5gbfkadSe3+BrR3xms3lT5p1mLuEbJgDSYzuQyJG8h3NUXP54
qfklhJc+LixcUMhKBsPPzk3W9UZUzLecYKCZ/zu9vk3gqVT/+fRaLDJ/tyXjm74fXab5Gz3pInD9
5oPhS9+PLibzuonoFeTEAtdbOuTvRxecDFOnQhUegDBX/6g1I+qaYbnwOWwcxLJ86RfG74RA/HR0
8cYQXzrCFMu74Af+eHRRmFNFaITcWkX80CB3QbuoFkJq06yNudh6jbMzMITaCmD/5D8wfohWes+M
q/Cdu9QD2FN1hyJNN4xSQrl2XTgHm2QJFsyXiMGKrMFIK9tDNyYRt3+eal/MHLnaqsR9iZ4+BHvP
7BIut5O76V6iE9gUZI5d62Vt4cpzbscMSLgHagAEGg9Waa3reMbvMFV3SmkPzE7urcruVzrSEUzv
48HRFLQk74gGfY13/aWFgIF0YFxFoK7q1LzyPe3BHGQJh5e8p7DLTkPdMjwPyzfVAoSJwaeFwo3W
ZltYDKOnyw7XRJOn0K8Gq19zgnxtxmJed3rIMBiMbaR3eF+r2NhmruOiINOEOoxTpQXxGJ0ZvXuJ
Xi3oDUqK3g1YTLrBUMSMqs3hrB3qT7HuP2nCZRyfW2Qzyk1nM99KZgAa6XzfYc0ZeqOGsI5Gq67e
TN1YD21y4/f1sCK69ryOioNRqIdM4pWohje9tdVa15QbEHXVo7lB56BpcHutPNs3UmN4GzuIc6gr
Q1PvsYHHHi6kWgWzajLENnDKQKkF3SJHrsDe4ppX2sZDL0RcODoAlq4vsaJuswy16xZOMzCRoPTM
g+9Y+75vL8Oco9HChHziemwA0zroSaifGWKv8BsfrK4NpLQRhXDHWBXilrhEqkJUZcasKssngBX9
tE7L6RkOL6wLnK0V0kHEUgzXY/wbsaU96y1ro3ZApWVkUKCk/8o16Z1YaQ0bTwdbYfaxA4HOYj5c
trexDMWF2ZGEYJgRVkMXotwMTz8eADFLJxebfHBxshTGjmq3I2q7cS76xNu5mjhojXzQbXuv9+bD
OHRGEMVSX3fSNC4Ag6TndckVH/ksW2ObijwcYG5Q14qAIj7cKUihF/VkmdesM9x9kg07n7RsgkmO
RUYy39SYz9Q44J5LlVzSEYMUwY+ivGLbd5JECJXkgT2WX5SESjwkj1WE6NxngBsBigtS/CiXgpo9
mYrdh0PtbzZoP5Y3jFZ0wWnDUp5V/rK9/2lmVFsTGnPNNy7z4j4TXwmLG4vDL7+E77sOnchi0kM2
8OMxpOpokkQQkckov/TZlarvyt/Juf9V2Ivp8Z/vqEOp/gaUuXzP9yvKsH9zBMthIJQEVPxAZTI8
5Br6ckvp1u8aj+9XlEtJjpuE04wm0Me38ceG2ELjgbTju7nzl+0hi1Ljz8mezSjU5ypcbkrehWVb
Pw0SrTiHUz643UWROfG2WvQTU1WwR7tW5jBjhE/8OJydjYgHPQbwNWTjxjY6JBeVZSrifoRKrPyM
JLFGXQJahBOLuHi0W1CDk9P0rBby2NoZLpstqjeRJ8T0aSFJIWst9Kvy84zRTFy5fe+35drV60Gc
TbY9yikwtCaVzy5NMyd1B4lQYpCf2sGXLCHjdpfK2uf402HqT62zasZR3DcVKj0PpWnTV4t9K0tZ
qzbjcJYoCDaglMoLN8/6G5IRxy86/WsNzzKOvgyinbY5dPjzxMkq1nhVeJFqnBAMSGKQPwa5Xd5o
qWuSKsID0IbxlJXuSAjQ0K1bsEHVCBAKHIDZPnsJzoi8gxYQxDAnDrGddnfm2EAXiEv7xZtzfzfE
+cj2M1qFYOjQjArrxpt1MPcLVynv9UlA/cD0YXcdsB5HVxct2M9t1uMpE7WByV1KeJesnklXnYdu
34Q6d6tRkyPt+7H52Zrr+Sqe57RcZWZvfsnYj531KH4PCofGo2VLQpxME/ZHzdJm9or+su+zF36l
5aHhlL01ZMIQLdV17yRGwCg2OsULRQgo+jMb8Wsi5c73idpJZ9+7mBu2JEVTso1RJKfGeE1egArk
5/Dv5ENfVP1W+inhBVpinhhk5ihjY5mBAuI6RwfrXLMM1bbU5/LKSqx6jc+/OgMVMpxJmR0RmM4b
hVpw29hqehtFnO+9uoiOU5UI3lvqaqcEw++xSCSTskrBHeo62oxGYROuI1hEArDoarJbptez6YfH
vNWcB1a6nwCrmuem5tWXvP1wq2WFOMnKBEnStvqlmuOJ1IsxPUQJlIkKXCerxlrdxK03rgc5NhuV
9NMmGuZwK99FR+8Hyn8nq6Ba/ueT9TZ+/ttI++W7vp+tWO8YiDNsYJmjc8FxdX4s/xl8+5CBqfM5
3P4o/1HfkE9ss8NwPKF7zBX+OFtR32CYZ9LxflLz7b+UvWa/z7w/nq2kMC/Td9yxNhmN+E1+vHfZ
0Ol4S5v8Sqf4RsCLPttALguLPdp1jXaJk6FdSSS1Wc7EFzvavlFRvcFNJtfD5L1WCHHhb9yJRZkL
2NVbq0WtK8nmqjxr7+X91kHOW0zGfkTeWxA9suQar3m+nqSNRn5RAuMBB0XXPLORPhEw8eoy7huR
DqOoJXECMXEziReEz7sIJ8fKkkDGtKTo9ykSZHT7ZxJJMhgqRLfpRrPaGEfyQBBHde8iYh4XNbNq
RbKLZ/M5Z3pn6vpjrA/21g0x8deLGro1cvKRbai5AuCTPXXD1kM8jQNt71vpJovT23BRV0+Lznqo
p+vSEKSaIMHGvasTB4Uq21r02Yyg57VWotnWCvfSt/Kv5qLmVqZNPi9AXhAk4V2bV295TW2rLypw
qCKnbNGFAxHONuTQ5UFcu3aAjkAxPPA2jOCZ/6Msj8b8ntA1hIqIzntGEPGiQi89H5vcoku3u5OP
UL1BsG5203UyJdqmX7Tsqhh3OuJ2Y1G543m7nuKSEQoC+BQhvILrw1AdbXyfW0WgkMvPyOaxLMA4
WiAvHmsCC2k9ZPWzFKn9EgO3T2cuAHPR4ceS+HYjtIjliz/FKe8/WlT786Lfd4j56B3K4nrR9hey
f60Q+2sY30doAQgrGccsXgCycFYIICTzbHwCVRk/cp7eTK3AguLhYZgtUj8Wd0Gz+Aw65VODLt6D
nAH7mptP7Di/L6vK+wQUlL87joVs8S7omBgMzAx0ledtQnQLoxUvsBfHgzDxuviLC6JY/BApxojQ
qi5IBiUGaXH/wUdhcZNc6Gn11KQNk6ucToXcNailZeAshotxoBE18GA0hn5l4smo7XEJ9CSMFLcG
gSD3vTbsKlme4qoi9Y7QZ4/zH7/p4BOahErdWewfnj48cj29ysFEjTDtYJ4qGh8sI6VTEbjB/wov
SbWYSjJ/uPVwmZCS3MwX3XAK8Z8o3afAKC8NfCkm/hSUp5daj2FlwLliLhaWpXnqF1OLucC9HfJK
+IAmIYpt5uZcpvzK+aFlYdeBx94oGJcYr0If3hi7g1ouLFYai6XGoj6fUGWPeG3cdOoPFRVQgOXR
3xmlfYgXa8787tIxlYVKo/SnnaYh+bcXO08FLHvrLxaftjbhNWL6gZSVbotBfO0JGtiClPhaWcNj
g1MIflAKWpfxX2SNV6pfAqUTZwhU53QbjiPcRnZfkmJDsEx3tkCl1wudjv4Hic+qLLqDXZIZtbV6
IlzvBz2DlhyL1iDGSdU8S03JMMGd2hkTVzQZG6/UxAROk0J0LzxDAR+37Dm5IFFN9be+TrLe7ei3
mnUG+LY6G+0yjx9bOMjDZdbVe1CJRoDHNd9UIhPbJCGGqNHnZ3y1NzJEYdVl01GIst+2WjvtPM05
s90pWVNGi1WfOy9NVaFT7hwwlal4JKHeI55yWOAEs3O0Kj7MEIYo8YTQ8ftXn+tQPMdpa647DxOL
NTdvnR8P9PWwnEU5mrDNQEa1XQtODXyvqqHtJj4FWq2dRNlea2F/hkv385CMb7NmBeSPp1BFJh2D
nY3iyZqOsTrYOngk362fE5KnnASecWeimLYYyVO+jLe6mV6E0j/XUvWUx+bbbKDukpH9lg3FQ6kn
a20+slcCb2a3G4I0b7KJo0eHGAwrb8rP8tg96Vmur/2pWgApqNasFnz25GDHmjEvmcWF42Yz61Ef
zwAcNJMbE6adPa8xGp5mXZ35NpQJfgv13oUUvJIVQAMLfAU7tXrt+glSt1bxLIXaHXSr2Y4+ma3U
+E2m4RrBX7r2Mn/kxaFl+Jm/B8mJ/HLCb2IxswpGb6oui6keN241ntdeZ648j9FBZLiXyVieoMAU
wVQzcCU9VBaS7O7u2fFHtWE6e6tyrdnMBRlpuJehRKT9fdj3ct2zlK3y6phqGe+xnx8hE8ZbnjrB
Z2CuVmhetKCtulfp+/cc0Fu9zs9REUH4jKw9isT7Zkh2WuJOAWTshe14NXj1jW9XXxIuupXh6hdC
786YIIbBUIpwF85Gi/ymJbYS56jqxmhl2qizEZ0cfJst7xAh0kKys5M2usREyEvo18zK3G1pdg/s
EfYomiDK9iYfwF5MEFGLAc/FYqnMSMbSIr6K6bNizTkwPtGMnWNi1+j4hQZkUl/qtUzhn3fHvkQH
2jj+0ZXTfU7E3kZVXIIcWVtoghHKKoPgMd8J1GJwannSziLDvHIMUC2aJIS6K/XiMJs5m4uQuAFl
NSERl9ZBiOQq7tMHDWbcViNuHpI3kHrklfu5MHkkbO/KJFuZzsUq1k41vZRV9Im8nkvQsy+zsF4m
R9/W0nmssogBC47BzkoOYVE/6hWQNNHejp55ZqUa8lqVBXoen5nt+IyVDban+eozjie6/Xo2SPzw
Ox1p5HKIa/aWsz4O/iu7vw3dmSX8c9l9lpSRpML+CXhh8E3fq26iP5aZOxYUw1kG63zpj6pbpyBn
psBQ3mEywajr+0DD+Y0qHLEJswsPrcWCwvi+LlwGGkw0XJP9o8vJ9ku8C5e5/g/zDGJHSKNgss9a
yGHeQnX/cVtIpdSpjArvIubYbe+hLecFXDdVGOs41nqcz2AakpP0MqIBEaaDpRjza50jmqVAXoCg
nAgg71w9ZP3vObI5FFU7r5U7EJ7Q2xIfiZThcbRyLmzOmDm7ruBJ13ClAe1/nkazQ09rXSiHCk8s
EOqZi4jogPgLF7SzMhdUNVvVeKV0LZigWKMgz9Ar4GUeIVzHRvhID45NrdJTcJ75OwubHEqw2Asg
e7Bb8LjrmJ/qBFWvuvIkNOXsFXEOyRKsbC4Ry3rHcRkusctmOn+OliDmzinCwKjLLS7EMahIa25S
bU9eeLeayHHWl0DnfIl2Br54n5D1bJ7I9Tlx364nC0CTv0RCh3l4Rx9yXXCq+JQ/6XxtkCA9Dpia
UWpw8wFx+O9BfH8Q7X99EB94BPu/E4Ut3/bHo+j95liL2gqj/e9RO98fRZ5S20V9w/LcX1akH/Zf
AkCcYdIbs+lyTFxhfz6LFknmwuRhBDuHOIwv/cL+68fJNpIw3zVtg5w2wvNsnsflUf2wuJ90LRra
tuwvMFQFaKQWoRb9TrH6cED9zQAdAedfnnm8J5RmjNDRnuk/r9mMvBsaJxX1BfJk/z6LG7z9hZur
ec+RZOPz7MpeHHhs59vUhGyA8U58Sj03eqqr1Du2dL5nhlvQR7mtPV3FUMcsBZ5t7ajIlWfwY6X1
eWBI5V2NYTMM29SoxBr1b4J8XssvEalLAnvrGuV8NebEDHtaBKA1kWGJq1X5G9ubW3Ax5Yudi/HC
Xdxcoqfo4IHMcsjaISScHG2clssKMX8yVtalPhh2dj7k6WXbZeOKlK0piP0r+H6vtqy/lk20DaV+
58JlL+FX2ppT7UxashWqo42PEssvaAyKQ6hUs7ayghzv1lgjgX+LvfhmrsmTNOu33hpuc1bXi84/
fQK9Itd+lPUnmNPtRSNt55gnPuK7It/Msym5bjXrTaSy3Isw1i/Krqk3xYAALAEAvDFH70TTeCFL
dirYdDHMJrO560r3XhnaYw45k4VXTHJQ10Um+jiLxFBIVkCdkQ1umNvwIzqygLHS3ePMgPLqeGV8
I6OBbts1WnR6+vTIFFnxWzQrFIEZ1hChtbR09nzTOJ13jDXD+B96a5OH7KdrhR9nU26hc2Q7ZPPM
fPwsk+3eRNHktRdyA38Mcs/tfOuu6OyDbl/uqZIQmm2KnbtpN+XKPhJfszH3YfA7husfAwrtn3S/
SGpc7lB2yvayODJ+TnDEzjj2EZbBi9CMjiqPpyCLmhAjiKBwdjOfRXFIA2g68J8JSztFbhseDf5G
xIMzfXAR6Ye6Qkkyf+6myt9KEG/brqu3oTd/du3QXhEuj4lpnj41Of2e2TYqcLn11hjIKXxjuiE7
nghyITbboKQNCb4XXojG09/P7HuVae5YhBurpkNll/iCVWwJqVmsKwo8vFCQzEhiMkPkNhkMvzWZ
wauiABrEQ3wxYmrfNRE5RtKK7qOx2lNKnvoJBCADWhyWfNBcv6GX1dPbfz9GfjxElpBEVEw6dQtW
Nvx8/k+7en82R78G2XyhD0W64yDAftVCgtKSeAMZXKxEEz3/+0uaSzHy54Dwr6/50+5Pmwa3HbJI
XgAWf7LJEZv6CISBdPei6E8VM/1V5MD9c5Ew2rnsmCGWiojYPl55mn1eJd6jnuBeG6T2FtIXoys4
YSW91sP5xY6az0QuNGtAlPXZf3fyt+KYv8A/F8fnz1K+/p0khe/640r2f+PppAQ231XVP+CPGFcv
/8xY+p2NxDj49/L420ya24thNfXzu7r7e3mMhJtPJT8Rm8e3SfYvXMng4374yHEpUxIgR4GAxN6Z
CuAnJf/Q+5NG3TteKqpNdxPD4cHytChsI8UnPTfDs27OImuj0mHIHozegHOG3zzpDvWcMFgYnDk7
lzhriKqezG4msY3VPALgkvU6Hd6IuTCv23DedFGLkJfd3H5yjMh/+zblUVJihewSV4TrUM2zv87r
akQbylYQb3TjQEhlOpSNoMznCjfFyn2fIBVmxDRJuEaBqMR73xBljJveJ0/tEAn7PjdIotuSPnXA
X84IDJwH+CT68f1kMeF6Gy1vAtzEnm0TRSneDNIA9T0zuOiohV7+JYEQx+WH3wuMoho2Ws5WcVho
SZCiSPEogCxSfttfBptV3zwXWKbQbZCR3kRiZ6v4zRk1sSpK7y0tcxATBdeqW/O1WkuXCOweiDNj
jrM4AtHuscMkogWtDsJB4BatRhHuMoQ1gaSRlsJ8Y9XqGhHdix4RfYK+91oRr5gSlc+GtyzQ5io6
1q2WXwluAjTxhr9jnPuaubO9s3Ir2sCIEztZdcShS9IIs8glPMbu86tMx8bY+ISM1INJSn0zbqBZ
Ic3zrNcYpvSeLoOPBYQjuGyCDJwqcle6o32pM3ITnTknot2vGPm17ZsLjnNXM4knQCod5HqknuL/
ZLq7qirk0bf1dG1qcXriPTNurJzqmI1DkPQpoQKuLdgsjuqaDHF7N/pwamVPKF81FuQOtMJbjT1a
73JueZue9ZiXGbPNJmVw0TKqg0EE0ZpSb9XVA7p/jFg7YoCaa5yTDCCjsbt2EzioM+nUjJ0UrkZW
e/l21v1pIwdqLSmmejMZbr9Ml5pNOJXZ3sgZJ+D/L/b/HZvvx6b5r8fmxXPNxfjzSGH5nu+HpmkC
hoNoQW21kC+XmNrvfQxfQgsPqU2n7ke+8qGP8X4Di83A2LXoZ76BML4fmt5vWGGWNR6iYQ5V1/uV
PsbS/3JoUnRxahqI+QixQq7zY/XXNrIQ9mDOl/USjYcVAVyZz5FQ2+reSJtdGHsvglgYWDP9F70P
QfpinGaJfybtMF8iIu79AV6SrU72jHPd7oqlT+9WekS0QpJvVeixJIxIsTN6c9OM+i6b/NNocccX
1c6L/D2JQZd4W8TK4/wN2gjbOQrkW8dms47O7lVzSo4UH/XDIKKTuwBtNB7WldfYG2USSwPBeFcw
btMX/gzuwQe3tq6kmV/ahAut+raE+GkN+UPmqF04sUxTtn+dp9FtROI8KmuWjzbQsyiv9LXqxOtY
Relpnvv6uex4HbJsdrPWRgHMy0BzjD3LSOI/J6NdM5CIN52f6F1AdtSx16Ns2XeQcUeTuqZdC5Lc
3vpN/oXp3noZ36zqQe76BiwljLR0NzHs2Lo68pQx20MW30xRB1BMEkQncuNgquoMpl9yNIggCUuF
qrdFVB1m7vmYVVXgj85tYyQOaq+2C7QSZHbkt+LSy51DOfb6Ct4QqGdp5weu7gsHqZv1f+ydx3Lk
xhqlX2VeAIqETWA5BZR39Gz2BtFssuG9x9PPB2paarXMDe210VWEbrFoUJm/Oec7ed66Tet/bgL7
IVZscx8p+s6Y/HduVeaebM6QvmdeY8bDiphU8OCGsStCv1kh6hYPk41IRY7mPstJtTGC8g6Y725E
IuSGZCYRj9JUbkF/uLeGXrCF4LQtY3BzedOt5zCaCJPlBjGD5Gut5rnbV0DfWmXW7pxKtSm2E1Rw
hHYoiB09pVXFph8EOnFykLIzPvB8b3WKuQtsMbgDFIR9iWl5lARe9oZBYpkm421bEHq7q5ug8O/t
wQYHaoVvJLSwgPYT5zCXwO44Cfd0Pg+N4IIWrbYzFNJyCYJcN2Fnrnv8+XafF8fcrs8IUr4VI7Nn
Yx6OYuw/lc0EAG4m/UyraIZ1h9wRv/wEnVogoZ9PXT6eMrJf3NqOb+fW7t0C90k7mOd8SSH1lSeg
AcJFuLGLtZLvOjCukkTUzlY3ZoSwpTEw0DtJs42ldkotMhWF05KA4F9ZSD06I/vbDOx4oFXmtscb
5cZqFa3ruGg2UZh/cURyDgOGcGkQrpFJnfPU2bVkfruDVN4iP3oslKlyAyUIV7Em3vSofOoT21MW
9lgNH+dLX5trRVVeelzLq6Gl9x3hq6ssaG8xyH/mTjo2qnyTc3OczPIyq8aRfthgiWJeR/JDznmd
bVNB/lkpraM+1m5dI/YkIOmOvQNb1mj6rMmHRFkbk30so2jjwGUjODaq3bxUHqIeRXybpLd2JBUX
y9NLqbTw5DvfzRXkPzDQXEtvWbX4Xhaxv1es3dxgSUZTWqHmbRy3TrisQ+csHWcv++QaZbAPCE+p
sfweewlTNcnmz44FFwFzmQtOtTLB1KRKHMDHqk7dMO+dMnrVzJLrWCVrLhucVRnF921qvjrs0L1u
pFzKK/kUKG3uqpnPh7jAKKSH7TqrOAtXzpK52+TalP3at/8nnlFpX/+hUSma//N/8+A9ff+rWT4v
/X7xLpgp5PN85jVmuD+rE5kQLvMOumHgMb93K7rxC2AZrOc2I3GbRBzu5O8Xr/ZBoKKRMckK/Aif
+Bfdys8DROixYoHLMPOA1SrFT9cuE7rGHnInvnSkF4D29MOtUT3/8Iv5i+khopufOqLlXSgTEPvj
nsUpuwwGfhhTVn6UstI340tbxFHqFbbIoVuixnF9Hc1IrDdIoydNPcnAzt2O3GQ3nf1jT3jOnSjD
2xQBM1vb6DQI0XmCS8hVbQBxqRoJVwThftCyfdeH56h3dmWnnsQ83KKMOFdzcRxr/Qo86yBiPodZ
j3UyFpWzkUtB73eEykSa86aOQD+sJOM/sudeATb+hk8S6RCqb5qERSCw8nn9KEnAnYidtA6DMgOY
GwDMtkoD9tthzkbIM31awnrPrTXjydcduZWpqX/WMlIvFazf20gkobUOsa2yaUer/lwUKhwFOwG0
HTikrO1VnegcVPH2xZqaadxKguJARNshOQ96qdtPs1ZZEHS0dFsrs2Vu1WKAOUFqOm1u5XZm1k4+
pZGpXO1KU858/dJrPrywgDgKJd/ahYFft/Nr2i6IYrW0o52eGsmh+5jA8n5MY82PySw3P1NacDd3
xa+TWzUGb7mMc53akgdgLcHLUng+9xKens1E+N74mAXbiENrF1kZd4tND4xGZmicRyQuXDPgudak
TCLAKcnPSDviJxn+TfteM/uL03Vy3fI7PxGa1nxpwuA4Tiysp9HWVk6FBgZqyhq5LzsfgsnvIO8c
YoFwwSlU5w7pJAd2THajPbGRLsoMSWvCLLlQQadFz3aGuIo/XQ8XOJrXNeBcr6EiBVc2RgeLvPK1
bKd527YpfgAHuX0T9lq/mqpma+n9bjByGDGj1twGZYzqQsnOUZ6e+7rJN1kd3RqFubfZ4Xq+le6K
iKDvQBc3jTPct6rsHyGH2N/AFa2aOPGsYbS+FVHnmVnjMXhTH4TSbQKrJSm8SNaOkm0Su1nFo41Y
yyrfmqZ9z6P6fYqnJ1ZLXq33B2fMNhwg2OnmrTGK88REWHeISjA1xljMTOv+VZjducqUTTqodHzE
HXbTV8DhdIpffdGp3mClOn0zecaJ2b+YVvSazpaxtpqkObQ9i3ZlmE9apu31QDtbZecNXfJS8udr
Wp3QEFuu/d7akFO968T8MvrNOsgYZVaiwowdoD5tcrGPTXDn6hR6ppQ3/Ix3JmnPSDrmwMNsTRBc
L6JzaFhEX/nabZvmzXmo2mOgjTzMpDqm1UhKiU83amdoJvgQiYLpqYOciehJu9RPiNCelRmNkSnv
yZi5ZSp3QtsMLdM5ZV1/GzrRIdXKtYZdnfkEcSYT5u8Yr4/b1VSxQS0uiZJ8LhL1c5lkh6hJjkVq
H+JOvZ0HBvuk5kFtPJtG7FZpNR1nKZl+0JbbZEBWidx16LqcmnFrOC7ZFcPBLuZpX815fiDF9C2b
fCbahEh4U0CwN5qiZFs56LYaADjzpFSbfz55/8LZiXITqAQeCJsGjv/948kbTirJGFZKJFaVaEBG
nQk0zZR4GfmikHj1wZM9ySRFmDGnmN/VsmpuqyoRDzbJPKtiHO+6Oj6J0fcSRz6Lsd1WofUN6GcA
jxMOUxAzQLUmsSlmnunUj4gOBDk9MAJimosCXdrtjty1V7JoO5e4jicNt+kaHgxmFwCbQG7doYJM
tmdNgyLHz7dqXIM87W9Srdg2GZE/aXYPFuzQkUk4N+mh6iDPl8XJbjSHUnYiZmuKdtoYmm5DZLzl
k9cV0tIENK1eI5o7Y+pQNoXWQYQOn2tQgyDCVBRz9fgYR70B6LereBa0q4FiB+6Mhb80WjxV8yVs
4n0ymFsTfpEXpdXezxNn1dnM/jMbiQZRwWZQntKA+EeZa9coHY5pl+241yCFlSgIi6nZFHF9TeL0
zpBOsOrzntgc3DnAUann6vom0pvey2b0eNSmj8ZkYO8cI4pneYyW2f3IA2rX8yZJqiX+cquWAEcN
FVrC5GU6ifGksiBKPaMsfSsceRKVwErvKG++as2rUqtWVofQPUkzda+Uy1nWniJpfdJEuhEC2z0B
fS9Tpqlu3EwJPoTgqs+mCuAVt6lRxvaOBM3uqUA8emSbXZ9TZkf7f35Uf97+UCJg4kC+wEoUJpTz
U4kQkySB7yAjiZIGVY8Ptdat/vkdll3oHzYBumQwi70Z3yFLyQ8n4Q9FiG5hZLadILikGPsV6xp1
0S4q7+oh5klI3ciqNk68/uf3ZOT7P951+bl/eNeuRFtn6IpyFlN+jwebpp9/4Vb8xDwV4jTSBKRf
5rPl6/u+I3W7HwmJSPNhifGMCjev50+FIk9RawgXEtsmdQb11Q4NibwxfrToBbwgAZiQGi+Wj0RP
TXWr42nKC7SzMl/bpYITsoQTJfNp2nej1F+LPAZPzHR1HUXR15RndV0JQuc5gSfkeJZwGWLfd0Y6
bzkPH7ugBxAeABuc2jcid3dcSg9NXW+sZmgQYcU7XYTKOhZUKOkA9GCaO+FWqIq9eoDaLMkLIzoH
Z3REApgeMAlwIIM1/beqQefXlNG+NhScZMbDOAMtE8nBbIuaCTXFWuTreCTaCCldZ+6TOT7i8/Dy
yYcokQoQZH7CKSueewjIZJhkZzsct3mNzNmfeYLFOmmDDLdEyVY0s1flHNtenfrnkpTiwJQ7tVjc
mcF4D7SUAo6Wr2sZj+h6K9xZtltWvcyjuuKLFVTnWmS3JAJghx/Zi6qH3iTIsDd1hHs2J6KqPuZT
uBt9tIF93V1KizuS5O89k9R3u8Kn6EdwCk1jG5TGSQ6p+z8et//1jC+F+A9P22BQYmgkrJzjU34T
XJRNdayehu28J0zrZHP1uF+BWZgH9Zx/Hn7dWP3t4nQR/P/FB4yBIKIl9AjO8s398ObAVO08sQ3l
XHrmKj9pbrnpyFQ5Ks9yI9bi8aq4p+d+TXfdf+Ef6WU6idUh2vi4D1fZ//hu/tjYcIDwadeRKphY
DmmjzOVz+cM3MyH7RF0Vh5dQ3JCigzj7ue5/HTb/7U/8xzPrz+/x08Z6rrNOCcM05HJ9D8jem27/
+c/5lz+DxHYhbQNBqv7TXzMbrZkQq4rLW7mpgIXUJjXnryfUf+374jn/+/b9LurfCUt/e//z1Hx5
4W/NO+AO5D0aPnbjw6zy29B8aeslQ3OubObzzjLP/i7EM34RsGiJZmGYbSxIqN97d5AePJFo5yzK
b93Q/9XQ/GNf/vuNRvmiM7ZfHm7HsrBBW8vu+4dnPNRyzh/0Hee6qGA4nZT0g8ngANbIECQbcUL2
q6YnHvke6kKF6uaNOk0on6eWRDQ7Fem1K+AyDNmo7E0z188dZg1v0Jr8mPlOdj/p+XDtRqM8AX0t
vrZBOxy0bEjuDXUgCK+IndxtR/nuaxGzWUQKG6q35cQn2OlzKAicYSdHFnA9lITupdtEUxGtkNfx
2veW+k3Ro/lOa6yoI1mWKPB8ggUrbHBWpQUtU4s1dMRx5kahTG6yrPMftNgJ77pSScN7EZvs9bep
VKt5zygV3UJNCD16FpyQgcYbdqLvtFUPdIU+aBrsYvrCKKS/rWvVHphJ06J7GC97cbEskNCZGVXx
oxLPJsSOPpGSrGCrqldDrU9IMvqp+px0HSLdnsXmjLHPo7lY1eV0sNuSOzY3Q0/0tWMe+1Kvv9Bk
WGzUQoT4SCkbmqiqp7KcolzXMVNTWE6hxXS+mI077Ei93Gk9RVch469tnIaHkpJgPptx1e7tyo76
O24udTOhJobYG/JgDufMSadc2X58EP47EZad19+fCOf3+uv725+Pg+VV348DDULcsu0y6aQWQS3/
6bclmvoLpwSOYiR5Kn826tfv5wEnhY4YcKEWst3SfkTGW79AudElglodTcwi9P0Xszxt2e/9cAOj
POCvbrFEY4dia0wdf7r0dEUbIMEmyVUVRlsf2DqVgkibzFCI6UrksM4+QrE73EC4bImVYWzGLbYb
93vhx9ucj2BIQRaTrh0uMdsledsgK2t2DWSLffJhFBIglyesogxsR41/BVYQeyab/l2pYbqI0OgW
yXQdlbTHdaF98SX5IWy6j6WYb3Jr5Gjw66eRGRQgz3nT2ePTLIY3CwJdqRd8AUy1u2A0wUXYxc5o
nFvAiN96PqrrLM6IvFSJti+HNnn0IQzj6SWOVEy0/KN6tQv/dshYWlhTJXYBzDRkt/autxAqZMmw
8y3txShpzIdi6khfgbZRFFW/hlIQ70od+Z3DJIzYTd9iaB5+6pKq9XKzJEICfhFnErmPpFekq+4j
DHJYciHhMQSCXJglLhK4DQPCJUMyDNFgJUuuZLMkTIola1K2pE5aS/5ksSRRIhE2r5GN5Y7MGvUy
EViJS1C74RgEIbSkWVoV1ScQ32YTfoRdIvJCLxXbQFZJwsw1MjGnkMX71JOTCYSCyMxYrfNbEq30
o13WxrzKnIllDkm7VXQwJCvDPascJdloQ7KCY5uor2qlG17XkSZSxfE5RB/Z+dCYWoxiYa7GC1h1
I8zs1ogdcgJH8scJDEze06J7rprkVAgReJkctmlLiArBCGfYfOeG6RWkcLxBZXqHVe9QavWLpiSn
eGAKWWnZgx6Ew7pdVrpldaMF8pJnY9e6Ycs5b8ZTpK11HWraJTPDeD6j5yFDBld8UqKyxhnj75Mp
3HcZAlCQyjnDUc1eZ3PwdR4HRHkCyF7poLorlkRX08kxfdTmV1MQowVbMeFcbxtPR2PXwS+U2fQI
YXpk5ZqbHqCRGB46uzCf0R/73wx3m1nslCAjvwkB9hjx/4z5uqHqrOVUhi5Z7PkqNUlxJICsB7Ec
9Z4YxUWa5C0ktYlFsGSQJnCzWNHIktFMtXWU4uARmfbZGlWSAafiHm54tHImiEl+3kiWnIzIIwZ7
i+x31Uj5nvnBW1oQmMyny23jiQmGEt90JmCYqdfWqoDM0jVTti7UJeWgGJyNzaMvsHp6uajbwPPN
luBcBWPjQKski+SQN23x8N/98SHBMKnP//7+eMGJ8OfbY3nNb7eH+guKUlATKikhDsalH24PjcJw
kVFwfi8aDC6W77eH/YujmWytTXXJFWdX9Hs1CWWJsAnLZqaB8xkS0r+6PT6ErT+Wk3wBYVGwwjFl
CsM+6I/lZMskJGfjMl7L1ldWGMU8zuqHVmNdGWtT681qXrAPVdMrAJrsvmF/sGM73u262VddlV4v
cAq/XVWGftG599ZtChppkvG7TpEFyVFYx7DqX51uKB+KCUhQUqXjDSMZ8GxZLl2n84sHg7DPmkcZ
jxT+zyjEuxZUaN8GzlB4oSSSU1nDAvBVj8P1MZvZ+qcp9toYXWtpdnt9soHTd/VmNGLNsxigXVOY
Mi4C/s+KsIadM9hP+axF5HsPBZHqU75pZ4ckggT5t8qv4BqpVLKjaJ0dpkYyrAaNmydzst1QUrCl
gc6WKaf2w9H7qYA2twzJsEl12akjXC9xlJcB1f6qLahrwb6RMFYeRGesExmINdyeQ1IrR0Konvht
nosCPgN0PVIMrC5b5Un42eyNL6PljGi0iueAHdFiIUNqFgwrP4juW6OBa54q8C1zVbpWEOySGY26
YmXvnKwpjCnrYNUM79qZzELHjONNq5jBJvQpe3NzfuEPDUbCKu9ha1+MdHq1wbLqPsllRqm/+VNz
g3m4P2E5petsUfNVg33BBgfwzZ8vZsGftC1Hr5oGEuL0V02vn+ch+ar4JfrjMDxAP7paA9FMsmTQ
qsICZIWg7YEjmmx7wGQOgXOlxkKukhk7q7FOxZjZ60Lq/spUw5cymG8NAyhrJXHMjTNDlo+5K4Fj
7MerxL7qk4j1VwGcbNrLltRG1k9HiKMzwxksq15qEpgVSvNdAYERdTZIV2XafHBUfSc2oYKmhz7m
QpAmOh8WSicGCgzeFseqv0g+gkX8MaECsRc5SLMIQ2rT7N3eBgtloBqptJIA+0VIEmGwXdMLMUxl
U2clM7/kRXiiTEhQQJqq2JGRpQieVB2dSroIVvrI2I+LhIVFg3jIF1mLj75FXYQuRHrjUFjEL5o/
uPMih9HRxUyTtosWoUximg81yhltkdBItDQsdy/AR6D8Gaa1yhbBjUR5o6BmvLLMIl5ykeWUi0AH
S/p9v0h2/NY8iYjJsrPIeQS6njrtEPig9KkWyU9VRPyVEAGl+qdG9a/KEGyGRSUEqgS0wiIccrJ6
y8AYZhRbHRtxUYjIyAYPgzLRYT8g2bBk2ecybA6jJKYiUaTtpZGqXlm56J7P9OSO4CsgXAbG4M72
L32lFGxSrbU2OTNT0J7nnLpn5YMsoGXioqvK5ACQ20bZpPk7UbXG2m4KYzsFvgMwrGr2ZZUfYfLK
9RR0+gFv/3yoYlXZGkUl1kVV3loKmWZzMpEQHnwqlUy/0eJoZGeR4+yHdeKGSXlQ9MENxsAn/618
qWQcfGvyzHNCPsa3Mo7f53jGSJs7OsGH/92fH/fn4vj4+/vzXOR/cX8ur/l+fzJysYF8aAgfwAd+
GBy/d19YsUic5fo0VXTcH5Ls3+9PyeRMSA2lxf/XX3xXUiwIKMYx6A2Rg/My69/cn2ip/tR90X+R
z0O2kEV8tvxpHNPMTM87s7MuBDLOJ6AEomygiISV4UEQ6GHjzH7H9kUhZCr17NaXxXkSMCXWHdnb
q7A1RXomNVZki0ma9wjcBvGzsfYVQjOcdcCqmpNgHkxyJ4c27oLnocuU0ptFQLbNKkGbUO4bEAHE
w/SmNd52qLZWMlQwE0u4G2435s+a6Ng8GfoOxxDnWtNzYffsi+qoBg4RKM3G78RDnDNVyi0kChmb
7EncwXTDkqOSvMN1dSyL7JhX/kkdxifwG6yoZIFFpsy2XblPswCxYkDpGVlx5CYSBlPKAYAxDXRe
58/swEZSvaVzozKhWXGfErrZgFwGU8ysBNDqkOEZy6c3banLo67/1I4mhLwgBdgqTA+I401T5NNm
sHrWXx2Xt99XravLefRAEKQe2xZoRmYNKUtoa/bfmJc60gQHu38Dk3BMFZzxXY0fJPPVt3Ek7gTn
6QZlyC4yiTwBmXrCS166UV0/IRJB2FYNp6ZLOrePKLbnQr9XDEjKstM2ZGbD4Mgylnl+uTdC/G+j
UVxirbhD9u36sjxGLBlCshFWvQ3CVkI06tJXOA4khYc9Hm1B1G2CE5W8bkirBwO7Vl3aFp5/2I9a
O8YroCvJxp6ksoH2cc4UMlaSdNnNolVQg+AZT3rskmkabXXIFeChg5tRsqY0nNZVq/bQd9xslaif
g2LJQ0zMI5PA+zYY1zCkejQGRKrl8V3AtR+ZupdIMnMtpIVr34Q9UEIA3NWJH7pidG5oiCT3ov5e
pGqzU0ucs2ZeXEwV/mxIfEiuJ4/StJ6yuFoVZXVVwrJ0pZOAb0+dmACUeBOn2dPAdbCocDqhv4iy
KzxJx9wP6f2YmPs8qKaV5Yc0ojar3amJex50LTyyd1ZROMz4CobhOZea7sVa+zz6w5NqNNSP9K74
GLaAUK5xYwIksVeG2b4S44iekXQKQqZgFlQJszZbBeXTdvd+DAeliFWu8SnYB40REE1f3XXW/JLY
wWeQWRErYfgSDvfVOu4N1TVE99hHgsD1BDFNYYUHRSkOTIa/IK1EyRlUGnJB9Z515CaqjYeyEVtF
L24GLt3VGOn3BuhnzyadC34QIPHQOEeyxJefRJsxSp8jg1o3V6cvWTCPu2QKdl1P3JMS2g7KwyT3
GFgU+MpyijkUkdMi8EnH2T468FY8Mjq2gZjrhbW2yQbJQ6oBh0RuZq0sZYDDNl1V1XiviblgEFpd
SikfcUOFB4ihpIOp43sSOXexgTXDggMNJAaKejNP3wa8W6u+R77gB5rh0kjYbtks+gzJztJPu3vW
kDw6jL1A2HCdF2U0udVUmK5RhLskGL9YYZsDd15UxpZz7szqrCoGWagjvNQRTS6CSR6oVm5Yf3yr
BxSdRbSb5uIll4G2tsJqL3UUQ+WoHkVdgToald7TOuvOGDVjH2AKWQFlQ3aixWcVHQeAse3Uxkda
ntu4Bvqcxvuwre79EObI6DRePtSnqfCvllI+lHZI3BiGTiAfgYXKiXOvjhgy4NSAoNEN2zgpnvOi
xbQ3MNpOQV+a/lCvBzQtDNuGJ6dpGaMU+Er6HGhJHiUvo97qfBxH6HLUZrgskEyPGuqeiVDg4X2o
GTBTfkbrfDKOoZW9jFCFtqrT3ad4NVHXFE81i1dXbwC/khsbBsjNp0QKwELmXjTFV0czPmOAhZXM
w1Dm1kNZ8wdjIUh8WdoSdRjk1abK5E0fA9zUsVMqwaAgdOsvppLc8aMi6gmvc2YYG9NYdqO9oq3m
VJ4klzvJ0WIP7i+CMWuPe2Mw77XS/xRKBBV1Gr1nhNdQv8LIV4c5X2J8HvV8wSfJcV4ti30K3f+q
pF+rJBr8v6+SLu/9l7cvf54zaLzqe520TKkFE2dQpNqHsPSHOQNTaltgdEOOusyKf9haYWbX2JQy
P6ZYWl7++5zB4esxfmCoDOVN1f4Vsg1UxM9lkiRPF+c6WyvBGy4DjR+3Vug7Sp20kuka5Tf6JGkB
/YkTsXUeRwyiKzGhV3G0/ATE8Y74tNepTBVXct8BzcUsNUUN3U3rHJrEuSKoLBiHWa/Yx85p5zzN
c/WoD/m3rgs2eNQXtqZ8SUss23ZjaS5P51Zo2akYKO97v3dWyaxfBgH4JWVXv6qs5MlicrzRC4ut
v18hYCT8FzjbpyRFXT3Nr/jYcowPzm6ousckam9qx7hENjGljH7uM1IeimIMLuDWDsXQl6tJaY6q
HXfuCB04Gwt+5hnQk76CI7/v7HBD2oy/is18k4fKc1dGJAybK7S/lxSB0WwgZMylJBcqxwA/D53H
DbSp7IXuA2eR3RaSn+jaJKqF1a2a7mfodBEOZVctG/LnR8QWsU7GlkWmS5ArMapC8yWbUYPRoEvG
mSI9yCJyvGqAiaeM/mKgAyk09F7KtsNzJgwxA92YrnK0T2UBjMh84tgFsxxwsd07sqNNxENXUN2N
FnC1R3UY5phOmZBmz6xagenxI4dk/DWUJFwCSqByLms2OPxWv07IMBHpuJuXUJNuiTeJA7Jgl8AT
uUSf+Kb6aCxhKBmpKCXte7rEpPTt/HleglOshgcnJEulJVMlSt9rElZoYqEQkbkykb0y1jJ2LdJY
Ck0oRHGUoFNlf3YEkS3JpB8Z2D9PhnXIllCXjHSXSjWrRyNr7oLMwFiy5L8M+04bt2Mc+5SIPiVr
5O9yfOJuUOnHaYmRIYxE7ieFEO+ZjBmlr22G+MpmcLStiHqKba5om1ya2YGmJ4rSYryee06vIFEk
xSZizbkiX+Em13yoX+ZmIXkiCeue5jR9TknCKXR+Z/gKPsHvRxybPE5k5gRZfTMuITpja1PCzZ+a
eiFUcdcS0CBJ/MjW+dgesg5tMKiSTz0AupyMnnaK1kAfjpQ0nkqGDyjD1vN1RCnJEvCT1ukDLoXH
cIn+KTuj4VtLjgmpQCX56KtWvlTsIZCSWuea7c0ckiqg+8/qEiwkpsnNSBoySRwClr6RJBDpBoaM
koVwZc0atTWFf0Ve0Zz0F5JYNkn+lix0uh5FXTP42yJiVOWkBkWaOd1EYKVtgdTQQXnKezefZhRt
LhudL5nv52ChktYVjYH6KWDj208P1oxXZSxSyH+1fMjz4Ij+5mW2w3PqjLc68XfID3PkxM6bvxAQ
HdiJlqzQYGU8gP5DGpMoTD7xuwn1gg+U+sBj/Em2iD1Vv7i0kXXbOPqbM0/gWZXhpvDZqWSNSqQm
1AUv9HNzlVohvLy2VqG3jyn5F85dknCusBJGSNijTcomddjklvM6+u2XJK1ufLWml4ES4DWDoKuY
Kgc3jXks7ca4mXV7C/I8ZMfTV/F9matf/UnHrJnMj3NRnPQ5eFVz9dCl3bRjf6+s20S7hGzQ0FiF
zWZK7XzjJO17UcoZ1kPIYn5JkMzaCj8J9LUVkGW2CiYBmb5Rn6BAgZBUD1FHCGHY3tUBFHYx6Htr
Ni5jpxyLjJ8ySiqPMHWxMmfFQNgaeHGYdS7hJd5/V/6vVz5Kqr+/8q/1F3wmf3Hl86rvVz6jESo5
wJ+AmdB4Ldvn30YjGDVxvGvc7rZp/oFSo//iUAMgCkYWwXbhj0IV9CuLhZ4vi3mFhcS/WEyzEv7p
zkcUtghhkMpQh+qqjcTmxzufKMcpGgA+sR4kiEqf08RhYeD4R2WsxDGXDU5sRUzdZyMOD5E/vRDy
N7slUgh90UQoA47KHVMTeG2VLmKCveFtjHGEQ4phSvGEyB1pBUE6yCzyRXGBGxzxBVPG+ouBKvm9
7YRfk0GORMPElEwGAFtWzkfSZqK4YlOBmNhNa6PfVDXzxwN9toPvjZbnw/qRRCU2kHhxhIz4sRX0
gnym6TOIBu6JW+AQgbi4spZuVtGZBKeLz6SZsGmHWE/SjqQYrCiNKfBzDreqPp9CrCq+rpyMIt2r
WFjGCM6HaUG3nBd/S9H0naeRg0k+jLUVpXIT85m/K3372C7+GGtxygROo57yhkxRTRmS9WQBGqhx
wmN06K5j21yVhFzkIcDGPRlUD0UxrEMmSySMWS3M/Uif6m+J3t5HqbhHs5SZpHK2+Y1SJfNZN+gc
iY0LSiv8VKDclC1+HUAy595Ig5VehN+wCsauVspgrRVMZJ2OakHP7hXLHDalze0gq1nzahx4tKjs
TFILfDdViz9Ly9PUPLz2wcB1WsbdSmf80o4KkMaBnac1LLOveqU7XY6CGddupJzVWScHR2Wf2pXG
YwOHmyOM2DvOtQ3W3ggoAiTDbq7Z1csS2kfHaF9VnIh5vBY0bjMB4Prho/gX3ibWeT8oLj4kgGiW
TQsrKgU3ytg/PthIXgeROE180URYbiCWaV8QydruMCVYnP47/349/1DI/f35d5N++fpe/8X5x6u+
n38fLQ+Nr2VZ5v9X430//yBYk49Fv0MSlfnhU/9ttUo+owpIj1kyEg9VLLkQ30fD5AaA1TIQkGqL
mge21784/4gT+MNjgjBHsr/FirHocjSTE/CPj0lPWJ/Roti6tkRREMCL66uf7mTR92sCfa9EJsZf
+YjlBFfrD8wKKJ51Bc+wHL4pIcRnkDp0+gqOHZuAvTy1V5kEyYlv5rUO2C+NqaxXyMfvENkFNCKF
vx16/2xnjGnCUr52enRv9fNziK/Y1VLmEyyv3BHbx45cq4O+eO4zuQw+nHwzp9o97+UNLaLBmqkA
s5UJn4zdQcqdrXObOI8GJD5WlcFb3ACvr/1bYYzXMGh2JF2VSwF2q4VCbAxbZ7SImWPUyGNmum+t
pAbDOUsB3VGp0a65etVxoBtsK4dS3akhug2nXZbDUWuvO5QYaz3xtxbDzlWhZxyapfFQOy0CFsfr
dH3dMVlbVcgsyDef9rNKXkmbh4Q+ivnJdN6ywvdqbVy80wfZt59wKEVwbvFDGHpEZt5Ef2f14H7M
cXrvRbHvVQnhRAFJIsKnQOWQJ27HTe2UYGtG5LiL8UrL6xBJ+FiBGxT1U6GYr12HCL9ItsrCetUl
3nl1j2XlFo4wGGbTurP5DfkR9iWlqDdDml5qw4FIK16TkYXhSAYcYkcVpLMcHjPNeIlt58LZSoYN
+NNN2anNyhnlUY3tByXVATjPgv0xe+chj4+z7j+WY30pqcqCGotKk6bvRC9+Hv8fe+ex3EaWbt1X
6eh5VqQ3Ebf/AYCEI0DQu0kGbXp30ufT33WoklpSVav/irjDmnW1RIEEked8Zu+1e+WmMrrDGI1X
rWevIYw8dEryyhyWLtOa+qWoAI/MCEt8vak/nGm6VjvAMLXpHfk1HYbEWXEnrgLzQ6ss8rL5caSQ
tHLgmOlmfF2CRbQTF2d4SHp8QjiFKMono7AfDbxHcCHHZ7MDwsuHHLN4iHqsb8uD1mdvAZ9ITwAy
BTMmmSL7zp4Il2vfeoWQcD0ybizkSyFHP5uTmmXBwC457ccVTupoIZQpWSlRR6Kn4cq9QXqXtLxJ
M00uAC1AeGauX7V25QOd2rJoEZ7ftEW1D8IhPNe78m5sHnH0GDxzjzmABtyYzJRDbpS5NRmGTtHl
NAhvF2CcQbTVjBuUR4iAusFcdrWWMMOPKH+V6oN9besdoFO0lOZRkEx+m6f1fNt/9sQWlj+61RB8
1DUB9nSYSmjcxWZS+iY9tepZZO3QZY/k0K882Xe7CVd44W3YD9CSE4i8ageR7ePKdCQJTkMBZzyW
vZUAjONxyyI+0sXQkiiEvz1Gvij58qvQ9cZrt2ICwEr+NEbzm7x72be6K1w8a5VZQpfipJyxs/oF
/tIVs+515jjnowlah0nErLr3MZOJyLWCRcuswm7bXczsQqhgM5llZHG3rmT/OjPlKKuGwou5hxkV
uGyYhKSmfc27q2Fyw0aZ0KcyM5GIYmFAIA+D4aWxzbuyJDhddRC3MW9JQLgv6nqeIc7Gd3DQWDjN
KFAQx5wPcmADiG9YplF2UJnl8P/qDOalJbW1cOYz8NFrxRdG+jExCaoS566q4yOF3YtoZiw1OXG4
zI7srgQyXUfGwmDsgRwaRoEaaC/qmFy5zJ745TGESpBJtalzm/f9wBNitEtrcCO/xuqBMt9cMeKa
FwntT9nyME08eg6NURPpO2B6/SKmZWLpxNhA26u0UgjzDqnsrajfW4wyNv7jPvdA0+doCh1kd2au
zQSAt+9KNLfr0qvRbXREBlQVGEDZz/Wys9Np8eYweFam/BDR+imyB9TG6VWRXeGEwnEphmFbNSYY
jYkRtRPWr0OJXVYRQDto2m5jFylOVb3GOFyWoa7mN1Altkqh3zp6R+x9xW8jc4I1Yw3o7gHllT3s
wDfCk7I7kqi4HaqWmfMAaCHP+Kw1eUfZlqmhIvZClVGuFGSFTzvSrJugbbwnPW9a529wqfZZEZlM
X/9zRXQN7+X5H0vRzX+siuRXfquKEJy5lDG0cR4KSEkh/VYVEetHaIa05X9VMn9dmDuMiBnLAusj
wQPWL7XM16rI/g0jDRxQByf5l4LpL1RF7O1/rorQmxkynw+LBdqzn5k/Hk5N2hhSYYoxLtcwPQQ3
daZzshT3MVp+X0+YnTQ60XZZyidyttpdbWnIgVmalXk+7AeZDZBHaJBbtduGJZx+3o+VIUqDRIAu
WXdUSYmTvAyBYFja1zE7mZzhFneq7+QWlqhq8i6iOr+1BFu7ejAmGrv5MKWIQsOWEyO+DxLjJs/j
4uRogbIsR20gRIGeRx21eJ9n0X2AHMhPPe/SZYcFA0B/1xSBj5um7Kaova1tO2dJNU5rdSx8pRmv
am0ATlJlZDTU5z08FwBgG0ttKPssgC2OzHmzWDtN5bGxHKq+1tikqhdRMzWvU0yRUIZh7zsMn5ZG
HHBF1temN605LemdTLAFQsS7PnOeNI2kvmEczvuwXunuHO6CkeVON+bbqAQNOaaUd5lIOcvmqyDU
pq2laLw1XdyfZTFL0dwKz4GP7D2Xc47YBX9ulbckyTwuktrBQR5vhnmIYXlRgSp9is4qonroaNW6
zL0wQkTLBskCxLMwNGyNq4RhYdm86W754fDPgVeWdxKXYqQ1z1FXmMsmcFhbO+0qKTnYDFz2C4Nm
vsz6fEHeNBbfqdm6pXc1wWq/qHONfJVk9NVaq/zYklUJn+ENBo0bc3Z6aE3eCpTjLahlb1/3CRUv
Xl67Ds7VhokyJJ41fIozGG6gZ8tVm6kbTIzrcqSd1az43jMbc1OMzAcC/JcrL6vXc+wcp3p60Mt8
bRb9kzlM1S43+isokQSfz8M7rzz6o5G9906tnYqSGJJamy6SkcsTLufR65Tg0BviRRNYwhkR6rs4
LOyniNgVH1GBB1KqAJamzmsr5fIVSV+ds5Jz9lVYNpcjiDWZzCoH70aFg4cO9c2t3AFHosGM2VmL
aty2Bie4hcfbCMSjZw7IoCegsrC7fchODHWhxAysWjuLt9gNg42SR/OtUZWkiOnTgD/ZuXZr+6zV
pvcsqtOVllpXWYDQzp57QgGY3JL7qxE65ac2cnOm4W/JXHm7tnTeRodS13BnIrHZ/q1Krblsa9bf
gTgG5AuvHDFUe5gSMLcdIK+p6SNLltNTt5OXGV8xQpEqhnCCBRyQNxNcZGLquCNb9dRHHdidjnzx
YCYZTS9Uf1btmugC0mu0HuFqsR8SvVnFgf6YVLOUMrTtAXmFejQGYb2rapDelKpZbbPenRTW2xHM
nr/79c/bSaYw/efb6QJ/+3Pzx5tJftW3m4kVJaF4QOw/u+ufEJ64v1k2qpBidBaR36TQZEeZ/BHR
Ulg7f59yfr2Z2F5KFLZn6RrdPlLNv9SvO3Js84MU2iTsiIEp/TpmccP8aayDA74oDHKOTxb793SL
KQCaBbrTY0I0uzk3l2403zMLo9pssw1i1nsoEA03EVoAAFueVNLGFMCCWZ1vlOLS7kvSMtWzLgiX
NhHxBhrYudtaifLIUU5LQo0dnjQZKw+zzF0ia/VWjjbj2m9syDTT/MY2jjSpjtWRSUY9bM+MhlrB
xz20j3OJNpk1ysqw+gv2OIZfAxjgz9WzuUcHgHvwSFKXTZmZ3RVKBwhHqO9x1XwMs/7m4nEmqTaN
gNaM17k7UmCP5uMwKfdiNpnZzTKahjyXfvbOC3uazhRCv5np9vQseFnGgHaFa57/0XwwdQNIPJNa
22vE3xHQmugxpoyAhzWPgI8gnXpV0we2OlEDnoDEwdgaBC2kF60CpxUw+ofJXFqpOqKGJk6lXVXG
NOxEA/b6WYtNYJXxiGuJuNUIGQU0SYR3NStGpVu0JqxJRr3skT/5k7oL4kAyKQ29F6S+SlLlJJmV
0Se9cs7EZS+JluTQ1guqXt6qJmByK8mXkWRg5pKGmdcEakg+JtunwTclM5Owm9RvZQM4SqJmINma
tqRs8tk0F4kkbyYgOCPJ4oTrz9oOmdAxkKTOweuafRT2zmaUHM/CzMhTqSXdU4mMYKOl3YcuyZ91
VHfLWtJANbCgPb78BUUe8AzJDNVI0oN+DkfUVO13T5JFu3oY/ELSRllJ7zIV/iji8+zCNShPQLBA
J1XY+XkaAeCmZJemfWNt0Ce+E2/mbZB5Ec8uWaeOpJ7yztHcSBKqS6oCeAzoqIEqU8MkMbWQ7FTj
E6OqSaJqLtmq1VTgbmpYWjYS39q6ijgbJI01HOCyelFEJ6O6qPRR6BEUFpmLoLE+EDpBfgbtigjI
2EjFIyBYSX5NvIou33XNFzVntcxgCAKcZMWy8SSLsjJ7AnkkSjaRVNmkQFHHMxfuBSS57TCnRetH
nyjaUVJpUUSK5CNDOrilZtYvS8YRVETA59tgVsWZQb8r1PEmUzTU42qGhd3w0nWZ1XeT4oVLdcba
UHpDCZePwOe+eSQv5j4rCeEKXI+5es7CsM+xHiUqfF5nSu7wS1wkdRM/IWaGVBOF0WHqXNRoVQuH
oLskrt3l5s6AphSsHr3Ofo+y/olVxXoI3Wg5esrHkLRSXBc/Gkqyz8zsYQT/u0EHRHZYLuQh4h15
K3YdOeklz6kiZ95t7t7ABLqoNWykGlivQpTnlPSvuu3d95mCRVaMF+0s3J0rxLacm+tm9m5BuwTk
WtBtY5/AIDfF0BfiaWPobPPJMUYIkBdnA5N0Ad4+VFFXOiHmBWLX6jOLrCiW45JSjEy9xAPgBCfX
GI7KaNQyVc/lSUFLhdOLhjvOCkKevPglcVnZ22mbbEMD2L9jdgZJwp65t22PCY5NppRp5S9eAywj
V7vCt436ohyUa4QGUoqVxvuw6ADREnbjp5h8+ZaYR0xKa68Zfdikfw7hZa55dKo8LpefwN1ZDRgK
yhdtK8KgkiD2NhSD8VUWimrl6g3N+yi6TZOQDKdYo7epTG3y54SxIrLbjBPGmTZjNyV+0MTGKnZy
0/fmBG2dsD5Y+8yr1Jx3aM5OrNLPciM5WJTcvjGo+sYg2MQ31CpYExgar/EoUHCSArQy8a1tdXu0
JDKC6UE2g4uI9Y1ujBz1Cd9tlPPU6gOVSlYYIfGexKBNFaeUWqM/GSiWLi3RW1vSoMNFl2j2RkmQ
RyQ5I9eaKNQlCbEma+7hd7bK355hqV76z6UOjfg/9uVz3cV/giyXX/pdveORHqLi0/95P8t+wiKv
BzQbMDgTD/C3esfA30W9paNa11TgebJ//1rvsO8lx/rLP0aZ8hfLnT8q11UeALk7MfGTYc36cT1B
b56PozmJ06SwX2OGhlSa8X7hJkBOo+IUm/YRcUp0bluCHC7buqwRM5CQqF4ZgXmVCmIRWckSiRbt
YJqfRY627hk6p9hblX7eZ4V2cAuNuArGTb05oukyDiqB3wujy8/xVa+D0Dk0kbIuJ+USDsutMxX3
xFjSndXvLtctjn3Iq8UuRSUcKYr87Bs78i7vBH2KYqqXU5qdd1O86j31fGTOzwpxPNjuvLG49olB
u7Xo/UnUSvxMDC9e3B4DTvdWGE9GmG36tt0Xgb1uDe+sN+vzIIrOvZJLg44kjKrzTmc1UsJ/GfV7
x+QBI/7Cm6aFkpanREsAdGg+yJxV3cyrSO0fvbi5iKLuGA7TsucqN4fONzL7XEAf46BuhCf9zAPp
xV23J9z3Gco2ankiU5KedEmMb1aDJnPm+U1WgLkWdiWugQFiEhrjk8TW4OZeaYl9azX5dp6aq9xt
Xwp9PFfc4hwUwqG38601d/tcTNuuhpQbVgQeVmi0Ea8HHiQ388qJHHRxSrVtnYLjOCNwuaMX0yao
MUH6bJTmlVfZy4iFPIHJzqlT2kOo56s57HcCUlbjKFeJB7pLDe5M6aIl89QmcGJRR8jGKSG5s9V6
6eT1MXazgYluPV5mUxesyth+dnpPbKqaKEFce3htqntd58LPh/GlsGxAWUKEau1/4eAHjSuSLbiJ
iOYSStbJnGfssolpF8amFwXYVm3gtz82O0sp1U1Zg4dUCJRLy7baF7bol03NZF/LNOM4WnO/6ifs
zSD/wNtCi0D4NCdXuqaDqMCshk92mxTo4eA9uz4/0rws9HnGHYgxkQkGigFXTRCSD+Y26LENN/Z0
HZukwKCiYb9toLqeO/LyUL9TNYbNLQYszMA2lXeS6ZexC5Jxhpdv4ZHzFP1G0YNXyIgwC83TTBSs
KVKiYdJhlVJEomB4h2l75A64V+BnJEfRtb3P36U+pItnPBJiQisvmUfcDR3TDeDOLaI5GyB7RLpU
UpkvTLMwUWOqWFRN3a0a0zunGCZ1dUzePAXzZm8y+e17aLKp7r6HlfdUTPqtZdnvfP9Uc6XaYIyG
92dUkJa4isD8FCCTQGAzVWN1V2ViZbgxzXm+B0t1Z47TR+eo+8Rz90i/kbUrnR+H0V086z5pN/X5
FAw14ZnUnXqn2McyC66J5SKaEJu6r0e9sepMI1mQgvIwgOVYNXX+ppRy1TQOguV/WKyTdNwFSrZJ
VA/l5NzTCkVyvjeeYtV54SJ8Gc2eUdqY87l17K1h9xZfmQFuFgrtm752Ky7a2tA3Qak/tDX1JccU
6zuA1CFxwp0dP0whCkpPMV/joCZ2jz7M69oXhVicRkd3MgYqESDBPcHiCPGROs86/CszlaRuRWfd
K7rFLKqbaGDXpSbThO6d3/sYBA8grDrcbYHD58tYQzFn7eANPKJkGkEn4LEUpJ7z7RkfuYr8sA9C
KbUUdJfYCIa83sXxbPO99XskYqcxp8KCvkWhZuwGwoOitifFUt23A0C+TIFiGrM2W3TqeEgj9RqD
35lVRDfahJScCLNVwaBp4ZqDsbJH5YBvUgPKkt6KiMFinFfOKnMqJP5RlBZrMTRhtFTKwFxgvlEx
WvTRzmwpaTKgeoXqKht1pkecCgxCRZOXa0ajyHanyyonmtbRxuwyLkH2/T12+TJ2+S9LgVfxnBMB
8CcuOkmO+laKaL/higX162C2/QIu+rYU0MD9o6L4+id81delAHoIw2ZCIDFD5qfV/Fsp4v6mMpLR
HDYJFPF/kWmEK+/n0YvD8Ed+dxQj6M4+45m+gxoZSV+wqRsZkGcuDxFq8bXRR4lfJVL9O7aoYtOG
HsEy+8chyc+qhvLcVl2HfV4cL4MJimlQuNpVGNo+blkWzxPecluNlTO1nZ+tQJ9BzLbvg103vpNg
1qo4d3hS7SN+U0IDe6OmdSAqCSSXn3BetcAqBpU7JuYky1t9j8XuIx2nu4GTzjHTU83JR9jb1ouR
UHgJfWosj8eE1K/FLI9MlMyEJnuoDNCwvCeOeTvYylPaK++DPHAdwqKX44BwmEnxG4He4SJVlfNW
RQMG0gMfRwrLv/fsl0ke51iK5ECdIqeXh303lXeRPP25BexSpPSe8mKQV0QoNl14DOOdXRlXdWMf
Da6SmXX2VFxQ6DEZ5p4hqHQ9j8l9XjOb5h6KCuumlxeTmnxMoVS/cmO5gnLH7bCC99xmpYL5dZIX
XJdF2XpscSTWHn2e4B7MMaesWnk1gqFPlkYWCTQrXJxzac6Me7lMmwA/Iy1aszK5adMIdXGuGBtA
JMmVpbECGpENL5IJGYAWW/3KKhXjKOQFzjiBkb6rVXuiEFgkjNnClBc+pvId8ol4JQxOILNLrG0X
eFN6V4SKEx71Zs7vcYOh6ssQtfH29TNp6IzW+jFmamK5H40HuS/qT1HLvgnpAtvK9nNzKUhRfsNs
5SjYquDXx6YWrK3G1k6Oim+YzpnyRVIEKskTyCVZANj/nWjjkevGe0olfcCSHIJBEgmUCjaBDqTA
K4adkVsbkny6TSY5BgKggdLRCnaobP0xmItNL7kHucnOymn0gphXikxJR4CeeByjqYRWGBM2YTol
DkVoCoXkKrgdhAUuo5dGMhecVO8Rv0fvlcbkYjYn1Y89jUpRwhpUbv5csTSW0m23FZLpoAs7u67t
Ojv1pVPcpJL9gHc8onKH2wAWom1tFBndDAAhtkgeQtLRBQojAqODe19OJ9QQwZJs0HGZ40j0rVgf
zlpbI3EgBpzdTurzGFTLOhruqGEqoiDIS6N/T1YhW6yFPprKTlG84SlNhmFRzHWwit222ODSTF9T
hILbrBsYJNYuMTfRuO1nlEKipVhfCaIJFrblicvB0IJDFBru0e2n8waRF3JyBdNWGfNk5j18CNUd
V60OZ1hxSSxutBS+sDXO/t/30Zf7iDby173xAhr1n95HfOW3+0hldG8z0CeXhn/2hyW1BjofDR7X
gQz88rgqvt5H9m/SjKSr38b9364j+zcNuR5TVltjoyyt4H9hRw0G/+frCLAK2VsunnO0JCwZfmyN
m24C+pC6CjSfHCo98jCZIV5kdoGJoi3XqTNtlcY0lojeL7mFPPzBwIEGoB3D1JYrjC8gtrCZonFN
lgwIyoU+TMGqrt1hFTfNC+y9uzIZnyq1Pk7Q5ShS3UOVZ8I3yU4KKoO2SmxyDR922IJT0omVsGrj
FR3ssnfsBoS+eumpoKcGl2xBkYh7dXQ+RtMe18lQXed6cisTvfw5RdPSKSj/c69+MDsw3rFWrfIU
O2gSVjhiS2Vd1Hg32V5vhlThZCX3fdF0+Z4sXLorsi64zwaWFqtgNJ+qrFemS6bcbr8mGWtgx1lK
nBB4MbVi2y65Qx4ucFTH3rqSTKJe0ol0ji/8oIbfS3JRKhFGkmXkFbiuJd2oU5O3FtwRw2aY+5KA
ZLTnWX+rN+C+sYp5Swbo9PIgkxzJTtKAKJEOqjBehBIGm59Wr+zP7KBp9rVavNQ6KfMrwu4J1EXv
xpVs56Z+WadhynrBsVZodW/UCBOSQ3fWjCheuK4fCrO8Y9hcItweywO3/7RUHM8vHFxnYbUrsvK8
0ZpNLiSS19mPVvDATovhSWpMu9JGelCY6k5DYbWI+Ll93Fo6hpUSwGEGwI/v594N23jfSykBVtZh
4Up5QUCPcCJW8gbBIX6xilW4h3zAzOMW48tQx3cQvPTMFxlaWF8jDHTWp0u1YVWv2o1c0SPkE5V6
HaLBDGpR0HkYpzr01sqobykBLq3E2QWS7Nt320hlP9u34U3r5qfR6zf6qE/UHvScAK2bAcpVAlLH
zJN7yylvnDLaDFxtuM9RRYpmO3bhDSScgxjia2ioD3GLghPYCE1uVC3tmkZljkHL94O1RgKlr0dn
OtgEpp/xK6cN6ZJ3cisXveB7U6bQ8g1jAFWrQ26bmXLP1pMuWK4UKvKzLjuierrKrbraTTToB0Mx
r+NueCkUEkObG9Fp2hI/z2UYJauKEW5RzXtha3eqlwxoCZJNE4stJm7G+KzDgLs/5V1IwI/DpLid
uFLrCrFsSCSPglsfts2zF2ilr0JYnu0ZlyC1AYI4ncusbBQ22iP7A+sFire9Ap93PYfRaSAJoRbD
IbK0u6xWNV/Vp3UNL30Zp8p5oHqbJC/OO6StEv380ge4s4iOOXghHkiyoc6yjL+meWdD27WLQeQ7
N+wOfVuc8TdnfxwNA7ee1S5Sd8gIcY2xIaNFK/KrCCyGDtc6fEzApxVWgnbXUj8Q5m3TuH8kgAAj
Wu8Tm7RJDPepdYtj3oEbKLndDa1bos3YirB6mBy57ZEl6GDCDNa7K1ers5U2YgwTwniIO7EbyOvI
lD6AbmFeGkm4I9vrUmecv5zm/mj1KA1Gq9gEBQsGT1QEADqb2E3viQY+hGpz6xSVusgS9aqNZARE
doyYkhOYd5/m5jWJhg5RvP2rmUuDpyDUQ6cZyLtdOCFIhti+zXQmVJ5+xYdkX3aUs5FoT01ARJOD
nb2DF5Hr9YrRR7buGxWZ/3CmeICImboj8VF2INa3qjAZ/5E9Pg/bgZmAR+bi6LWbNpsv2z7Fu8DY
yjDE2VjxkXUpwPImuw3U4ikd4pNZW7sWqHNjVnt2fGR2RHd9E19bbnNjmXrGWidY91a0c3r3JVWr
nZaTtzDn5S7Q8Zq3xR4CFU+YNhyjMj2DO/80ZsY16m1wD5jBNWA1y8RWkZzG66KqTlZensWO+/F3
bfKlNqFW+G+1iSiexVv8Z9QZ6V/6Wp9o5m+aIUUFHj6pz3rim4hOAmlQKdAXS0czpul/1ycWf0IR
4iH8tw3b+Z75afxG841phAqFosf+awWKpkvrwPdSBZpQ6hwbfwEds86q4McCxSPmpfL4+J0rqauj
tYFN69Jz7mzJq+0/0bVt3QqBhkABaYtXkJaYuVuT3E5Jih14lgDcQrJwycsIydgAbtNfjp+43A5r
mcwQGesZku6Y9aSELeovlF2A+jhz00/8Lst2AYu3/QTzum0L1sQiAIsoa0e12RPMyU2OfuuWbi/R
EfOp03WkuRAV9SSJ1hVROHOJB2sLTgs5s9U5d4XWs87nsO7vKsyZYCetap6WZkGftFSaulimRoW+
LO0rdOZ18qhYlbU1PQ3YDNrygN5MC9kZuEl8nBu81oBe5jxcurEdAGXT4Yuo+ZLNXHdUFSc/d+yi
v8oxk/miS+FaxE7RbxFpWXS4tQtqKx9nnNleOXNbdfa4IDPHcog7y5wrFNqwDuY2j7cZORevua5A
TAjNqSmWk8olqK8RdCV0JqbRpeXO7Y2WvQS/EARKsCse25jOj3U8ygYz0di4+Igh2LNAGe5n6SEf
DFJct17I5tqfKhFuHEYZl43okyccG82l5zQOSBVbo73FM3aTD9W5Z0Cmu8Ca0DkXBTnxRLI20u8c
BmVX7yJd69jPxnrymGJ+u0HtlnWURjJraCjUONuqnzFEzNCJJKqp3sZ97sTm8G4PbvjuyWQjQKPB
OgPRJ1OoST9qFHKQckU4CMnj5iEytEqcajo5rqj2b3HVF+mvgQvp1yfXGkPoa9y8/tmgjy/+enAR
66m7Gn5Q1XJslo8sFr8N+ozfiPqkGZEOTwRVSHy/NlYOuEn2kBCpv33Vv3eO9FWqJYNk/jou649j
PgzAJqcfqxxS0VS+8e8doRbRDW4SiPk0t/c14eZymvDdG8OdPYVl8Q+YiheEKLXNv/4p/4V/H4wI
lflXVZdgZ1P3OBc/B43fDRIZBNjVWBnaqRkVDAtrK4vRpbz1/fbXr/PjT/LH15Eq5+9eh9VfBQ3P
QiuGmlQTh8F5+/ULANj49U/yUw8aovXRO56mkz6SC2beOkg9mGR4Cnj33kdEt2z6xwoOZ3zRguHS
4ncO1TC80MvLtiBcFOFtfWZbIamTWJFMsGDXA0rWEaDlr79TCQn55XvOB+v798KIlQCninwvDJ/j
FpHOfceAn4zp08CWKACjHE8fDmQZFowL1/599v8fExlAnv7xG8BoZ9kqv36uxJ822aRwaG2vOtMJ
bXAMlNQT2SEl4RZFSGXWwA4JeO12iQtebGTN1w1XGkYMTryS3E5VmZcCZsVCrzq1X7ehuh+YiolN
lj/oubEfApXJs64k2u1okGBvpB5sqcBtF0WS+MIWu4oOUu/rtdZOtFXTJppPvR37BDwvSlS68KQ2
An5Wrl8EcwJo7aHBfRYSphK6R6PNIB/Zqx7jqD6UO8OygF8g8EgqYrlu2CTWGMtowGu2P5O27LQO
Nk/uD9V2qh+ahKGugsp4KM601ryE5pyM+aYv9PI2twB4GbPhl95Na9orE7dKIiUiVhyaKzOu3ZXq
omAp0+wRW/Aiz7HQelZAHFhoHn79EZGqz+8+ItIK+cODb/70uAwxbtl2bOaTujG2wW4+tPfGxt2J
U7PQDu22XgoffNVyWhvLvdjDcF6Nj8qOVf1G3aBCWCdfPCT/+SPzw/fzx8eXIu77j6xJ1J+Ty49s
me5KJgLDCnAohBX1vxxHf/bJ/P44+unAc+N8ziLawpMCLPpmfKtD8rmXiCKpR379Fms/vsVffqTv
H4KfS0J+H8LwYv0UMZa6SEfiQYkzXgwNZcUyPAHW+PUL/tkJCH2AOhTGPZaRn36lOYJWxyFF6DQk
DePal165+PUL/NkB+P0L/PTeMXyhGgt1/UROlhTADsqSOc1/+Sn+24v8dMp6o2fPEzPHk9efzfW+
tW90++nXP8efXUnf/xw/HY8TdzVmeEs/4ZXBs4tI1b4ie1NKBj5f6P9aj3WMX0XZlB/t/8h/+bWs
JsH+vf1/P/5n8+W/w/dy9dw+//AfftEyYbjs3sV09d50GV/65cGTf/P/9w9/zy2/mar3f/3z+Q0n
DYPPVsSvrU418/kKu7d//fN3ZxQf9l+WRzijFs/i5Vk8//kXfy2PQIYyWSZ6VWrKvzRv38ojlWwX
XcUzxdTXpMX5d3lk/aZpgCwcHFU/00TJdrF1Fo0Qr5hZ88/+lcHzj48UpyRKdsznSN11Hirb+OlU
MiJNGdopN8+j/Gluzsfx8bu35eKPxRFurR/OPfkKIFENZGXY0j3Lcn46JLqgMdvAGrvzbrZ8lDcf
XJDnWcD+TbQfGFJWTJLjVW6y1NOUYoe1fSvqxO+cqoIgaJcbGFqbwhFMv8GFdtHabKo3hURWIhkP
KBRYjLXpsJij7KT1mpWSfN7WxinMG8baI87rkDcRMjbbTmhb09wsBtXajQQqoIrBpWHkkQ2SP3ZW
phlnb6SdBsC6tMw3Gx09GE7DhySDdeWl5msXEYLZagBToUHVZxoq3UWouSenchQ/c8UD3anh01uj
VjHNARsOpk9DL9u1JtCXTKI460X8hFztQETbyvPy6TCEfb3NinILZHleiaC+CayMkWRMwBhDmpmJ
jaLiedTM8YMZOs5+jx1SjnG1M91VWLXXDleywujHqNkBqsq2qLp9W6nl0uqmyzElV3IeqcdmsUJH
va8d5znQehynDlpYT8GbGz+34DYWjYM+2nK3WZicFEysjM3hC+mPTRruvc7ZEvB8MIvawjzXHzNi
IWyC3URVb8nBcBal6d0l8dxu5zS7EAFXXDNHZ22sPiJNkkLZZG8q5k2bMUrXZwMx0cxYFXrfMmrG
yO/ceDdlaOesxLJgT8EiqWOwtnb61Jkea3ECtUngXVCj92sEOftxFkvP7O/N0lgOkXUO3PuxaedT
GptXUU4B2gX5xjH7YzSIXYmuP2T1HPXMG3Nv2JLneiCS9trWypwU1+ye9dydFjjk43XrUth7d7aY
ZIsn22yrBTs/mJrNY8kPz9RshI40vwFq8+FiLYGArYx0PFSEUaKND2GbT4CxWnIjcZcFi9B2nngK
1lBkHsNARkk0bbJWuo6PTf0xlcnWhUVlGtVTJ9RHRVGvGwcqZIrZoR8hZlvZy5wGlzioZ4hO4SFN
RApmscKfoTg30exJbVYEIw38kpojYdaYdygViwZ3dqyjOzbFPoYLy0IYx5JlXyee+dBVDamSOhuk
rJJPTzJcq1pypnSVi1iJ4DurhkGjaNbV6CoQbMHInpFjLsFrRuN7WdUv8OQH/tCAIW51G0Ocfafa
OJa9OnBf4Cb0foQivESxZZO0mIue6NV8UpD4MVmNz0cR24ea4LoVojCoLGkVLoWSoiEjAWZlRrj8
sk6B7T+zsy/aIL0q0ZS0i7xTzyob3G406bQb4qxFglWZVbMruhFToCFRLHrdbPGjJn4YdwdbCxmA
phWJn7O1CcbZw4muawtiByu/xCuG7yLOTg5afPyfSnM59/zEQVC9WvN0JwLj2UnrLefbMYm0fOlp
igJNVjkEKPikzs9apLY1LtuszK9Lq1Mk8i3I7ru0uBp6wkzw/xD4SRyfzmA7MVeGo3Wr/2XvPJYj
R7Jt+yvP3hxl0GLwJgEEQkdQJ8kJjKmgtcbX3+WsqmwmK2/S2u4dvEFP2qwtiwwGhPvxc/Zeu6yK
g1VbLIgKf7Q1Xhe9FgIiIhCwnPdhHWzRugOATdxq6Y5YTjaREZ3kTP6UIjHUenFiCDLsgikoI8Zx
bdzBHA5ManLyUQM9tj5XI5owwBctJsd6zO9SJR/9gSmJxmja1Zhqk+60pEjA4ua02OlZU6stjJlr
pWbal7XtasqB4jCH81jydqoS9AA9OXxk83AvCKa5mrs9KLXMaxvSjOexyx3WnH4/ymb5XOgdo7JY
+o4FUPbmHuAQH8fkvDL1S6nhsXMBiw7bIYmGTYGsc8PSj8e15hPUPrsrcujCHLycfQ9OZ58lIQIS
AzcCiWi4EGgD6aV1Z9Ql0kA9ESE0YCW8WQ/QTKT1nRnMdzYRBI9LUMRkAZStb/ShsrLGye9mJGOV
PBQbUAylm/GDK+Ts/WMTQ/iZ7Dle3CweI3alqNvq6C5X6Yg8yM4bb87LJ3NgLjeiM7RmGG7lRZ6t
fVrP9zLyoSFG6FNW0X2fqXd2XztkSk/DrpSYDZZBNrtVn4zYU+QnJBuap016/dibleKBul5WacSD
DhEZvkGgParMCW4D1Zh8u6e5lfTyvP799vyuFhXphcTHUWpgwnaA1NC7eXsogZpP5yZMinMn4pUm
8hvN8XpsWv/3H/O+s/DX56D4MiB08dq/LwI6a8nTMCrOObHGADLvWZWubJj9LJfNapwdbsCcbYep
8jM73bZqBLdKXYFIOLBSHTkirhInvQa9eGNC19ei3u1BsxRh8K3sTaR/vAL6QpC5HFKu/ajrflHA
/PIKkfRhKTpJKqZMqfj2Chl5X8adkxbnEUBLON+JmLio/OCw+o7b82qCJ8IPQDwSe1iI1rv7AO+7
mvO0H85ViL0PhuZOo5exkoOafWMYwKFIw6NUZeV1QQ717Mi70R45688VCxVz+SXJ/UjC6kP7xrkt
2JX6cjgTmsJsnWwP1wDIKByD51iK91PAuHRUeW/MfOTcLyzZiKFe0i5z4RrGmwXRC1HRpMdnMYbz
Tvsi0VoGStYT0lCbML4cxS1rnFMRKjC2IkqbyCR+Wv2GyeplsvCIGWAgJis7zVijV5Y1S1tZGZMT
9Kp8tUwI1GigxF7kQH1R4vAh6JX8rh4N9g8lPBp5BZXSrLqtqRCwWrLFKSQlzYmVritZvYBfItF7
obOgaNkxkF963e8Na8e6+GRLzOmsUdnOif6UaU2EVQ3vVGUC+ZJkb9EpPSZeM2gVaPwnKd82HTHH
uTLtaca8pLEafZkzY4PNN/esLDqpJc0Rra194pPRxKrTTW6aGdI+ZUXs8XSorfaDVgHa7p+K5j+f
B4FE4HGgDeq8RqC+6fXBaytJOze6M2q/F81p0RRXQ3Y2yZ1YsZ4+hy2nU2zQrmJOnh2/IouyE1cF
kxhD0K0atqcOiziuy5NR2o9gUCK/ZaTt972s7zga9miqkAygqbDXcqnnW5VN3RuVuPYQLFOPsBDJ
eVlgmqxvwxz9mRK1JbsBUuUOC0ZR1b6ZL5z7zBekLQDdlNJym1y9N9WZ2nnGI9opHr4qOi2Qn9EX
m4+YO3djoH4F1wyFf2QZcLKtWUx3RKUcraFxa3D3WFJ5QnB7zeqtMQynNIlu69i4geO/Mefu0U4x
/1M3ymuz7qkFSVZre8R6tvACamhGZFIiPayMLxLPhFs52pOiSY9KNNRe3dGdiiwGuIs0EfhSrhW9
2ciQ/pxiAC6H6B5Mvp6iMrbt8WDBIxqVgY5RJhSI3Z0m5h2AqVsiHjFZfanh/hWWKfQeeBoKLx3S
SxlNR6sw/bHUvciKmcgjC1Wd+DqtpHQ328u6RKZhZgGGCwoa0BScS3gZB8m5HuvuOzb1AGml0KSC
Zen61DVb0FgheH3FPJqttok1WnS2EuZrYtPIfKFCBa9wlMDrpMr4qSTiJ5TiKyPSV2FU+moqHXJ2
8WgMsSRmT0PV+jX8Qmen656isGtmweh3bO9Fk1deL9WJl6XSJhntw5Ig83QYlo1KKFB5LLqLquCU
x1A42lfQCLdh0WG8rI+F0MB2XSZdskr0CjNrr4fjoXoVEglrJ85HLDIy9rIKt17LKSEz0fKRI9Zb
oI7HK9NYW/DWiQDKJ9+c/RLTgzV8qmQJnbl8whTUIFbUj0k0ku0bBMGBmAvLbWFxuBbmTFhk8GKo
G7aIDVpvNq1tM1CFWCXsB4uh1xA0ygdb2wdv6msb8s2bqkbOjH807c8m+/7QnnKynSYAEsF4SZsT
wMUPukc/68T+sTII2/rb/UiNooLTBStDWX5TrK/DdDM4xyJ8RAX7wcYn9pw3cw0BZnFA2elELDNE
hmn38yeNbQfmRx6m86LMKIfiqXWhHAhUVrmLStq36TQQkgD0sIR5d7JrFFRmUqLYTFDvjvxet1Wk
74i9r6dCs1cYtR6kuLyUsnWbUb5x6nG7Vr2dwnbyii70YWM9F4n+SYqy6ibs02FtQIPd5EZ/MBIC
uDVmkrC5XEq8TdFp1icmTLfVgmZEM/a9BjFKUw9LOO+MyrmMaXho2LYtCZiwSpIS2YNkGrhTpXzK
q4ZcvGAHBw4B0WSvOiN/WeSZzKgxfKrRd31Sw6CDU6aFH1zVn/stf96+txf1XYcRfEUBTM+ezvb0
HC2fZ3v/+7v20e8Xj+ubx1GWMmpkctohhd9WCRBk7f73H/CPeujnp8J89/zRg03lVA3ns6FeIVBe
cZnkaP6gs/yuf/nXo0fyKSWpIlyLP3+LyWrHqNX5Fg7ZFt2XbsypSe7jyfrgbqg/P+Ov7S+kmIbC
VouEgsr05w+akxgv61KpZ8qYL2xq3l3mBx78q1XsfloVq0870x2On29iN3qY1i/Zev7MG91utd3v
r6oq+mzvX7a3G/67AtAZYqdyQpaRzh882ZXX022/ya+htq8FL9ZXNlxnX3EJ/FhFa0KvmOCfiy+/
/yuMX/0Vb5/Od63pLGgzGwrSfH6cduoaXozvXFmrS4vBztt8Mtyj6eUb5xz507a4NbZ3gQc8fcu6
t1o2JSxAj9aZ53jSsd8Wm/YSwYlbhd5DuerPsjtvjJ2zKw/jtrnP/dvf/+lCOfOPC/j2T393ASW1
jbNKinkuV4Ry+u23yq/uFA/Qmxd4kUfihZ/vy83Vl+O63xEVO7nJHg/FPjnjVnaJ30pXXwP34fd/
1esY8P1tffNXvce2xtiOGsvkr4p2zipyl22+Ce4K5N94rlZ4xleNi+VxY5/rrfpMI239+8//9cv6
r/fo3WrDUkM0XDVPZ3kp19Y4HhYpPQ+9/BeB5r+dbYlV5Z9f81+f827VsUH1DcOSzWdq6tUwfpGn
7YiHBDqI3NGK8n//rX59q3982vvDpJSz+Bt10p9J6+bkd1OF1/+zD3h35tMmG9FrzgGK8CI1oQ/o
WN7vP+GDG2OJF/HNMi3llV1YMy9aWZ3bPPUrFdC8/UGp8NF1ere4tUpGlpGVdOdJ3BVSiJ0pcf9n
3+PdA9ZDdOhx3M3ncZjc2DwTS+Eu+QdTuQ+eLuvdqmQGoTTTnGM3mExXd4BAZd1F03rXgimVjCrM
sfiDS/fL+2O8Wulh10Av//n+2BoBkVXc9Wc9/94kfqpFNPk2v792v7w9bz7j3UuTAdWW6kifzpD/
6d9f5/kHXYWPPuDdkrik+aQlBE+fZRZtmtGpln1wmV73x9+9+O+e44gAU3JLeI45G6zIoNwP2/TE
EYGRuhutw0u/yg+/v2oCC/jbtUZ86zevDjo4cDBqxB71SGO4YFU9hXz2anxRjstuWF3Bc+cfVsY6
d6GNXUurm24tdvWrp/pK23NqB1SxxgiwLdxo89Gf98uN3NR/LE7m+ycnbkZZCXjplIvYyKVVu8n0
XaG4q3Sje5+K1R5G+uG7/JnDWXM/HzDXfrB6qWJ5+t1NeXffB6k1o9qZqSU8osw8UthUc+UcMu/G
OZtH3G/eEzFdq4KOrY8zfmO70gcr9Ed/giWGgm9ukjT1kl6MVXcmu2E1eXQ2k6+GD0f90H+bttU6
P1obaSN9D580d9qkF7Icvn3wnPw8d/y70v5xI6x3z0k6aLneFjyaGLB8svBWsajqdql7N+zIocdK
vlrOXb76JCP9yP1qY12hZPf6dbQj4+U5+2ClfD2Y/eOu/Ot1N95dEltymA0VLCn1Wt+YG7IDJ3/x
l2N8UFZfwCX6xHrvqi1NvePkWvdrBD/com6T+rexJ4qEv4qD/+3Z/eZbecbv2/48q///eXQvlowf
LV4hEPhruC++xv/7v4Klcuzj9v9cPsdt9SttIz/+ZnjPZJxMKkeVCb8W2r4fw3vlD00HJorkWNbQ
vrH0/a1tNP5AkI3akX+wwR85/NTf2kb9DxvVI9FYCilNpkZj728lw9WfDwsiiP+27BKP8L8eKU4v
oFZt/kdX+X24Lt6dxRoViyKi8PASkpPQqodY/6jbAE79p88Qr5Gt4caG64hvxn6VcL59k3OllJ0q
o4QMU2tXRL3jT6qaNL6VT6dJAxIFQHpuN/jvkzVDIcxXSmcbtypY59KzIYGfrMZymM6FQX3qG8mu
3bzXzPpkmpI80Sjs6RTKlYJdrCXGvqxGmSlUlOfrBtzKZkIRvmlK4vhGjoob+ACQOsoRTZxZQQcb
zKvEKsKNCDf2+hIbciyFpN6HTcnIrMjHpbwtmiX6niPw9jWF7AtiISGLMcKcdZVs6oz/t1YqiMjr
SM9l7RZyNy4aeCH1dQdKqYlr3lIGoXQLo0etUg7RFHEKg6i6Sh14b0O9wR53HHuT4VInnftoeDBS
7a522tsGwitBlw+mQbawbdbliun0sW5gUOr1MYoSEjnCdEcWT4z23TyM9Oth5NArCUuinNDIy6gZ
FyaCWGyeqiSZ3SyzzJVc1hfmp8kWTsmxn9hMzHQGtAwOXieaemVnCoSvMmNS4KxnTGKrDpkWkkwy
M7tpMjZAB5dDPVeHIZA2U55uO3JKNzlh1l6sLS5HYpK44xNdQ/SVml7TR6w2y9Lsgia+iQgu3SSF
UXghDc1mQQoaAqEv2qlZNxFD0KY7RBooKGmWzS/zkMLzaOgeggvwp4pHFZ7tWkeiDzil8OCM76aq
Po10RlZKAlQjJdeC6S0xomFi3Br6XJJcqffbtmAQB54avl+gE8M0d6faHCT87s1uwCa/KTP5m272
X8kXsYkLNPOD5uTYC6PUiK+rws5xF+mx4ZLVyMxVkfZOmigbzONfUinaLSZOeMW67yJpk0WBubKJ
XApSILYalUVuXw8FqUYYq4l2XNPZcnNzTLe4ozb22KlerXHhjcLatvLwSRGpUBXTDAjyzxgfTqUM
QDhupj2C5KuFXzoo+KLIglp0BSig9KK2yjdJmnZY149aIG0d62EKnkt72Vv5YvtGEq4by7ivF+oX
YCMDNJa+szsMeylakvkqDBLF1dSUQ2XqPGWh+qRhX/WaUTk6ehHSJb7U0RalT+RGC+wzY6l9K5Lu
GMTd67TaphD9nhGFV/qAlRLQIQr7IT50qBVhSsFEHpSHSorubDu/lyoGAcXoC9aPak372pH20yTD
WExMMrCdTWZmoEGs1mOKhauv17sbfUwILp1EJ+8ZBgITIw2dtFNia1RB755zfUq3TGPUp3K0rcfW
LuPGneY5uM/F8H8KLObRU6ZARQwQJsRd5NV/ygXAjUXdTMqXynhnFLKCoTLic68veFWzV91B/6pB
CF/1CLWQJthCpLAIuUKEbkGCrrIeUDIEUUUAnhA3dLrT8jAzKxqE9IGBMQkMqnHTyTJzJCGQCAek
EgqaiaEERSBEFMlYEkkhhBUpCgsToQV33qt7IOaWEGHYkJlOgRBmTAukktQsP+shSTomCQC8cvhN
deNOFsKONpnTTYjWIxGij1moP7ryc48aJEEVYicq8zl0IsSSPWnoRhgf4mtJGKV338HdXjID0W/I
IGhFytqTmvR+hAYF5NWqfxWlKLXoTwtOclsAmsMq2aJhmecYKr61Tmr1a252E8wkCHHF8DQAizTE
kGGJ++e2IyMCfUydjr6KXkZBN2P0QLSEkIYD5u2UzccChU1X44CVxuRTGM27GA3OME2nAU1OKMQ5
cmbedKh1wBs8Tah3StI0bNQ8I6oeZSz3sbUM/qA7LBYof7gbBAekz4uQBDlog1AWA8QUcqEO3RAN
5GgdCSlRgrxFEeKiVsiMwsK6I/lv32kkprYokdgJIE4hTZLIhARo023LJPxkCPkSBsCtgZ6J5Qa2
4XTShNApj6yjjfKpQQGldMaTUw2AgEu3stMLmJItNsJVK6RTuZq+SLbkGWO87TNw/nUfvMiorXSl
9mIhv6JXvdfRY7VCmJXo7T5BqdUY5nOAcmuAUKZ3w22gWx4W8cWHNVKiSomuiDv5Hgj514wOTNYT
ZOEowxwUYjVKMTohEADRjg1CRGYLORmzfkCo6rFHZ2YG5UEWwjNVSNCKXFZQaSFLw+1O+11I1VI0
awX5s74k2xdZyNnGoq4PrZC4dULsBm31Syzkb7UQwo2VyfMixHEzXMGVJgRzk5DOqa8qunFWTzRu
g+9v6rO/yp63Bot/Hsb/nI1ThQB+IUnn58MEMGglz4tAOifJvZk+pM5n3fjgLP7RR7w7LMw8xWYK
W+Is16RrQSCrLlPyQRtD9EL+Va2JSkp8DVNILhUNEMG7r6ESbpOPThxeZIbutoUh5ThNd4iJfn+1
xOnu/ceAuVcxG8DYQXH689UKy2TWrHTg7I2Pt2au2Kq8h/V9r1+Ng7IyW8BNxp9Th/8cJTSu7u+P
EqcXYgz/qQAWP/j3IQKDlGwrYA8hHtqyLkQ2Pw4RKmm4UGANy9FQx7w9RFh/4N5UkecIj4kISPjX
IcISriqkTzxH/ysGKfQFNhJkC52y+t7Xyei8r3NzHi9yedWE+hqRxb/3RGKQ4hAC89EQxCcSsN41
uuDIplpvoXds9YSF/UGSL45x3epbJeCRhG6wfnMTfrFeoIH++R34xydy7d4eWlTIADGrVH9JKsZ+
9iu+fn5F2ZeCaj82pb0fOqNiaAvzvjV9MwHsXAcoY0jU6dgDBSMfFL+6MzWc3nNdMSlvCXvQ7Oho
lLCtbTV1q0YmQij97kzSY0Hbs1RUnWEzMKEkRN5WICNB/RvBSWAFJZIoDoHim5t2zmLfYBxF5F1c
boJ5QmVBuMzKaijMCiDB4JHiW2kk8LyPb2xAl46hlSsrHo5SHXCXkniVB2QR1SSp6jPCGFRbQYDO
P5C0bVkqVwOJMxiKd4UMwSJNwkNJ6lOvSfcN1GGiKZ6HRbuarGg7WEu7VsjtjjtgzZW9j2JjWkVm
Ofoc5tpNEM0nxvPLrdVhvcVti9f0tgTguzVxOSVKUW9rM5K66+XV9tTnzVReMtw8HcfJM9BuvLKo
cj3OfDX+dPtomsz+9fwIcGI3pSNBjQE6pfQ8L+YnoEfwlvFxrkC6+40af9EN+WsGc3o9GvppqvQ9
sVDekFbHLhjXfT/vZi2+kgn3KgL22Qk19Twde7shXmHJZTc0xkM7yJ/qXuXAAVQkL5Z7I0M3FORz
eo774qpIu01vj+d0SfdymVqrCU0qRxDI3vVkFysSI0nwmbN1m1j3dTeDnJDk0FfzilTlfuxA6qpg
2uN6PmZkz/utrR6yHNLheNEj+6btG2RCUdatoogpXpXvgyy+6gvpdhzIO4IWsCKKfm3HDhyA7qsV
4d5XzORaDce10+c9EzTFQzeGl2q+7vqS5Rz3nznqm7EZfFkPvI4tOVdkryzL26XQr/Kgrt1xgkvR
ZelwM83RjRkou4YUJoIbHvW0cBFoNXeoKnDtxM33Qht4mhx4wYg9F3xiuqxzRBq+yWN4KHrTq3Ul
cVnBdmqemK6mxRz0R9Jpw6soHk66kWxrI99MsrHO0HH0U3Bo25LaBtXt0hGDKZ3ZGj0VHgILxfUM
jQTcCvBLTQ98YF4PetOSFSflMMgBtRRGNm/T0ch2TQbqCjbiSpulfdoud/iMwaZlHUDJ8jYZIJ8n
7Gg9jC+3t9UXp09eEss+lXWGyDoZUxd+xIySbQSLFQz29nWZ+c+mJ3wov930RChQ9mvjCz/6Y9tT
/qBppoAfEF1PDps/bXu4TkD4aQauGFVYhv/unVkiRdEU9l/9NbOB8uXv3hmpQLz3KnYZnhPsTf9e
7+yfxhR6c5ByIAkaBBDp4o94u0lYSqhkWWOUF9VGm6wKbI4yCmYmWQOwwUIFqVrqZ1B2irxQK8BB
0VMOgYdjsW8D8Cgh81g43BNDuiwSQHM0zG6WWOUxEzgfXq2HGb6P7VREW7WCaid16wEGkNkElwRf
PURTgQYqE+t6CslUXjVLUsn4SEyZ1plBN0yZ5PPCSwY0RB82URCRmW2wKBVyF7mxgpA9aSoEmLOn
2CG43ZITtWyU294cc08K9PM0C9nkTNOLgCwUYFM3ecMg3w9K51nEx40qOqnO0dGYyRA9jcb4YvI9
3Srn99YOEYlwzF8xqJhqi+SLA5lwPQcl7grSkCAl0zYp9GCXVawMwJ3XZSHJGxl598EwpPEYxCRT
Ez6G/qZJ7uM65+iVkdLDFnaB7ecagv0+LhBSzP6OVhvy7rS+Fy3NqoZUBKXnqE9kyGl1IPClRe8V
ElK8UZdr1xGkwLTuT1WVVKSrl5mPcn9TNcbeKNSHPBnwvAkz8IgNdUEQamk1bYc0/jrA5g2L5byo
+eD2lq7BMG8esw4qUl/29OiqYx/ZCSptwngQZbjSAiK6TLEStyVHsKpLNC9TzV3SmddpMCNtG9vR
U5dwXeu57Y9S+aVWCZoE8UvoOEkOtbQhS+pIutOFsuSgaRxzGU8c6oFnJujbqzo2uxWxToor03BY
68LjQ9emTfpNXWsny4hwpjql5BIsVG5TBalhJW2aRMJ2WbanJSUE12homfS2eaOa6ommbbluZsay
eq6jP0wLYS1Y4lWmd/gzU9kiGY4+FqbgyZkif0iKU6gHz3M9zH4m2ZuQ1rJndPKDXtfPiVaj080S
b647E8FpeB3SWFImwWieAAg7XxtzhPE1tFzD1tyFNXRm+N3Hrm8vMRpQ6bosrWz5Nk9ZurVg5Dpp
9UDkRE2Ex3BoBXW4QAS9TzrnqUzlm85oyBma3aYmlncJfeoxWEvj3ukkv5HVQ5lF57gs91PSnosy
uxoKrCMoYwEcBv24MwPjO/28nkps1PRN3KMjJAdgWG5VczmFNZWNgsLfhys4rUbN5HP1DVzhzSjq
IVw95DpoV43x1Ip6Ke+d+4KdGg/CoVEbiq/OgHqrrcJqueoXFTQzkNzZ6K9Z7BC6dp6qGkj4Y+bS
AQWb1nZHW1RwKQ27kpLOUiwBEL1diNIE5U/VF4n6T206XpTcKjZOqFAAiTpRo2BEkx1ua1FDqqKa
LEVdKfU8OUUFW7oQVWdO+WlThlp68b2kLM1FfUrk88NSIKdWUhF2QA1riGpWFlFQMLo/4yqACEVK
VCziomZZvspFgFQvoqQID/imiXApmZSpXsRN5eZ0Q2IKPjOSqOj2+LUuP84kVJFY6iNRxi4hwqts
nRgreF2fChFsBU/Ur+wZnnBJl7+5ckjAkoGWLaKMMcjGSkRIVmym21LEZlnkZ9lwu/lkXC6OfqeI
iK3IIGxrQQIOv4wArlpSTxOvwZVFNhcF6XYSYV2FiO2yMhVTPSlTsYj0Msj24rvSJEpb3XXi+iUS
AWCdiAIzyQQDp/I9dL7ElXXTdtpNyjVhH1BcVYSJdaSKwWD1ZREzFojAMejJhN8uhJCNQ7KJarpG
sQgom0kqi/l1toguMwxiuMkyi2BQQTkh3kwXQWfcUCLP0I5PBXrFvIJ1I2LRervYOpMISqMds5vK
yQ0koCbaIWJ6hOLYeoa4Fu9YjlehyFwL9cmXovpWJYwNF3EDNN7s15NIanOIbMMVEwOt0TaNQZrb
UNeMxtH647q87Ql800Xym6TVm54oOCOtzjQss11FSFzYTTfyXK5xncz0fKxDSZychDcUf9nc+yNR
c6nTT6vWsq5pipEHKthy/6mnXhlRAj3wm3oKAFw8l/0/ewji594UU1BMhCcYDBTtAs7QP3oIGhnS
1DECcKIJDeGPYkqn8SAjvpdNRLam82ow/quYIuPKEYUXw0MYLJRn1r8ziATC/NOJW5ztiQSy0Mpw
GDf5U4Qm4c3AH28YTejGLK+mRrb8YtBH0md0Ruz6uMXLh/5ohjrcy6OMcseQD3KWK8XKjK10B365
fIzzoD0xg+QR07T6NulNfYtpuD2PaVB9rTrh5cyG+Bhl1kwwj0KvuuKMRSijIk1XbZN3lzrB8CHJ
JmZbPFNEyAdK5i1FUJxTIPOET0U37D7GJVSY/KhhNG4W28zvO3s2nrKBLMRRNfpT10YW6Q8FrCGr
l1JfMaAe4yvhAKe16jcMftmjIWfFNjSITyiqoH0ZoF+vI9mO11bjjBsrGZsDU8DqeiSwLoPBxzYT
Vt4Asw+yn1Tow5cSorl+UIpgmbGjlWmPN7HrpW966CTRGZ5cX0MuaYvmYkUVCPNQmaLbKHFoZmDA
AEnbsUKOZ5s8JqaBoU4gIwlCDE5gPgwY/zxDDbP4YEoFM5C4z+bPyaDWMDEhZGLQnJ7MMdNeAHUZ
JXNNs/BZR4z93JvzbTeWy4somSlN1VhG2k+ySxwS3BRUQ/iZJyl25WJZXoI2Wr6Z8fTYSLVfhPFe
slimc8Uc3NEAxidVI347W+nnTcr85IDhZz6m5QTOH0MV+ZV5yWwuHsMYZ0qnUW8OeUVNXH/SrZjI
Ske511JmVpVETzaSx2Fl2A2OoKQ1b21sRLtO6px7cKbmeXJq2cvV0pFZv43yLmhlFA1D5nyWrFHa
a1lnraopvyS2InlNN8C3l8jHXI9ZXXfeFMRkVkhlu5uroCBvzG5BPC/mc7golrc4VnI/BSkGlURP
Tmi2kieMwqU7LmJwki7l09JP0oGHFw6/VYwXmj/Bo73k432RNCRPlhPNnHiqrqKBUN4CT17mFbqO
raRtdfI8YHB163YyWo+u0Qg6jViKrTqo3xycbQRo7a1p1K5JLbUJ4ClN5VtVVotfiyO0U7UmtE6U
9/9Zi/9ci+nK/2YtLrOXX3H6dH7qzUrMIovVxsIMyECCE++PlVj9A8AU4kAOsBgrxT/9fay1/xD/
qQDnIRkhoIfD5t/HWrj2mmKh4NCwRFj/Js8BZcr7ldgCbI9hQ4a5YNLTFWOINyuxbudJo/fqfLG7
sLnikJffgN+1HstMV/fzmKZPs9JZvg2+6EQ1F1DRDBEBpMPyYDljdxvJZcaoX2H1cMpgbUldQzBJ
HTEzlc9ZFjmnQRCvDcG+1qaOnx9oentwtYSRjDRQyXb2kwoDuO1wz+LbS4mzkAsUA2PgyTPDsQaW
/nMeReGeTuKCjb1LPFWwuVtCetEKzA+OWruRWKGC3NqjrLBZJKXxUAjKd1OOWGwE+XvK5AutZeTl
cZq6jlkT3gYonLkItipH65BpJEuHjTRJvlWzMupgqphkLUsoImqeoikMODQPIFM5eJQMYKekSHfq
4oxMHC31KlTCRzmd93GvNb5eFdcGtMx1LHfSpjPDhXDsXttHkWytMw68Cua8HW1Ux5OjSN+kWaGv
B1UN8DAO9io2QtgLeUWPthyulybhXJO15HFLpLJLhsGRjLwRNXTOicbSO8xcHalnz4rHSvOA2cMX
A0jhzdZY7eqo3fdq8lxXFlT1jMAVmr3JGicmeX/10rnBwA2TRqXxMimV/cBUtokuAW5qQncyhk3e
pYHI76hehjJMTlOnfyNiiHQROWTuaBCbOoJJpnF8a2pUfBYginSaNuqQPaivGfS6Q5A9IcqXoVau
StV+kMPWwh1KrUoDYGIVXlk1tlVCW4hETcEMDHp4alujcq0iP7Sa8s0wyt5vzfF2IFeZKdWQuqlc
cJTJ5YsVOtsiLzeDZhyTyTlVo7yJFLq4SxaSrhiYV3PAISKML/kSdyuzy31Hx6C7GPPJIPKmSqV7
mk/s/5MOoRng4NIHz7nafNZGJrJOZH+ZLNAixnxfcwAiIqVCeFe1GNgKAA/nOuXI4TJh67/othhJ
awZChaCcjs7Ink+kc5weFbOmsOnnrNxXTqB5FmF3x9BU491/FuM/F2Oae79bjAmhePlFWcxP/ViM
iRfX8aax4hmW/tpI/LEYayy5GtxBweR7jS57sxjbAHcofTF1U8kIdfebxdhi4RTIQApamTr2nR7v
t/o8mxX/7TCWQRTQH/R54AGR0cHY+XkxpukCXkNO5AuzbR4gQzxLmniqmqRfDzpVkJwH6RaaXcEw
xXkIuiFaBQ1RHcyHPnd5dmsxM6aPpHp918m0wOLPUDF27VAfIZqDzCBsklhrZAnm0KFTV55Hawo3
rTq2h7yud/VAUbLEF62TdjlrN6k4K6VpaZgH8N2HmTwCq7W3RcyRjrLRIgS1G83SLaXlihSpQHAQ
bsDakTRmSWSlFgSgSQqvinQnRbSbgiFBfB3HyE3MQ5Y8ZvH8PIZkDSVGctM22PaaunURZB1yuSYi
naSJuSzVk1zpl4iuz0pW9MPCJG4o+oPdBl8rZzzEALHU2Uyv9Ymgo7AIEId1OMZV6Qno35oRi/JC
ZrmIK7G9pW0eYlX+GlrMulkra5ej/f1kSV97Y+CLEKSRpvZpzsJorfAdAjk9xUv10iYgIYYgjdfw
8/H0qzWyOCMgtxwJWoPKib3xwnT0GS0MnRtLPU52ven0lCAv5AirwVZ8uw3RYRiXVKXNaozLth8V
jE6L85CYjt+PxonYlY3c2aDi7eQaBQaRtcV0tNvlOKI7W49B9RhHhuZSnSc0XNOHuuV8k6bdo7GM
B6JjGkQ6+ffSbk6qooXHKCUmPdIjDJMm8JUeU3CnbtuA2Vxbh3dq1uzk/2LvvHrbWNZ0/VcW5r6N
zuFiBhhmBSrLkn3ToCW6c879689TCmvZEu29fSjg8ACbczEzy3aTLFbVl96Q0wSwrdo57swmnyM1
+5h61rXnDktcZfs5PZ7jIVOf5oHbXs9PRvJ/M6zv+G+rNKNfoLc2XSYVrI0f1hdpFcanTp/cmKeZ
EsUTx8KaivM0w0TWn1lN9T1RilVolUuTqDNFx9Bb8BfXSlPM8wyBEDlqW9jN1bXSlsvQiL7og0KH
i0s5t40T5mrOtM4gS6dpgmSkj455FS30GsIKwXk++IiiAKywp9FYrnMnRgoiEeTMQVuqXnYSGTrC
+IzNIhISPeqOQx9iqV8C/HZYe909qUcDFpIdWMND42XlnQ9/CNlcB5ylmaXWlZojtuUBiEmkSzl3
iivI60m8VPpgUWvyAmwgfsaq+z3y+q1rODL6D/E0lQvr2Er7z5VZfqsj6rU8yy6JW0vJjy4V+iog
5YypBgYv79Hv1awWfxu5XNhwd1Et0PlygCwtSwLcGK5gKOtz36VsdmJrnIZtlUzzIJnVmANq5rDp
TRCGff/VdsmynOGWHxoITygdDYF0mhb+0o+ko5SusRkpUy+MUdVxVyGSV5GNV27PrHjQx2Mtr++U
ogT0BuhWhWTdJtQUWkBtExQ0xiIVCJe17BjDJnnCD/K5LsPl0DcLRqTTFml0hDfxDEotdFCqmR84
90kIQ7wqfUB3DsaLRQBAODHxIYvobJEx4qX8UDGulBGQH3oLW0ISJJzd1rDbj7qSsi9RccVVu47f
FuEnCXnRqnxoyvYcE/tZFeo3cuABLRvK0zEC+6ob6VyPOIUy6MkCQ+EFfirXRuNuka1hd7YUhggY
Tyu0ZRTP6qdSwQxaSy5cmU6zD/AuDAx7YgeYJuvNurPSk16CR5JEOG57NpIRuDub9qohFSkHeelY
zUVgtneymh+5tN9QsbbmURhz//WphK5EdqWhRTINxvJclz1cn8OVMFvLg/bMNcebAqYfAliXrtoc
l0UL2o/BaO8Ms3FUF6ZZzjVJOcLluZ1VePxyC2sLx6hPKLEXNq2CqQNsr8jlb5AzETxSm68aHodT
ehXaESitC0UY7XnepTLap449tCj+SMHCHLtj2YwwoUEiH2mlcJ5IgTBjNBr8kfsLLZYWUTxcqI79
HdddsGH5rDKpQktbWgQBqtedVJ8PdX5RW/ZtH6AvlRi4J/aJ4cz7UI3vI2zLUR9rv4dVAyRa/hw3
KfOQ7NR3GD2DPruiMT5TmS8bHio5jZKf+T1EjHC8jRQVpGwbfeYGnlepcVlKLjpqsvNFMsu7vuhP
UI3NJ1WTWFO0t6e14p+omNz5Pc0bZtJ6LSY1+nDkFg5ptOIWyOxj0xt9xnK4i2bIyCkLaay7qd3b
81gOjlSDDDPvknHWZ/6j3mrNbGizHt0iZeOM47lSgvwjXfBmHuIGPXM4rBWL7xb6/Ghxw2gKLK5L
cBozPwvuslC9yBL1ilF6N2kzHTmR6sFAFB2IBB3s4bwy+6NR5f4qkXpioJ3e9oP0Oe+zmzigK9yl
2iyPGZDYoG7aCA8IpGuY3ZPnx03YXJZ1GMyNGHk2XRhSmMzPMDhScCf7F1wq9WdIGl07BJtBHakm
bAVadxYNxx9rxaoAtjQ4mnOuXCeTe2PRXhRTGv1TZ3NzVa1BYc6zab0KTo0lSnCrbOEfG/hVrv3l
fxLc5wSXXuxvEtx6kwZVvGmqHUku//LvJFf+JOSz4RGr5ovG/99JrsK4HA1JnfGR8Ayg7fpPx0G2
kBJyHCzu+IHFH70mueDHyJrNJzgi6ozmn1kXCWjbD0kuu4hBOtN822a3UOrLfPQfdxG4Vy0q+zg7
b8jZxnWo5kZ4puhyqM5rUtgLYktbTyEXnBl5ccFk9UGn+zov1eSmVZgu4zl0WqjlF/Azx3GVXgVJ
MKslFdR/6K5tw1hzcqJpanVLT2s9ZHOjU9qBd2OYbvG/7SdZq1bdFDj1peGNCyUBf+Uj2dMAgJ6p
OvCRuA7XdFfRrrPRH9PaVPmGuPIEtxgvxgGdTO4I1+QyOAY+X3vLCIP4cSJjg8ekL9dw2wZsTaAS
sl9WYCXLwnKOzRgxsxvNrRkvuUkXNjPHoad7WoZB9SXs3HTWtFqiLtqmDUeSovDEqlITZyfHqDoa
xQYmb09eswTTFqDmkwdtQo/fYy7bf2tMYUIfp3eWMK3FGHBpP9nY4mebu5k7szosbkMbs1v6H2v6
K8VUBZo9IfebF6OLSAAeuZnb3qp45krleFTjodtayTRtuyP0CWctHrt9ZyBCa4JMwH23jNWroQo2
uZSdIFUsTbK6WSPMQvcZ515bZGGlo1y1jXRk4u0L4OrMFvh/rUSKv1vhEEO+mayg+Zx6DkJfeAQ3
WflNxjPYwQZVxUM4clpSD2vlKt65iVnRpIjz6xjXYSsNZnEuLzujuiprG1W07ijEpTgh3sOj2jh2
hQAcNsbYjaqIC39P8cvR8TnW8DvuMnyPczxzmYO7QXXhRPWXEn9kq7FnOX7JqGGdjVlybgMXQOrq
LAV5WPXq3dhl61YNJzpGOfyW0zzsFg5+zKGL4xL+zKNmLCi6jqlklmDCvqpGuLDxc861+puXIS4o
fnrPcm5waZwGibK0cYJGLKieNHhDN6rPsDw8K031EoufaT1KtwZe0nEofmGUp6AsHVXI6ECenzi4
Tzs4N7ZpfEcZc5vJPpY10sLNjVNIaAsV92o5bGO8NZTTDl/rlg8xdXC6jnC8dnG+ti1AFT62yThi
02s+6XDIzirMZCCxbEtLRSWmvyqFmbbrtcYlALBlYHYYbbv6ejDU5LyMEUEiB0KVPFAzHBXExGZi
9MW5zBi/U9hSjaMfxWLCX4hZf87Qf2D4LwMC0BONDNK77AU6oM/xR4amNEOl6GsdDmw/kAR57i6p
5oaFpLlfxzJedwJ1YCfNTQQMQZM0qh6BTEBtCxrQE1pB4BYkH4HXvJVSbHqVtavrV7pAOYAgrCeh
QD7QPb8IgUJUOtZnAhuRkwkzA7XCBcnhugZAAcxgapAay9RLc3YHv5ZKh9ARsAvwjdMUIIYqEBn+
UIHdw3THRUUWyIYCdCMxi7NcYDm6InmAJsaPMUqA2cB7hAL5EQABMWL7KBOYEFhnADgFTsQViBEp
bKaZwJCovgESAVgJQpPgS0hfGFbc1wJ5MggMipSMZw2glB5wiilQKpINqCCH7tQLp880bK9MIC2w
6Y4lIrAtNfECl/J8KgfdGvTVMGkFIgauE8rzAiWjCrxMF6DRFTbDaSawNKYWnEdRcduaDVbbfn/j
mQb7HR3dFCBOC6PBFcgcdHKhjQDWIZFOmZmD39EFkmcUmB7fIKf8T+x/iv0GAffXsf+mAUC3fR/3
xb96jfvY/kB3gFxKQ0oB4fvDpAFRafDBUFKNJ8PCH2a+mvmJ5hXtf1k0n8B1E41f4z68VIYSNMsA
oqOsA87vD5pb9LDexH2cEpkpy3wGJss0y95kj9z0ckGTtjkbY4BnFAlfGV8hlBAxbZNbyIdlDC3I
DaZD5q6DEh9CQ+mqaZm2F4gzH1mOCzueQSU1WzGrpODEb8L1YDEgoPdwLcvRYyuTgEtZiyybBIjT
7dR1Ngrykmx606TKz9NehjJEt6jS753CI5L5jr5wRf3lSOMi1iUJIqOP0QEm3JYn4WiQh5+B0H3N
h+y29SFFZnWFiKJpfi6L+ijt07vake7cFDolPBDArus28k/rLPhaZXaC/4x1UWrGQ0yJOU/4YuBR
A3MJwQZlgexLMiDRCUtn5LFDNC3iDlZOdzuoKE55dbfQdRCxaqghYtUFMaaE9mPhYwqG4MhpVcc3
XTpCA8efzojsqyxwHoFWXYBRwu2hQLlY9sJ67nYMfvOWyUT64NbZF7dArz5LH2hp0taLSm/epB00
RCu58HJcZP0KfVTva6zCe8tjG5E/ky5Ol2cPneKsIwlftmQA7pxzB6KfmjgL8jW0lRXrtK6YWegu
+mJ00oO8XAzgwuWyO/YcZ+VBh8OG7Xugh1ucDW40GKS4298n3oj7uJhO8yM5cmlMuo4WjyqHBbDK
wrw0kUnznf47oTCbkVoBjXPlaVPSScR7/E73jCu9xrrSDqIb3VO/N6rZ0ucQ/9xomgXeRvcJbYIq
o0gk8SVIQ591mzpcosv4Bfh9tMBY44xLV8a+3IoRj2QcITP/MMdoIVvIVTKsXRa1T9UZQfZrcn41
sD5o9RomVvCBNingXJrYZi7dKj8J3KQ4FgKms5I7XzT6riwUIruUBKHQC8o31+ZJACjluqesGysE
9Bp2nMH0eWqPbOKh4jdM1Nybd+V4DVGZd01tuqbtwpWb69HWjoMOlJalxmDOC5dKNAaNBM3zgRbQ
vY3/6cQy82+ykpVARt1p2fUg1+QAHH6JuZ7kr+RUCmeSBb5bljOUEuWlIuP8ANnZWZFADhOttbdJ
WJzafdZO8irM58g0H5neMMzUpk3nXtLfZoUBxh6IG7sxIWbU36rGIc6UCp2XEbhbQifqRE8j9DeZ
eHpHser42iyKujvVRpp4XkqVH3xmGdz6XK0tYOxmYGgL003k9MZCQzGbQSUcNWwdY6FfaSfWheT6
AROdAr6bVvTeF/Rv51XMFprovu6e5UgRg7Qk++volxP/fMvxrv1CFtRfo7+Ei30MkjDAydhiYDRp
7JhC3zar4qixZIi8RQBJbcpgNk5m1aAB842BI5p9sZRDTb2POlkO1jGy6dwzsa/MetN6kD1MIykq
hhLxis7NnBEusG4U8yBQLe9Grq24+qK6rYe6lDaS7BVyYrpfYRr7+lpW6SVOYqdv8v+Ey2e/BYPR
yO/CZRY3SborYPLv/g6YjvDkVRi/qwr9FsGm+rtQxmqBCGpa1MrErR8Dpv1JF3MiWVFNEWRVwthr
wLQ+oUAHB4s4Zz7Bpf4kYJpPiok/UPNEQJZlSnhFBXWF4pyYFv0wmldag22RJcn5aPjHQAxotGek
eJylMQ0zbBxNfRK68VrP42hhaHhHNsoyyOtzn6IrBX3rdOplCvO80ZTjrso3UaN/QbNtGqX1uh8V
Ci99NfpmSWDJhqlveV/gGl2ilBnNzSTZMO9CQMlHXN6N2Zkj5+AkGYBMxhFBwk7q9C7T/JOmyezT
lI6p7Yt2v0DVjAxOSif6ZkrGQnOVCx+WT16S1OZOeI9CqjnJUvPcNgpSzwYSDTKkwXljZo9mloVU
EX49HX3LnAZtpBwZg31a16j1usmNNvRbOtPrSndEh/Omoy+HBLy3zMwGKynuiaw1z43MOo5rlAMc
37jVoEzi4ve1881F1XKRlkzeJ51jX+hOSf4O9L6LzsIuXFD9udMGTu40tGKJuZd05whgezbmM9kI
T/1y7CdjPiATEBH7jRjvTawfYEs7yUIKna89MdRom1O9sbOzvLgE2L5ImBgNFp7sBhMerb8aFNq5
IYwsjWaipoDLj6X7VnfvAOUtzAZte6fFa5a751swNLeMxxnnj9D3lT48G1qWDivkS7l3aUdGZvK5
0I/MocLrqbaZxYO7bs882V64jIqYzJvddGjaa38I5/zfwSKg5z2ri/Rzw8dwgTZMowBlWwzil0Yg
szY2Ss3yANCc3yEMJW442Y5n2WAjQzRoV4GNIF/nPuJZxRzRNG/0zLySVEubSrV56iQkOI2BnLSf
F2C1Sv9KYkRmgJaGBcdIri/CG8y+Hmw5mKVuAjY0egzT8rPnkIFhe9JNPb7UKneVDhsxoiQjdG9K
w2qh6YBwA4sBYxagfxY0AK2SlTFGjGwQkVK1eI6g/4AGZ7OlB5TPdJNZIMH7PsuSucOARXjf+qRY
VTD1MpLGtFfgFFUlur5Uw0gID0xDFCdfg5NFNyG6cvPGntKWKidZwAwT0LMNLy1tJnEJTxoa1qmC
FBsU+fvAtE5hM16lLUr5VuAkU0kZx2WSYnabuiV9giFlZ2rq1zwtru2WH97ovNlAd0Fu3Ee3lZSZ
1hpXTm5fNZ276jQAt4rrHllkfBODTY8aCErzI538UmHQoHpRRYOaLCws0PeXxmEDI6SaQp7y4JTw
r2upPK5bxI0j3JgHmjGKqFShGy8DaAzzIbqio6UwQUI7ZNxI0bCpW/PG69ubKAZn3NsXuI7AiPLo
dHQqnHA81D4Dy0sBOltzf6wX/tCaGEUUZIIiX2J6ikawNGz4XYdjvTLQZgEkgfmnNlMlfav21TqW
pXUv1+k8sId0DrZnQ/W+GvLamGYm+HTZQjkYSJs1GUqIFWrRXScWcuRFVStLF7CLgFjwedo4nXUN
O5D//l2NSZUGQ9iw6IGFlol0VTTytkrYErqZBMeZZd3mZXFWxYDZ8U/Y5jmIEdzFq7A3J5hW63MS
YIYrSrjAeLo8dRUgKSluKXhr2idFypeOUnZTU6df9CTOFpnEHewFNqbqbalDa/FWLr7mq0wZNoUJ
R9PhatSjYFEgXUHxrK/H2j+vYi0hxQMsMwTadRcmHfjs7KKo5CUQrJscBxH0L64Vr1Cn2YhZtZxZ
Gw+MTm76tBr1YNYFsjkx5OYWI2hl6oZBMY9DdE9Kg00dVe6X1hy/lHVxhRqqt/JiaQW2vZknXHDo
BTTXuY3hexnx+yIYPrM13CY6S3jvJeU3oIdcFfk0851zLrqlV/jwB/TqZnC7z5Fa35WFzcAhau50
Z5RXitopM1lW/ROyV0aVtm9MB58cMPOAX8aKdlRW4XVqassxp3vlRsqXLuplxpUhjocOqjoO00Mt
R2msVD+35mVXHY/ufRec6L52mZK82yhthFJyGyBCYyppvcSf+0zNwdnksVKt5NDcKlz0c6V3LtrA
5GjrzDAlA20EyxyDeYwvwiRAsjpzutMqj2lpqSsLr1hKz2E+Dso1uMkTH4sf4KrNnVUP+KEU9XFR
n4keZ21AhfWYmEGYpduYOcFSLUqIjWVwpwzjEi5YeJpKXP+jVK6dwZIWMHGihVb34WRUNA3mpc2v
5QonPO/YcGzMwUwb/JqSefgXDI2mrvQ+2+LA5q+7tAYADXXEsO7CLOmWJTMkiAjFOJwpvoyebMXv
bMF6XXl2TVLpTjPur2O3HpnGaCWmEqM0rlx6ukeYTZ8x7rXtTaMPw3Lse5X72C7mBI8QOC/KyYay
put+xG10bFJwR7YODwUB+JlU6trnwMq5IVo0v/VKWvmFfqbrlbdKfXmrDfIWJso3Qo4Q8e9XgyzN
EhtFB2BjWs1nBKqVzaI+fuiDCFU9z19SyTGJdBmZp555j0pEuwRSGM47MGcFLGn4BiNjUkmgEMwT
T7R2v9XysaK7V5FrrSQJycagpLjOexdvukSZRrF8y/ITxZV4C8fjuFU9a5HT4i4rcxnaVQVzxUoX
lPuUUqWcM0pnkKsU3X1a9+jExNcGuh1mbNwmTkElEYIJG6OjTjcXeHpc0OHH3ohRulLnmMvrD1yu
FzVQrmnsswUCs7hSpHLBBacsOx1Ql6NAK/Lp+lkjmAgTDKETJueWA500cv1mHjjRMC/7mv3ADGHm
m6M/KU3s4fsY6ycTy5ogUzdjpYLH7oCEB8i8KLZ5RpJ7X5b5Kc4I1jRLpLmCsD5C6l8ILYu2U6+Y
EJ9wcldMbeQJnYvbHKYMNF36pQqhNlJOA7c+cePszsiVewiKxIjUuqvUfp1R/UyxPZRoltC+dQzv
M+2IFJf5+GgMjku9XPeet8g7NZo1gX3pGzkxWjJvm7xdj70/wf7uW6wbSLsgQ1Vpw2nb280KOGY9
T3tznSh2OjUTLkIJXIURQAw29FWUqaedPJ40pabBt6aLasLkDrskudCYuM+82kZ4uyvVWeszVWlF
NYk2OHCZJMUMBc8pbIrKVaWr2ayUw29WRw5j982FlcNjcco2W3pOVZ0mBYz6QusAGVk2l5ILwBLt
Kudp9KI+jWFowzKSMWvpGF5BsjT97Mh5GtzET0Oc8Wmg85/u5XP38rc46S/Ntx3APONnlLSMbip9
FLqNT1zdf0oxharKlLGcoeoSw8t/ZpYOf+KA5hMj6ZdJ52spZn9C605TsNAjottUT39SiiHS96Z3
yXsAwzZFpxRBdNDcP5dicV3WMnQr+bwOs3vXSY2lGWnSiYoB1oSmbA7Ut4NHm+rOWR9h3pXB1kKt
Xj8uMyNlgt9jRa07xmlZjs1EtyO47p25bLvmOrb7fF2OElMLWSeJf1BQEABs04FLhtk2mt2R49oL
7mR5Brt92Qhr1tQZkqnV6bddWq70wE9vCs9rpl6eP2CDDWcwvy0VPYccqAUT0yse4sGJZlmlp1wS
3arP+x4FqcxPL5EkXCqhrl9Imnnimp0zrzvZnSadhK45QnMIyHFBuvXGarwHN7FRcRpSLLuHvDiy
Uwcr3Uy6gvsWXziY80H6YwCAiwrInMGyZm5AuuZJI9wQd6AK1FF8c7THKjC5ThgI1gHXnx/dB6p2
U2dOPpNCdZtHRo9Lr3db0mQKAEk3puTDWFRWADge6fOmuG74WE/1l6kMwwJVqyT1TsLRuVHC3EKq
DABeqco3uUXgGfkRaj+vp7HrplO1NjZDU2ECaFX3cGPAIuEyMSno40ESvrBjXcHDLrgMnFaZSAmu
OcfDgKIUw5PvcpkDkhHDv+CkHTLvSAurq8YEStcblE5jmVRTy4wnoUnxaOXxzBoBbKJPAdgrdVTI
gA5e8tHKzspkHqSVfe6o+bCM0QaZEJmPEMdwIOCVW7VoSZRGy7uUGtQkxsB4cIA7nxWD+j0Gg2wS
OwBfQxl0zghICJKn+Oq4EfpxOBNEi5Te1LEXZec+1etUju1zGMb11DSpzL0hwxaQQVKl0IIu1TPI
IYgwMM6a1IFO1dFA1lYM3Dz6FvCh0nw1c/9zFMFqLht8dVSf7oMKl7vyWNyYPsQEdOJnKwAn6mbf
Ei5aJlP6sZ5Kl4qdf6d9MMcGcdmgjjFNI7OcynWpHZlxcZSbyXFfG5iSaOeDEp3TqO0RWARMJmfh
ndy5t0YiVas6cvD8k6zbsvYwLlPUUzdXMT2yKZWLIgknjSxfJUN9LHfBsojCqyDw5mYTf+nk8hus
gwxxCgV3j6o9s8uomcE8pqKT07Vhs7iGLh23MZxfUxbsdWeIZqAfT+VCebCxHZxV9XCXayqENAWF
+Eo0GOoR3zA8uiJ3lBnBymdd3H3zWeu5qeXuNDWDgolEfq+l+doBsmTa2SKEDYY9lftQy+jglcwk
pLgrUNbIMmDzDaZfUTEdHBzl0sF4rAUStFDB6tvhaeGW6jTIE+DuqoqFUvXVDosTIKW3SjR+VjCg
4/MhuKcbE6dz1qVgjPKBZ97YdrgjRTht0PptRvmqcrSvQ+3k5xDAYiRkpP6Ywk86It8sZylsuTYq
rnVoZX4eXdlmasDrZ4IJmtKtjlyLp4ylb6wSYjC+k80s1EgVkkS9DGUSFxumH63zCnpCZkVT9NBp
GdhxCz3WOge6RWuoQ2ISUQIMlTzQCKoMQNmQH+wRvZD/X+LsixzITp/Zv7Hg4k+f7OFvsndmtP/W
X3qdw+1+0B8Z1yqIIf3USH36YE/Wub99TrzBYrd5RCGXEaKmikapznTx6fVff8UZDL7nP5YUpo+A
kRxFVZ4B/D+s0a9W4fdf8Gpb0fn//d/59Yf/cYoK7Qh40h9/f77gP1/f+qQaOpcnpNqnF23ad19f
sbDFQTPkZXl4w//HiyDmxm8sjOW3E+g/3wmMmRUYvdB7n78pw+SflkJVPsGfIH8S2sMHuQgMuf98
O7BwP+0HDbicI8btT68di/CEfaMjeKCLIETd/vhM/LwItiDawHi0uV5+3gLyJ+4KleV5Pi6HuhGE
/s9+awBnXhQzuq5SLfy8Bvon1KfZIHCGnl4HuQ/EGd53DTTrExBPvieF2tOLCPDzUqifVEKHJfCm
B3khKM+H9Flk/e94+0fxEUd38DMWY8TnACFOyo/xEcFHYDYKpLPnKvoAQ8PbaeufhwZbzFpVpqNA
jcTr3SIwcbVRnyBLPNCdILz69rsRNOeTQ58Ce9iXTODdaUBmA6IhhPGDDQ37L4L9CeURmii/ShJI
F+GkWzAWn1PTwzsO78AHf34cBFZPjPX1XySNqgDxI/XKeOxAj4O8f+HgoPjHiWcr/OJOEII0Npy3
g82UBDBkzzvB+KTaKoNl4fIhXiREP0cHLkYkfcmZn6Px4R0Hef8QiagFkFAEiTA4EK93ObMqOCiQ
tpXnBT/ARXgOW3vkCbryyTJoMKtiJcTrXXTQOS+6Rq50qMmSwBzveRw0LkYZJj5b/un19jiAcsaC
k66+MD0/yIxRfu5y7LETNPsTytcmecLzRhB5+Ns7gYPCYEOIffM61CJK2/tQUEBYXIwINrwcindL
gYiOKoPfe9FeP8CbYf8YAUgfMKKBMfXLhnizH0TKhLOTYb9UK4e3CMbeN4Mop+kzGggEPy/Cu+uR
MorWE2YJh3ochIzTntcjHTYh5O+87ykQIZk0WtoLkeTwtoD2HLX2uxehIDskAlBJxOvdFoDf6oj/
oQd5yPeisvdp0FRM41TboLHw9E0FePmnEKEYn1DS5sqgC3fIS/GSy+yzK8gIZNMxgUA+74p3yaMM
6xkoAEjvg14KZf8DguY5KnOqbL004N9GS0W0YRzTJJweaPak7p89UVaiZIdCwUtZ+fZoMIWQqbfo
Pxxqq0nZv99mkCY/TWJeEmlunJ/vB7qSFBpgbZ4X/PDihdDZ2jNaCq4GTgIM33ZfknReLWQQdBBC
B3ocBNJov0Ugb9LptQlL0l8sAg0GoW4GtupAF0FYAO23CJQR8CdIjrCKeHq9az9zJwiLCXQ4D3QR
Xobn+wRK/RPy50iKvg7q3wZKooNYAnTuns/LoebRwld3z/1AHg2mkMHUc0rwLn2i/8ofIoNtPweR
Q12Kl37YPrvC/MRghrLBegmXbyMFSwELjStSWJ6w7IcXKV5K/30WwSJFFOBOFNGfXlyFP4VLIoWq
IljjvAAEDm8RXn6d/RYBs2kKbMC2T6+39wOLAOOROCH6swe5E1565Pssgi0st0Vv7WUysyt7FHoI
CHE8vw51Kfaf1D0dCu4FuLFPr7c3A20nx9QtbAdf6vEDXQr9I/ouZMoq8+uXDty7owFKHdkN5nmH
WlO8QK72ORrwpUVdaSFIvnM/qBoDCgsxc9GYOcj7wdj7UJBO01LBlvV1J7wtsUWk0HQFlNvzqTnU
zOFlsLzHfmBgxfha6Lm8dGTZ+j8HTfkTRh/U2S/17OEFTcHe3zOTND+htQc9RP5VjcnNQIkJQeVQ
p3bq/uk0hQN4jb87cO8as0QK0icC60sL/AB3wt6FNlM7lVaDTox4vh7fZQ7cDNTZCCAe6k4QEhR7
HgfQPRbdR77l28uA8bZFaQny8UCDg9C+2vPb460kUkdMl55zw7dpAtNrpDdlePaHugj63hFS08VE
VlQJv55Wmg50ECZ1B51BC8v1PfcD/XiDtJDy+vmbvksWCKGyKoMSPtS08QV6tV+awPSaS+8VA/xu
EVR4nAyr6DIc6M2g7R8hgXwDZYOT+tKAfBscuBnAA8qUnoe6BvvHhqduO0I34qL9KVHkyyumZrM6
L+fkQNdA/4gJHT0WZBBfc+a3S0H5AGsCyMvBFpLa/nMZ0K+0mXSVOPH0ensYmNCpDoQyxzns7us7
0c4/BwJDntPQEuP3fl6KHT0WVPXRyn4BHR9e5qzvHSapqQF7cwFovyIH4NuDtCnypAcbJj+kfKCB
hBXbS4R4uxPEzaA7zCMONlcwPiJMiqmLhundLxJoCkns9GRTyMaTnB3ecRCyFntmjaLPpgDdoVx+
eu0YVhqQhWyOzL+/CP/GSv3NPZ76Qfz4RE0OttUT1+mZcvsv/8IrJ/f9A36gmz6Rbn/6mzdDvn1+
9jMpVfz//7N5TIJ0FlR1GTzU6tMv/cOfvv7yT+/08u9fvuL7N//pzV6/1+t/XAXbclM+IETwRIh9
+aBnmwRu8//G/K/HzVuyrKjuXv+beO///q+fP+wPO+D3T8+DXSKVQn7kn6/6f/vwZPOYla8POnr8
7/96Vs4UlefeD5+gZL99fc4Pz2an7v3s6SbetPwk1euzfng++33/56MNWr37SUk0uL0+4OFpXW7+
mmZVvestyKH3fovZNv7rLCt3rj93z97Pn8d/zbKSzfP6rB/Wn9Rv7+cvym21yzVV3Oh7P3wZb9P0
9Tk/fPCPOK6rJvmWxY/1+8cLsvDeH/0oybdlsIlfH/XPpxdw0f0fnw47flGBOdz70Sfbcseai6b/
/o8OUm/HRSBUK/Z+9ukm2nGHCQj9Bzy6qra71uQjDuhpVv31v6m3jbe7VuYjjuh688gF/LoOP2zE
jzii600Z7Fqajzii4tlIQO746OpHHNH1Nn3MHoJdt5cYr+69bdbb8mH7+Pqgf9ZdgKT3f3jGZ399
zg/P/ohjus52rslHnFIeXW/L7bDjk3/EST3b5Lt2y0ec07Ntu3mfO2Lq/RFH9LzccAXsWJSPOKIX
8eZhuyN3FPCavffhBaqVu5I7wa/f++FXAaljFTzuWBlBTtz7+debh5KSIK13xFJBcPmAN0j/mmzx
Z9j1Bh9xVK834g3KdFM+7rzIRK/7Q77FLNh6u77ER5xa8SUWnICHoHrY9R4fcXzFexxnm6LZFa1E
E/RDVum0Caq/zr8FVb7re3zEYRbfY72pt7ue/xHnmefXm78mm/LbZlfOIAaKH7FSvMcUE6Qdl7WA
ZH7UO5TN+Pqwf0KkaPvv/wb+ZmdNKNqn+z+cHsbOpfmQwxxUUTBkzevn/GFhPuQsZ/FmV/Yg2pz7
LwyJyS9d4Z/6PXv0b67/lSPn3m8g2iw74rAANO69NDdbf7NraQRGbv+Hk+MH9Y6kTRCB93/67+zQ
9l30m+a35jH7Pv4z377ZdVZF93zvlfmSxTvueYHr2f/Rv1Zx/v2a7GrL/t25f9+sfVV33PXPfu5F
i7/xEG835f/8HwAAAP//</cx:binary>
              </cx:geoCache>
            </cx:geography>
          </cx:layoutPr>
          <cx:valueColors>
            <cx:minColor>
              <a:schemeClr val="accent6">
                <a:lumMod val="20000"/>
                <a:lumOff val="80000"/>
              </a:schemeClr>
            </cx:minColor>
            <cx:midColor>
              <a:srgbClr val="19CD5E"/>
            </cx:midColor>
            <cx:maxColor>
              <a:schemeClr val="accent6"/>
            </cx:maxColor>
          </cx:valueColors>
          <cx:valueColorPositions count="3"/>
        </cx:series>
      </cx:plotAreaRegion>
    </cx:plotArea>
    <cx:legend pos="t" align="ctr" overlay="0">
      <cx:txPr>
        <a:bodyPr spcFirstLastPara="1" vertOverflow="ellipsis" horzOverflow="overflow" wrap="square" lIns="0" tIns="0" rIns="0" bIns="0" anchor="ctr" anchorCtr="1"/>
        <a:lstStyle/>
        <a:p>
          <a:pPr algn="ctr" rtl="0">
            <a:defRPr sz="800" b="1"/>
          </a:pPr>
          <a:endParaRPr lang="en-US" sz="800" b="1" i="0" u="none" strike="noStrike" baseline="0">
            <a:solidFill>
              <a:sysClr val="windowText" lastClr="000000">
                <a:lumMod val="65000"/>
                <a:lumOff val="35000"/>
              </a:sysClr>
            </a:solidFill>
            <a:latin typeface="Aptos Narrow" panose="02110004020202020204"/>
          </a:endParaRPr>
        </a:p>
      </cx:txPr>
    </cx:legend>
  </cx:chart>
  <cx:spPr>
    <a:solidFill>
      <a:schemeClr val="bg1"/>
    </a:solidFill>
    <a:effectLst>
      <a:outerShdw blurRad="63500" sx="102000" sy="102000" algn="ctr" rotWithShape="0">
        <a:prstClr val="black">
          <a:alpha val="40000"/>
        </a:prstClr>
      </a:outerShdw>
    </a:effectLst>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_xlchart.v5.5</cx:f>
        <cx:nf>_xlchart.v5.4</cx:nf>
      </cx:strDim>
      <cx:numDim type="colorVal">
        <cx:f>_xlchart.v5.7</cx:f>
        <cx:nf>_xlchart.v5.6</cx:nf>
      </cx:numDim>
    </cx:data>
  </cx:chartData>
  <cx:chart>
    <cx:plotArea>
      <cx:plotAreaRegion>
        <cx:plotSurface>
          <cx:spPr>
            <a:noFill/>
            <a:ln>
              <a:noFill/>
            </a:ln>
          </cx:spPr>
        </cx:plotSurface>
        <cx:series layoutId="regionMap" uniqueId="{F6AD4DE7-922C-488C-8E91-0E6E94E26837}">
          <cx:tx>
            <cx:txData>
              <cx:f>_xlchart.v5.6</cx:f>
              <cx:v>Amount Generated</cx:v>
            </cx:txData>
          </cx:tx>
          <cx:spPr>
            <a:noFill/>
            <a:ln>
              <a:solidFill>
                <a:schemeClr val="tx1"/>
              </a:solidFill>
            </a:ln>
          </cx:spPr>
          <cx:dataId val="0"/>
          <cx:layoutPr>
            <cx:geography cultureLanguage="en-US" cultureRegion="IN" attribution="Powered by Bing">
              <cx:geoCache provider="{E9337A44-BEBE-4D9F-B70C-5C5E7DAFC167}">
                <cx:binary>7H1rc9s4svZfSeXzSw9AgASxtbNVC1I33x0nziRfWIqt8E6QBO+//jRtJ2NRckJXjeqtozqand1N
pCabfIBG99ONxr/v23/dx5t18a5N4lT96779871fltm//vhD3fubZK1OkuC+kEp+L0/uZfKH/P49
uN/88VCsmyD1/tARpn/c++ui3LTv//NvuJq3kefyfl0GMr2pNkX3YaOquFS/+G7vV+/WD0mQOoEq
i+C+xH++t9dx8F0WabB+v/2d/uf723X6bl6s0/tA3cv37zZpGZTdxy7b/Pl+6zL6+3d/jO+2o9m7
GJQvqwcQJuyEWQgxy7L40+f9u1im3vPXGtb1EwqvwLAI/3Hby3UCklsavbNllZbdj1/sVexRrfXD
Q7FRCp7v8X9fu8zWM8Gb+e9v3sjP+98PegyQeIDOn+8/pUG5eXh3W67LjXr/LlDyUdGis+Xw9J9u
H1/XH9ug/uffo7+AFzj6mxe4j9/2777ahvY3sDub+N2lhKH38wH/MeQpPmEGZUzHz8izMfL0REeU
MFOHQfV02yfk36TUftR3LzEB8V2hI0P7vzHMrIf1P481zHILUUu3TPI0yXew1k90plPAehvqN2i0
H+jxBSbAPBY5MpA/FgEYpe6fB5miE0Z0ZjDDfBVkTpGBiYm3UX6DSvtRHl9gAspjkSNDGVacNFDx
ulL/PNAwm02KGDFMgh4/MGm312x8gpBOCWHWNtBv02o/1nuuMQHuPVJHhviySr7J+KH85/EeJrZl
Ykp1cww0PcEmJggs+w/n7eVC/RaV9oO9c4UJUO/IHBnQc3BgU/nPw0xMsN/YNAyMn8AEh3trWmMO
48CAf7CxPa2na7Qf5ZH8BIxHEkeG8H/jLEgP4HIT68TkYLaxQZ8QBvO8gzBjzDAY3UZ4ukb7ER7J
T0B4JHFkCF/ItNwUmwN4YTCLTWYyRhB7WpzJCGMdn5iGSU0y9rXfotN+lHeuMAHnHZkjQ/psU6QH
sNXGCWEEnGlqPqEMHvV4JiMIrDE45Nszeao++xHekp6A7tbvjwzZ/ybrB1kcAFvrhEAkjHQLjPAW
qDo4YkzXOUH8EfVRGDVdof3gjuQnwDuSODKAv8j4EG4WLMKM0SESHsMLjBijDINLvT1npyqyH9Yt
6Qmgbv3+yCAdSGOxAf7jEMCaJ5ahG1gnxn7/GVZeinQEkRTEUS/jpLdptR/lPdeYgPUeqSND3AZP
qxgoTVUegti0ToZllgPVsd+jhvQFJtQyGB5RIW/Vaz/qe68yAfe9ckeGvKjKQ+QtCD8Z5vjge70C
OT4xwC/DWB+Z8ckK7cd6W3wCyNsCR4YuJCvX9aZYH4LftE4wN3Wss+cQaoffRCemhTgMgpEhf5NS
+1HevcQEpHeFjg1tGVfqEPabQ44RgARK5CmO2oFaByrbIianI87LnqzRKzhvy08BeVviyBBeJdmm
CNbxAeIp/YRx3TIowfsZEWycGEB7GhiCruEzMttv0Ww/1jtXmID2jsyR4T2L3zmygAj6AIBbJ0zn
pqE/J5v5mMge4mjOMbhlewF/k2r7Ed+9xATId4WODHOINgYnPF4/OuTV7wp23lxJRIA3AXLkORc1
Jrch/IIqI0yNsSl/o1r7Ed93kQmY7xM7MtQX8SY9BAUKfrgO1QR8NysJMRe3MCSoR9UkkzXZD/G2
+ARwtwWODNZV2h3CdgOJgnQAFhiyp8+IJMODc85NE6byNokyVZ/92G5JT4B26/dHhuytvz4IWQJ1
BJBYNIlFXour9BNiYWRZw5TeIsgma7Qf3dETTcB3JHFkCJ9L9e6/qbeJN4cIn+kJMnSdWPSZBx0v
xDCFh+IgYLqfxsHI336jcvsR33eRCbDvEzsy7M+gqPwQqJsnkGuEGs4fqI+dbqgeMeE7YMXGGcmp
Cu1Hevt5JmC8LXBk6EI6/RCrMsxYKAqxzGfXmo/rdwFcXYcSfoYA9peWe6o++7Hdkp4A7dbvjw3Z
Tfog74ODwMtP8OBuMfbMkIBF3k48E6DJmEnIAPwWvG9R6hWMdy4xBegdoSND+3wdHaIAjJ/AjgpY
diFKfvzsoTs5NrBpsZEHNlWf/RhvSU+Ad+v3R4bsxboIMnkQMpudUItCBb6lP6E7nsZgpblJmaXD
AHj8jCbzGzTbj/POs03AekfmyPA+Xyu1OQD/AdEUhUJOiz+DjXYK/SBLBV9TyxwZ7eka7Ud5JD8B
45HEkSF8sX6AROQBeGwTpitUk8CM3j+fgcdGJlQXUDz2uiZrtB/h0RNNQHgkcXQIw6apAwDMTjij
sGEKPWcqxpEyVI8YBMME5iOyazCakxR6Dd+X4pPgfSlwbOhuinvYpGv/fgvx2zMSyOTmz7BpB14w
4RbmwIPQxwk+IkIuJuv1Csrb8lNg3pY4Mpxvh4KgQxTsQvhEdB0KRp43zuzgDCX3UBhIKR951dM1
2o/wSH4CwiOJI0P4QkKI/M9PZNiqTjniQF4972wFGLfjY2C2qQ4FYRicsK34eKpC+/Hdfp4J8G4L
HBm6t8GmOIifBZlEExHYxPhkhvd50vAlAjv+5IiN7PR0vfajPJKfAPNI4shwvlxnh/CmgcPkwE+D
lX7ypnfiJehBAOESgvB5exJP1Wc/ulvSE7Dd+v2xIbup1wfpLwH0s6kzi6DnSGkHW9iRjqGGb2cF
vpys0SvobstPwXdb4sgQ/lhBdc8hmEtILxGEget42vo0FOltLcFDBoIP9T3GaAmertF+hEfyExAe
SRwZwreQYUoOY58p4SaY6Nc2rkIdJ4adq8B3bNvn6RrtR3gkPwHhkcTRIRyvD5JmGrKIUHU5bE7+
Ee9uzWGgOxDl4GSN6+pv5VSNXkN4S34SwlsSx4YwbIM7leu8mkYivZn24MBpUR36tj1+9izGOodC
Ac73u9NvU+4VxPdcZArse8SODPsr6OLnHWKFJlBUDbPbMl/ZF4WhCZgBW5fNcYH9dI32Yz2SnwDz
SOJ/AcK/VnHrkYeWfv/9sULu6YT49g6NwGyYJseve14mhlUbQxpiT1YR9ib97Cr5RI3s02k/si9l
t57x6RF//VL+1zVbvI7X9wfhJ60TqMwZ5uYzgnsMMtTbwvYY/QnAUTZpul77URzJ7wFy66+g2+hI
4uhwrqDr6z9PU8LOVE5MBvtenifiuEoL8oWQDgYek4w2s13HUzV6DeEt+S0493dPHd3xyBD+EMDW
VBU8HGaZ5RYyCHlu/LIbCDNoDcMQlFmOpvGblNqP8+4lJkC9K3RkaN+u7wtonJoepKmEBTXz0LSL
wn7jx8/OnB5yE8M/sCN9+Iy56Tfpth/1Pc83AfY9UkeH+9BMpEjXxcNhyjKhuyLsPcYWMF+Pn/G6
DR61DoQ1rO0/3L2/W2O/TbHXgN/7gJPA3yt5hAPgAjp7H6Li+rGWj8F2xudNFDvzHrIVOuxm5HRn
xqfvJiv1Ou7bl5gI+bbQEaLtBBvvEGg/UpvMgG3qY1qbQYdV2BRl/RgHuzN9sk6vg719iYlgbwsd
IdjnVaDeXX0LVHYIyA3INuomJKXg+IPhM05ogLNugo8HbWT2WPc3qvY68vsuNBH/faLHNwpgw7pY
F98Os2WdDmdbDOV9zwEbIL1FiA97prhFKLRMf/L+dmb/29R7dRzsucy0UbBH8MjGwMcK+q4kB2nH
C+WfFjhwwIS/agKgKgVjS9/JaU7XaT/mO081Ae4dmSND+rkXQ1H1B+BmoJabUUzRjxKy8UI/5L5g
Bx3kt8c1gk9NMyZqtR/tPU82Ae89UseGeKCioJPVP4/3cLoNgVOL9B8nnoxNO+BtQituAwr4R0b9
DTq9gvb4ClOwHsscGdIfN/76EFULsAsH2kaZsOH9lSUccIY+cdDyc6hdeXLzXhaITtdrP9Yj+QlI
jySODOc7eLnVQYpE4TQqKAEl6LVOn48FSJBDMRGY9pcQv0Gl/RiPLzAB5LHIkaH8pfp2iAqkYRs0
hj5wsI398bOzOxY6e8LOWAt6mGxDPFWf/fhuSU8Ad+v3/z+Qff0wup9H/Tnrcj17PCTwxXl0v/72
8eXA2YYj0ee5tCdp/LNMd/Xw53so6iUGGhzln+cPDhfamomP1fE/kNsW2kDLmz/fa3D0yQkfnHKo
YjCgYnQoJmw2T18N7ZsNphOoISZDczmoQkvhaDz/z/ew2MPmecrh4AwLkmsMsmtKVs/fAHXz2JWM
wyk5iOCfRzhey7jzZPrznTz/+V1aJdcySEs1XPf9u+zpZ4O2BrScpRgGIAdSAK4F/AF8f7/+MDTQ
gDfw/3KZ09LyQ/86r0LDWuZRowXCYFdYD/wiE57mav0symRjFqLKesQdFTDqOl3ZlsXcQgkubxsT
e/x7Y6lloaXEXWdREqJZ06SxdgYPrdxT7Icdnnm9pnnXNEqDxBc59bPaxpXeVq3ojT4O7FhxN/AF
Sxnx7LozzdKuSsKtThRdxXoRFkHuL1lTqVzEoaEJ0rLCWOZewUM7TVQqzLyJiyuPxlUuKtI1bOZZ
SJoiskwH9WWlbYyAl4uXRyhuvdR7mXVF4PnPR2P+/ON/PsoE/vN4puLffzmcrPn3nxYbOXDpavyj
Yej//NXf5zIOQ+3nIY2jAfx0POcro/uXX75p6A8E0utD/6lT/+7Yf8wXPY/9YTspDG7dgE3k0C8T
QyDyYuwjHXo3DVvLCdZhgD8PfThSBjaTIyjNHc51gy7XsPg9j334CpKQBpwUBikKE0gO9paxT3Q0
HvwM9soh6FEBlSZwDtFQI/hy8MvM6COjc9UVisnHSKpbXRlnCVU3UZuFoqmpf+oh0SSYLsOuC50k
ity5W5uNXbaVK1Ce5YJ1TeXITvuAaN/bfsawaGhpCtXjmxLluqAcrpUy6c/iMMMr7hW6yPz4tmBp
KPpUWgLL9kLLkRRJGmZ209earbWG67CShbO41jVRlE1+idLkI5zTYlywuk/PQ10vhTT1XHiu8mZ6
zBZUcU9YtWxs0/c90RfpRz+1iBNrSSZQoVZ5Zsxdq/RmKsK6YDTZ9Ll/V6BYE7FuLCXRbrU+wsLN
1UXf9zXMS+8b2I5Q5EbV2YVsZmmxCvE59shDDQfMErvk3lJK13OautJF3lchvJEodtK4jRy9V9ks
68J108tMgMF4qMrmFJdZIziCBypqd6UK67rTWCa6dKb151WJT1tqfTVCcyVRSAXvDOSAnTwvvOI6
SNpW0NrKhGzxVWQWsfBQNcMWAkgIU6L0PLViBUVCuckH3WvoDdf8+1ZPb1RqVWduTGI7wD6e67nU
hWI1nhOzqGaZK8tZHBWh40YNFgWyzsECrroqoMIofCe00g9tpEKB+grPcpIw21JdJ0yetDMTsXzm
5WV965WI2C7mnz1NhkIG2SJH4amK2EfK+zXWvHSRdJEoUTkLa587UvcjkZHCFxnNlg2qddss81No
uKEAv3zBSRLakYtTdJ3RMr213BxuXCiRRfKqp8V9IBu50mvtGgb4mstAiiL00lM/wn8VeX1R+Lxy
NIuGTtCQTdtUm5p13VyVbSZyZblL1hrfEpiiQoIqdhSY0TxoqltD99RZYqHTOgy/ZD0/63Pc24b0
F7LRzvOuy4RCFpqXnouFjNxGFEpdlmEP06f+6Hvut9xn1jIlvBWhlty6PfFFq1efc8JWUV56S8uQ
pxBIx0J2ZjK3VLoyPeNT4SP/tC5TMNlhfwvXbM7z2qjtlks5Kz2zsNOgD0RdpNEc8wG8lnQ2Ml3T
wS79rGRY2HVfVUKpND1VetXarcaY8LsA1gwVl3bfKvmXh1xvmfp+cR2aBhcNyZ027fDcqpI7S+9D
4ZX+vK1DLJQuAwAoS2duHFYzFUQBzPZSX6lA+kKGpu8UerVCvYVWueWvGHbjhQm6iNwknQCzWAor
UdcqLHsh83RJy3wZaqYTyr4UYViGdhZrGGYaLW0N6a3oqM8c7imnpDgVDP6PRo3r0ONCqvoTbsMz
o6hOJekuOS1ua1ZXolfJwtfcSKSJ24s0wpd1W30KpJGKuPOvE1rdRF5zZ0XthUr6v5RLmYjqEgyO
DO/MWj+lLVp2Sn0sLROJvEqRQFISweP2PFL5jKFCzpPOUkIv2gu3IDdR2sWztsEzpmenelWlolPV
d2q4XwMPX1EZXmp1dp2HLLetWn1zXaMVVdT/FfuKCJpb1iwNk68qYbpwO9cXpZ59lD49a7VMzuoY
Rk3p8i66I+CVLANqpmQBVd76zJftKTcC6fzfEv7ovQ5nRLy+hD+1WNhdwh9PlvjbfUXQes+AXW4G
Z3DO14slfNijCg7kEMLCZmUTvvqxhsMZ3JBptixoyge9GeHUqL/XcDgTEE75hI6MQGQ9JiHfsoYD
6TFew62h/B+cZ92A88msQYmXa7iGcKf0EntXLk/mrEsSUarHcV9ckjL+nEWayNqSO33QnTK3SxZp
4l3EslpCnmxDtTq3G27YPmmULVl81kruip6HF6lfIwdr2k0aBLUopRXAPI7vEA8i4Qacz2iQ3eMq
C53Sqi7LCjxWXH8x4+Q7DqOZoZehAEfyq8ljR6sb7w6sBFqmbnTmJY1rM9eoHVBbzqsquJSBlggP
61+qmKVOHtBWKPCbnUYz6bwt3e91ozYkNkzRw2EwM0uCm5AUwa2M/JvWS9c9au60Lo8FN73alkYA
LrtmnBqmZjiV6cMb4H4Hi538Zhnhvc+KywRYRFE08IhVoaKZyvC1FhMnjL0LmfVnoQzqRVjAyqsC
/doIw2uUklYEARjQxipbO4Y+MQuTZrWoVXPvqlDZMa4CEflWPO99o3NiFH6s6+46qHpfEFTm8Egx
O28SfqsS10kSDCtyU8zDmCaOxvszP+anftmeZdJHNmt8JWhZrzwM3pMnwT8wLU8KWRnaXAuU5XAf
9Z9UJNMll0Y1q8BXsr2sJKdAoIZzHrUPWt11p17tYxulyHNUEloL0ljaLPPIuZnjVU6tbN5VrnvT
aakUfl7yeechBHYv4RD6BKadVql/I01tIQttoQVsLsP8a4eyfqE8kog485N55LHAyTI6Z2mRr6hb
d0szdWFpzPsZg2BGxF5yX3I/sTFjnog1mszitG2dNnG/xqyBha/ILoIo6xy4aOfoVjAPg7SFiKWe
BS4uZ3VqqlNdzz9ELvMdptetE7YGDMiKGZdIUbIs9C6xvaq/rwpERKYqLiqNxiKMUm5XrmTLINRr
p++sC5ZQ7lituSmyWs4Kji/TpkxtUsJQNmjYOl4dxPPM6ywba+Zt6pOvNYtCO0gUjCGLxctStbGt
vOZWA9955frdPZQCp+Anu7Bse6nloKqGYczZtYvSFiK9mC61xPjCQ/0biuSCaW0501t1oSXaEGJa
uaBN6vR+/q3jtAPwWc6cVHHzBnV9SU9xD8R4LWDwBrO26BJBmg0sbJ9bD+a8HlnSjqsKiY61846U
5Jo1yZcmzZTjWgF4s6qswIHt7loPIkrTbYpZG2jCanjkSFl2dhTJz5asmkUTE1jhZSrcIigE9j3z
DJyoXMDCHorOSD/20r0qzOy8arlyKpl+D8r8Vif+KtWts9pCN30ZnvW9v9Cj5NTX/AsUpuCrdqEn
ICalq6SgHyAerR0M153nLT6zSNTYzM9Xknn6zIxAcfCoVUPPkIa+myWbq6gbTBOdSTfpTqXWrXXU
eSLHpSHytmxE0NXmadCXc6v1WreyQ1aWn1Mvr+W89TMKQYlWyFsCYfOdbNvmS+vqWSRMpOpiSQLL
+OpF0jgtVRZ717EXe9aqzDX61fVM3b0IjSBaJDwqnYq7n7FPzZnR6jA0XC+euTBellRG9awJ+9hu
YNzNjAxcdBiFXypaLfso0QV2zaVv9i4EBjlaNoGXCi7dG6vvr9q0Ao8sgcBJ85Lr2PSiTxXwobMk
C8A8RbE+q7zwu1ewm8JEcqk1xryD4oplDCGGzTL2gfDyIenqu9yQ/Rxm8cJyi7ueV8AvoP6a0+Cs
ijrDzjK0xi3YcZk2V2GTfMANju2ydNUyj7UAxpp71UVIt7syioTmha1IvQZHq1TqNRiudM1k7c+I
XhU2M4PzIAq/6VYD1qD91jJ9nubgEPeWsXAphXkY15FgWvQRtedpLSFsBG8XQqJ+EVTBQqutKw8b
wbzuwu8m8U/7pFy5KYGALA5mOKFYYCutIfDLiWBJc5v0pHV8F6xfkSTePCWZJbquTESoB7NStr3T
0WRBaoTtpJGN0M38QxAa3IkLdu5m+bVUKLDzpvEFt7SPua9fUh8njuFpc6MolM1ZeheZ8lom+aVm
uqktkfk5tOr7sDH9RdPGZ03WSlG35Zmb9Z+N3BJlFlx1hkxsvTRPMxc8uCrM5gFHq0xZX6EzQrAg
SHq2qUksqgSfpyQgttHVAhxHBxvslvGICKzTjVnzYt70YGyJVZ6FCfBPCYtM+GE7L8ziFPgpz64C
iJOCgq24ycA+Ewz+ay8iLbiN3QR2pbGVnsPfld15LbW7iADUyMpnRSVLMDf1PMHeJuR8aUC0JDX4
1s2s72UdPmQKnyW6/3+U0BMbisC9et2fdDbxu0sgMDe7LuUg+IMR1Qmcd8U4HFsH/V3BUQDa8ycr
BDkRDn1vCGzchTrEga58dikpZLPh3BzwS4ajDoGWBam/KVFiAY0DffshAcogpnqLSwnM0xYjCv2T
BsKeDucxEQrp9W2HsnSrUMV9ql+nsl2iKDhnXmSTupu9eDN7mNcnavVv6hWeBBJ8A5GFCSdch/Pc
tm+keSgyLD9qrg3DjFalhyw6M/rqNAmSQEjdA0PUMM3BpbziXXWeR9knpheVnUH0bjdJWM6iAkdn
dQFTnUiObNKVgdCMzBOwxv3VqAy8RMsvhE8y1/ZVfJvBDW09i68lClKBWQouRK7njqXVnk3AMRBJ
b53lSWvzEEGojVXvcMNcEhKlc9es5zo1YCHoOXZU1IqM0c+axS44BXcDHvMvn8bSrlvjlujkg5a0
l5pmXJYBgsnYBCF4cHxV8PqycRNvlnD8yfWsWCCvBlfYB+K3qssbQ+vnDa0+c6vY6B776iXdl6JP
chFV4BrHXXBtFO6ZyZJgDlHB0uRusVB+AQgVxSdpesvAop4d+/4Z4vRb2vjRvE5Q5ph1BwSzbDNH
q8CSxlSmc1z2X3GS1HZPwytqAZ3dxYbQMuLkZvS1YvhTocAfbpNKSNx9YHm1gHrLpWd6mihrlYCi
JACqIKW2rxvgDWWxnZS5ZTP+lZfJDIHdrnIfPN+KRuC9IMcyCQP8wkXEqu9WpwKBTONCqytjBewe
+EzSBCexu9Sbym47RUXj42Ae4fg6j/1wTkiz6BN64XmuJ0pMF7yGd+s3kS80EwKKLOdf09pYQuT8
QaZ955Be3QUmMDee4oWAeOhWNdUKG1HtFATdI8gnCK/p7uIgMBYt6a/0FqgX5Ye1KPriAcf6g97E
uh21eCljvgJuFttR0yySyLhJIstpmTTPGelT24zT+z7M/vKZ8u3ElB/NOgodmrNo2VRkwVhj68Sd
WynlxQyGGNBBtPFnuPXzdRpKr5j3lgbOmGG24HqhNgIj3emFp5a0yVMHsWaOrSYQOC/a0zg2gIvo
wLN38aqg5KFBfBUYeF73sgAKJcrqu8ggEKrBKo56YQQGREItDpwo1Fcko0tcR5cl8madla9dM/iA
I20DrVwikXN1I2E0fuz0+mPrqRK4p8aRTYRX4MMms7Spz60ilo6mFFw3Su1a1cEqrrzmixkyNWu9
7MILkGurrF0CXyd8qs6zMHLqUi2bpvyrd4H4bSFlUYfoOizkRWTClCVpdA0k7Fmsaas+9qnwPd+f
9W2XzMM6eDAbcHvDJiSirfAHvzQXrSw3Ue81dltpIjWzv8CvBYJ45dPiLCq1ZWeydRuir73RRTaL
OyW6+GtMbyGWXHZVdZrJIRYpRJgWtj5HyPE5LYXfk1lD6LLWybzAvhRBn9ULwsJyjjD4Rl5Nv6bg
opStbBxXKwpw3bNFhdOrTjZfChkq8EfpXVki6yLTQpp/lGFtexYt3KXUExz/zoxuc/iDFYXlAs6s
BjsEDABk27atqFIQKbud2V03EDgIunBP21t5sQpLoa3Tz9ksWgEhK9yzzA4rJ1yQ1a/N+EAvbBtx
uD3wItBTExgIKL7Zvn3hVkatmVV/XbN15q44KgVvv2oyEW+/j44wYlD0YcK+HCjef0lz8BLWrKCt
+2scnPutEnG84d4KfPrf3Gd79Xt6nfA+YQ3ECMPRwcAfvbxPntPMqLCPrk3jrDCvMgJxMf3862eh
+zB7+TCjm1Q+QkqPhpc2V3fAOs/qJXqwnIHWv0hgjIkPxawQENotP11aTiwu64tgfqdm7uwmPG3E
snCK89KBHzpyDv/O7n6t33Cg+Q6oUEbL4bwf2PgIKdjtlxBXfY/TDuFrQ3iX7g2aoQv82TvVG1uz
K6cTp1/worUv83mzNAw7OQOC4yYDfRsR24+qPKe7n92Ep4Ttyxzgy5TgEeQWX7qDBuw+eQHHTkb9
5Qbtp5qXx0T1o9QPBxLDNqbhMBBk6nCIACTItxxI6LeFhjliQWZq5EDi4cABNOwq17fyikNTVLgg
g3KcZ7ryR3J1CyIoJXj+88ucOt6hJDmUZkHHcxO6khBoWjHMsRc59bInMsurqgVihfBZ3bg+DGwS
ssiOWFPfACvXnYZtnUYzhKLySylp/SmiqgVHgaf5bybbcBbGi8EMGX5wseFASuBjKaLD/oBtbWja
ZRH3q/pSz1N86UV96ooKlm3fbiEFwEUN7tYXVmcQdxWJVeZ2HhYRuJC9YtSGXeDpAwdrfgXX8CtH
j2P8qTc0Cy8603A3uNNwO3+B9573p4Mnv6OxCUUxXIeuHwiSTyONA+YDtl15SVrD8xyz7eNPNXR5
IfOSddIQdddiSGgx1xI9M7sA1ntEFklddNgpalk+gIFU2A60zHBUGUigbxMfHCUoFoi8mSeh2iGq
+GmiuK8cKNzhd8rPz6K4MdpZoDTzIij8Oln8+ql2YQASDEGMwuAcWJM8PvSLQcE6zWu0LFaXKWQ2
7qRnQQaWRjoMjSyt2uumLfht5uL4r1/fdtueAyUOnCIUeECAAWMR/mtQ68VtDdR6NFNeeplaPb7E
kV9dpqqwA8v1f2M1B6P490r4dCeIyyA3b8EeFMisb98pS2nX54UvL60M0XXeyCJeuKXV6SLK/BnK
q7i3CeqArAuJ0SS/GzTba8pwexgocMwXhSN0TbAOo9tDh6DA99IkuGR5ZKyTsDLWUTzoYPSJmpmF
lKJDAD2QfHkDmepIsk0Zc7VqeEfPW5MUEEA1oYyAP0uTT6TIdOL4VtdtMkhlOUjrIeVrcEmLpUHM
vvrNuot3gYIyHDAbsC9Dp0OIu/36kFkZqWG42gWugNEIilJ5AmsRBBeCdF3qnTZ+EH3zLJ6dt5C1
n5uStoGt45p9L1nfS7vzPWZD5q3eBAVhD7WR+ez014OJPq58WyBDYA6DaNg7ginMTihmejmczMIK
UOGX5AI8u8zllgO8dr9oy5bweVlXlV20Obqpk86ohO/7zC5wulB6kS1imkEcEefJhyw2khbIrsb7
3ISJXHWqLEVm5NknU0FI4eapa1cyDAMRlCRshBuq9LLJNHWVa+Cdeh7modDAiwb2qfaTpWGW8Qc9
9K69bkhSxBXLL0s3/1jqiUYg8NPhRQadDraBwsIOoagVnse+YX1xUUVPfdPC573X1txukA/sHbyO
YKVZA83cdFbv4MbQnD5s7zOVl7cV0pgPVDcQs67KK6D7dR0oNdxEC5dpOBC9H7nf4LCMohZBmmtf
q4QlkB1Q+gpyFdkK5zx+COrMhHlPkug24G7LRJ1T77RwIbjv4D0sMNX5Vd5AZQFtinyOcYuBDwQG
AZJMjWfldq377ixR/8Peme1GjmPd+onUkKiJuvw1xeTwmJm280ZwOm1qoCiKIkVJT3+WqlDVVdWn
D1DAfy4a6ATqotIRzggN5N5rfWvLV7mRyV1dQUvIPW/QR2w1qFKE20Yp1TF/WXq3vhCVyKfQ1+HB
JK1DyinqtzcaDaqY3KXdyrmjrHSWxX0jE7efE5MyzDaiXQMVlMwMFlQ74OawtljZbGiphqrOufb7
o8BL4ToFasCB7uc4bae2dWBv2TiNh3DZYOLwCuaCI/qDirqCBWZ1H6zvBXkzgTyBBR6MuvS1TSZ0
oPFyE3XbxqsHY0cNM29t+CrUz7qqCdleJ+ssMeCxRGEpH95herTaB5imjZHure5038EfbsbtMCdG
V9Dbm0ZCJ+XDkxs7/qldfd9kBuegSiFGw2be6p7SXFQV9kPNOztCg7fMzRTXXnVXj5CjhmO3wo/K
14Un+iaatI8rylaDN9nMYC8sI6duq7sZt07EspFKigvO76APCN6oJOUjNq+qWGZInE6F4FaYrjBG
gmwAo9JnIDRsVVoe876YKlQFZShYv2V0C7FiCtIFJutr5XBYbSub7ieYhX0xsIZ+OmaOGzd3B6IP
TUANvQ2dilVn4QMdCsHELdO4rccJiQFVw/aq476opnkby0RNoilXHvXr0Z2mXmYhWYHgAQdZ+QGc
XeNkOK3k2ZH95uWYHdH1Of5znTveus6EQy7Ec9v3SX/yVaJ50aEnfdzA6/ll6wzEu9Sw8GIADDWp
9aFSsxRP2Iz9c8s20pVG4hMUg+ZsK6i3bElG21Xaa09XXNoObhWVV55nzsoPoZ2zymcmj8WM09nE
E+oTsbX+9sE7DADMKT5An/trDx/Fc5vgyBooyBnputHPm6Gp8s1UHaQdq2Ry31a2DTK/Gdst7WW7
ORe34kHpyYqF+LhJLAtvrbfhVDeeZUWXBLVN99elXtIkApcP88dssY2zoQ1unO8Kz7VcnbTBfURu
ve0XQoXOgeN/Wbkl5jaSyTrkIhn1NTQCWxKb4g5vSHofRwvIoydeN4+L+jyuPV/KyYZbc/E001+C
loRv4VL1VUo9XLylEUsMkyraGnx447V9zv2xmzJqq6LxmvGVW4vKomXt/DSFkf0hVe0f59iyqqAd
uulU0Aq/J+TwLkqhZu92W6QfPEw69L54GghKaiNnopn24KcVM+nb5qgWQuxJAEYhd40TJ9+EO+4X
Z9uO0yHmUz3dLyuE+swdLc5NbUF35MOERRdShEi+Qb7F1d1jlVQ5kLxlOGmwngTqh+m6R0JFEpyW
oLXmCqx0Lz7rdbkPOydaisH2+KeHYcfRFtLr7eB28f7l949usT7hc8neuw1CgW9hxhCHqu6GbsuS
bsatA1erax6EinHLK4OqgOFnWFOJFvXd6AWrEqkvaxen26rFXHunltAwXDMu5QLiwC/WeST7ooGb
KcM3wgKyJN5eJ2vRf6vwyOgznZuGprQOO1wXK4verPDxMRbVro++XtzpAnGXtJdBiq59otgtDpNw
vdsxYeNr4MKwQZNdN+Q8UJYAUqsHNuerikeLAnf1D5LgsGaAzNb3jnfh/WImuGGju87ds416aGR9
5fSf6wbjGgYmtMIcfQD1i4as9VTKqE+eHbfqy95KBmQRilqxKls/NoOeLknftWEeEkUYlr0QbNBc
k+SbaqEKF5wI3CabU/nJKRCDN370WJDXMx6Wi3vD7it2ARQXRxTixFxgk7HjxVOGRFmVcD1jp4Uz
hdJ7bL9D+02+OCvK9POWaOX91JOALNV7XjyfGkvwq5beq7cssNBYT6CuanTcXRKV2zDP+rqsMX9q
Z9C/NIYs2C+QOjcb4eR0LqTqg+TdMFxFtAQ3jnaDoahH0c8XtlpZZzSc+voLKpHpp5sILCNYOqcZ
wMJkpzSxMx2xC6zjE2ej17x4w+ZT8I+owNavoAqcBL9sqlRRw9djZ6eS9kfNXGfOeDxBvYfz5T0s
k1NtB2XGqSmazeAibYCB+PdLx7fwto8k5+koZze6BjBSl2xFdTMVtpY4a5aKhkF0hbCd0mniEEb9
ReUzJ1QdNjri6u+ChcX5Wq3ulFVyisZnG67el7ZWuNaw0yXfcK0DNROJ8LDAEpm0Je3ryEIyfCXU
WAqHrJvjryERo81tyHRwDSpO58exgj6MzR1XdCEbH2cTjcO63DS+7oabWMnavyeLy6NTBUAG32tZ
HHbtlCNt3k8V1gxUY0ZfOdw4tJFJx8qppl2d28V1T+sY4L4Hzx03aVDV8fWXqvR/WyO5Nu9qmIZP
/VcA+09iy38epR2i0/n3ltwXPGWl0esfFZhfnbz9bb/pKUiUBZBQ8TgJF5UlHoT8Bz3Fx4MmIIOF
mJNL0LP85sZ5/wCbvT/eLyDYpJLdw/sN0kbeAdOioKSgkkH6FBLi3xBTYndv3P7YcgAxw7O30Vmi
MkJsOdzVgj90sCgcl2gcp/5eeDIIrmA6K3T8pnH7EJ2RJUm6LPNMUx7L93Huv28D+IvFEU+BA1va
j3+sM3wGadhRYQUcJZwvvdvxJohvXe2NmdMaUKhyCdJqSGbY4mtdEhmhgZEMDlbVZfNc66ythrtp
1T+dqJNpmNifgXSwxAxTZhI0aQDELkuw8dQHPObAdVfuEOZD7W+3qIzmXFf4Wbyqn84A8FIZ9WNu
dLn13XpAiveHs3hlbbWXxgs7xrG+FVsH06urqzQc7Suwpa9crzxrO+/JD/ULAw0JJNKhBw/F2R0D
SltA99KpCTuF+oW9xfE2HKZwBjeTqIemIXdDAESs3sgTlF/sOKZ5WIh77t3wI9AACJR9mwBMBAR+
gXKcbKHkgtIOr06OvatejN+chsVEuejYyzBFL0n7w7dDjucDvk9J8q7IdKe25jkclvcuoH0OSWLL
aRjdO/iwqQrtsa8B3rRoBrCjGFauXfM0Nf6tkc7t5o9V1roNgevDfXxp2oM0x1ofehoNlxvcO6Hl
FyzCLA0ddJYM9ExbR+zQOiYqR8av9Wjcgk4L+kgHYu2o0iTWZzrMoLaT/k6uQZKt3UhPSgpyWLU9
0LkdctWYOpMrp3DlapW3bj8X0VwtRWjARXscP41XclQgaCsal7wx95Fr7lywJJnjJONBBSJDgURT
1nUnEsK4BZYD4sdu4MNddeqdUGWKONUBN1qV2WG+oLC4rXEqdij+R+uox2gO79F3nFgbL1lE2kPQ
Dl97HRwTbxFpt0VfdTumbs++TfB9Ipc4WbeRIQ1NFKB9TGqwy9uLaEeZMyC5VSyfHWOmnE/2q5No
meGtvNi4Mxb+3D2tDlmBs6ALRdv42U9OnzWDvAZrctcFMAX1upCUDhak02yLhS7DHaAqhntFUaDL
DcmqLjla9F1p56vlTVegx9xJVrmvJgRzuvbZdDmAlq++9jiuwCYucK/lQTCbDJ2pPohJizREQX5c
PIIOcXAve/0fCGfLUXL6OcJCD+vc1sUqxg3QW3/bCALO2FmirPF9lS1s27ejtw6Sw36tPQX+2Vk/
O3fsgfCoxwFmnL8ubQ4doqDB8A293CcslnY3rj/V5r4mU3LjWn4r1/UJBVOchpNTF9Faw0Lsx8fa
TG882Ho4Wic6bGfY3ByCxuKmuPZabNNBpuj6SSb1nTnmYgf9wKVzBVYCiF7ofANv7SfzknkugKBQ
QHZqTeemJqnnTGn9KdHJpXyxJOdL/NaM6nuMJTqdBqdLyQA9eLE0OmuztukEzTXjbfCCVXdMoxUR
gJlH79qjQepFpMmxIF8mRy1oLowp620+68qfMzioj1G9vLVNyJAx6IJSj6guJNNeNgXjMeqjfKyb
LdP18qTDEcVtKwq+1DYfu4YUQoQKN92AW4JGV66athiW6nbgvsgCUy1Z7LCnqgruBpk8JVVw9BeA
g5FAa21W/lhJeQvBZiyZpvxF2anJKhiojhuTzPD9xg7bZ7hrOo1mi843sUHGSP1jEUhtmQCQlBVn
LOiPazDMqHj7JccG8CCDmaS7pzuHlB5qt4EwAh8wDeE7VxTxhyoKsm7kN1M9PzRhIFLS9sB2/Qmq
hPIKwTjeO89PYdTS4ybMDyQHTJpIVaVEIAgRtaOTIa/2CUgF+0WtmgNNwAKvw4/Ix7098phmQU+d
jC8MzWi1iVt3TIJUDeOLR/sqg/LJ035dotQnFiYadb18wJodSuEC73R1yfXwwyTN8yBxIdlKlKtm
sL5xylNsdyqzwC7QYLqshJ2BYwr94AQC4JiwALpIHYB5GEKOozR/rdfuwWJPzHRLYdmGyKlgnjY4
CGfF5UbjLgfUgiuWz82NdDabd0F7XR2YexBqbMZca1Oni76Gej2gm/0ZDnviQH4sHn7dFLQvyOI1
qVUOLj0jbiBijrdxuF2x/0PJi8UOU580lyoLVmKKDqG7l5G3/DRt41ef4Mbnwn921uBON/qnHXmZ
VO1XbPbupYmQ28P+j0AFu4ub8UuydUffmSxa8XlX8waDSIQ9ViFouL1dGObA4qPs/HQcvzfL4OS9
Amo2Alwu14E+elU/FmEIC11siyikREk6c1OdXLW+RQ4uBl3PpOw6+mURMcCMyjk3jL2pNs5Z5wBM
aOVhGAe8P5b3oBu9FHQNKxwvfJftEpRGN+jaGohdY3TvmujbEESHSvLluDH/s3URO/Rnz6SEQHWh
i4BYG3OTasibqTsgCClaT++aZILAlPcaTTOiHF1TbBInVjlYtevVZ3mLaBkAuvbNFeTaNRYCVVO1
2TjLSzNzHGqtDuuGFtf40HqM2x1bBjKooT72O02AMpCd5WsVLzAS6GfNHLC4FKDF7PluNvTAbgZ3
zdAO76tq9NxT5qVAS+Bojs6XWtmvKkmGVDRJNlh+YyYPdqihGjDJMOYkqJ90hNxTxfXJMDNlvZt8
DYS5Z9wmmT9pC4zTMdkY4X7yZ10uzOE56cTJQeWEG7J1M0umHxLk50Kwn+NoYQtpj2OENNc2Nh8W
AVFHRp+R63xxfEixcR/PWZd0nzF6OXhR5H1e1QVOkQX7G75Pc3wYqVG5YN4ZRKXIk20OsiXqnlnf
T9m4KJJRE2VIJJWIKLmU3aAwCFIaOEPqmfYsQ+Vl0rTtLWmGUzUq/Ix2rwxQVdrb9ounqEilcR7j
PolSAvE6SOzzgporjepNAoscRDFqxFchgLO070Z8nWBES2cVAN4huNBxuKd0HdIuHnmG++4TT6Hp
IUqj+WWdX7qzeZEzbt1aeQ+cgc3AtXD1o0YXImwhdXbyKWpwjqAG+ygvF6zTSlyXQAnQkkClqX5v
exDDXqOfx6XGGmTcr0jXnpeVfyGB0+d2wpIauz/mecPFD6kiTXQMxIWbGzmpUrgLTV2I8lgOkUnU
UfuRoDau5wghtUV8bL1C+w6EhantRIh4aVpkIOL2q5xll02o8iBuoc4ccWXWiY0PA2/wIU18cBf1
GdUo6eJhefV71HxIWGUNb1/Adp2qqsrrTrxVtPvRanMXBCNQOO3lrF8QuhTYKf3xuI7x41J7xRL2
kInG4WmZkqMMklMClX5023u4r9naeGu6+nVRV7xo1HyjoDiZRmY8RMLuPLXemo0sJt0DF1v0sg5N
RG9HJ5zxF6GW0F5olJlQOr/6J//bnep/Xg+6u1n/vgfdn739rw3o/p4/NKAYNutFyKIjEL9n2v9J
hPr/AKlHvBCUpBvhFb/3oBhOHcIlRakQ44dgAfALf+tBKSbd4SGoe7J3DxuBEPgbPShQgL/2oDGC
Twn+HuUh/OC/UjEJtjDfHUV4182cXcCqj9XTsnQC9RMBH2+DwMcKBPBwpGHOGs5PgQptFhonPHYV
lol+Jf3VglLr0pYjN7nsNV0AjT71AUfTELeTbZE5QHzi7CQtMr4byLGFuyXkPSy7uiuTjX6EUL9g
f1uWo+TaeuR82UUs9tIKXjp0riE4teYRbCIioUv0nS+JSKe2TgrrtQcOzXDz5cES9jh6wuRutG4o
p8BniV4dNfxhFMQfcWUeGp/ebWiUCI2fGorkyzC9OIzKi6iGy1gD46yD5uQl9oVrllGnfupJ+BWW
xJL6NKlhbPvyyZvYK2Cmk09l0brVq5/wN1MD3YagWoHVnqGC7thnA8URGgNKYiV31yi5jH4NuUuR
Szfx25ETZIpbdh374A3e453exCcoS/hOesi2AaXLWskzmPE462GBhXAlERsBkEriNNkEFHzSfo2l
DxsjXs9b5bxQVT+sNgAUq1vsXYhojPG0FcmKRCdFYkUispC1djiiiXztVnboBmfIQl9tJVuhezNZ
v0/gDbJVemEuvPUQOc2ZswQUAiwAIQOSWw0VtlHqm6zqoPDVp4lW9xh1UVJUbAS7FMK3iL1PZ0FN
jOdf3I370IKtaQAUxuMXqqhz4yT82IUK+8B0TGY4isEM91xLGNFMoMt02fp9FduZsuBnHE4+MsVt
kkG7fA2UPIcs+L6428MI6H9W3quVlUKSvP4E6LuWIBqTAijqbR+vx25aklQF3gRIzn4sFNs+qh1s
QpKVLTHvK6qBFM1rGc/dOzRw/LxVUpUE1duPGdrNzYKCa99rFnbQgMs45MU1OOD7R8d+3VvYKmxM
ks29WmPoLzHAQyQdcKZILJJirPDmbj/icE8A+leguzAKpEwct1nTqnNYJmRdH9fZvdtwMzystI0P
nUMtWoEpRJ9Ezr7f+lmAmKw/4j1bI527ljEUjYs7QJeeEVEOR1TUnbe6BcDd5dTHTgihYWjOlC7b
IZ5DWwxNo1Fco8R357m0un+nLrsbZzDDWKSuvhlhaSXJwzrFiJTx9naMZJMS79nScH1S0ItfhQdK
k4xQYn1vQSxZyYJqXJAq8rtCwBycAxjei5B+6nu4Z/cZQYeeJA78LbCqngWr0wcBQFLQObGzXjsy
w4USJDXgK1LDkdElzfRDGQfijyTp7KuTiAyCtSE9O5j7evYYp/kgWy+Ft6K+k3hEbySoRZxmjtKg
GXUq6pjnTa9kCSqlzza9ue+jR17g6VVlMuG1Vll6QAmNVanj4WHooVtNTuse5m5EuUT281tFfboF
1QUCxAHO022DOwoTDMy5heZUW3xr1wlLjw0XuFeHpq90MSR8SttNXXdZMVtqRPt8anCGkCCSU1fq
tl7LXvQPddgEOYpylJ80vFCGgspK99CE3as7q4Nxpqetg7zFuephOakCsvd1Mgq6kunrrIkVinJ5
jMz0yXwY1iE2j1yiBsXreEqudOm/9FPLb9CO3wsc0XQImqToh1ClDEmlsNXPayRAecuLqejHAlcz
5UN/1p1FseYthzgKnv6/aNn/aRXC/vye/1eF8D8ck1F+vv21SPj1bb8XCd4/EMqAOg3jmQa/zMT5
PTZC8IQCAHyujyEff54mgomYLkbZg6hBnOTPRQIGYoeBD+wmwjidIPl7sRGYUv9SJKAPjzBBG6cd
8OhexPxRqEb6bkwMrc1d22h5pjwJrkosFyr4iEpAfYv6Ph9b3R0FgsbbB5Tj0XkwmCGxjluTwQTn
D0kt0Z1264NmwXmY+qEcOUIC3raCXus859DwOUgDWZesm+sTEAkXmxGGDcDEYnWWzKMo+1hy87Qy
+YrQL9Zx1ElpDJ8agwbIFJznxdnOECGWuspWujZnw7t8JZVz1I76ZInYAM651WH10HjXXpfsaPv8
TSLsfcFy312pL0CoNE/S+DVWtn51S+nRJp+V4+bxnIh88DcMHeGQckmUwNTykksXK12MzMtCTXQZ
LvKWhtjjZ+RWyplvS+pUGsZ3LewRItGtN01JpsX4qiy7WT1b1C5ysRO5ugG72A26kW6lwT6xjmlL
aQYO2hQCZxjDUBxd4B9jn5Udou/r1s5VOYYj1k0gXBmtJ++YKPNYd/4TbV1hThIBaf3QeCjmwN5k
YqyjI9Kik3iKtIvURG2qeIaPUAUH37PQksMq/OwqY0/7HMiDEV2Xb724X9vpFonos+D17eiSC9VO
OUz27EBhGzYYYtg53BZDNBr50wry2Ojk9b+Lh7vP4HIB+/379uJ/ODyb/0uDsb/rt7UDQ7jw+Dg/
gjCOZ7pijfhDg/HLjKIQf+CPJKhd/tlgUDz9Bn/wbBTIiMB5MRzrnw0G1HGKiBGyW78G1f5Gg4Ep
nn9dOyghYEN9wGb4nBBs/7x2IOFq29an/M7xxlfWQNDYDP/hreGJe71I22jLJkypiUNIBXNcbj67
Sdbx1tK9C7b9eOobqN6GOZmKDSlZ6Jbu4D/ZZiYFjQeTzWy9cXWVI5AJgsbT3xpK0A97/KYOIUTM
jjrybnrro4Wlxgt+VtgPM+jTLGPhclno/LMz8MpohxsRqzBE8jlMPRSfhWuwpao+XBBcR5o3NomB
CuhGmR7EWophvScrlFrC+MUsEPHgMr/4IAZzmP8/kTQ9AyaV+Yh6COESKGQ9arawBmAp4uQeUbPn
udoY7nLUhXXtALGPNf43aptsYyh+EIlFsrg6+UyXazxU6Qj7PSV2+bbV7KpjcZGVvNT4Tshho8Pq
CXm0DdI4jPVFB2Wt8siXauUa65DpMc/HBy48zSASUV6maOyOvY/oWEXlMw2Vk0UIX2PYQziPDXvS
pJXf3dF+gw5nL5pOCEzo6cA9C7ANcv7CADYIBKilRdllQhSRFmuy8SuS1hW91ox880eMRDGNvcOw
h6joEIvISbixYkvAlGC02d59mUffqX+GvBoO4GsyD9TMZYje9PIGtKgMZPQ2rf5wQOz6wA2mQSlp
++Fb4tXiibtcdh8N237apX7cMImhiI0cMABG1ZS+Ka+9rbBznlwt3OOiyXBHVJXcBX01ndekQmuC
ldXG0VErtKwutPasDpL11m832PnN0NsDyMRnK2weN3199ZfhA7QCOSL+C6dCRbTefmVl/yuj7NDv
v1/nnozWH+qvNRIebYp3/bbO7RMFEXqAcv67Y/97jYSRgsj1oHjyPA+T/v4kpKBmgruOx0IkHjiA
6I/rXAygGiswJrH5vyyBf2Odw3jTv65zqMMQmAoJKqQQSg8kmz/WSDPMFQwXSNY7yC1T6TpcFFPg
4q7vfETlLtTFXIsUE59gP4eVkJBMzBOM/kNIO+TwFVaFpnbDm0XAHJtb2IEGJU2AcXIZX/2pJJ5O
biOMxDou8ygfCNrgNAq0c+lXFh6mdnhJNq/NnNB9FyOcNsBGD30zYKKLHTCnRc6w71l8t8EoycQA
bolJpDYwYwttGcW6ZDC8AGIJeeh8h5/m3pq8r8ICSHR4dGIMPoC/O528zggKKlaEWSO7R7S5H7Yb
n4bdfOktwktu5JzaxVnOLOEcrVci72AjfEfS7TEZ8VsqNDJ4yIPNA2LyaRE8r2yC2geHxic8xary
4Hbbt97Ir0k7Xpp6+u46/qGVPT7sZkkmgDgH4QoPzobXTdKfIMO6bIX5nVEyX7BODlnFLdgHgzkC
dbSUCaneuxr+WEiHshqmInbGqyDypW0Qvo33BHFT96pAW/9ja4A5orUHtCQfQd1Dx279kd5PPnXW
g2PEug+467LKtXM2Ag2mHvJccjiA8CrdxB6Iqy/GS0pPbR8bpU0RxjN0LLjksYopZndBiBFmknDY
2h4eq5UwvaA5WBI8S8OvxoE9gqRaMS8EEY/1o4qjghCpM1KxN9DynyZmQx53ocAUrW0oPVfzK+Xk
vlJrlMYRujvZyodagYMGUZCCe4TYwZG+VbucIKLhNBP9rW2HB+P2bhpFGFlHeVvuZBSHN1f74mC8
6GEBxK6FTJAwAeSnNM9nB/gAjXC50ims0qZjOo/XzT3GXDTF0E/Yhxja4GYEr1W1913PgBJO0aWy
FJDUOC25Dps3KFgs0/PwFi+wuqcFQyp2uuxYIS0EbanrYOEGmJSAqUKp620yXwIWQCdkT3EV45oa
fHIkfX/V1bBkqFGTtFpAsDYj6HWk3hEztQ+RV79i1maViqWnRThFN31EjmjANMqFBMM5JvADDgkx
n8Q7ucyd0kjCuAoRaIKKudwNi3NSg1bpart30xrwwP4Pudr7NjAQPlj/gUXqFlghXC1Lb2cbugWq
dYWJLGJG/QKBRPo/WwxSSidZH32+/rBtcothfU+N4G3Wh9srR4sD1SFkJaa/tBhLo2CkVdErLKgH
wqAatW330W4znAFSHTZj44xwBxnmYMI4JIYZSTWDdAVNtnBk9yzs8OwpDEOKZoiJbvsdukmP0z9g
vx8qVEaDfzUD/dYq5+Kx+UyTHum/JSyiGlDFsPtsezEVel7aJs6rHtdD3A43g+p5amOYljWLXzTY
eSi5fnKcZYyBqYCkj9bDhTdOSXBHuoHCqgDi+/O/5f8v5T/BVvXvt8Xrh/g5vONxaf+6M+5v/H1n
JP/Agy98zB0D6kZ+mUj2+84Y4EEJ2BATgGY7AIfG/jfMDb0BIk0IH/46n3c3Bv7ZAcQhJp+Bb9un
l/6NXTGM/lz9I3SLDgOzUCnSiZixlnh/SdXEENFpT5hz5zkcI28b5NqD7aOyGOLZhRwghO+WodeW
amU9P7iNVI+J6p0HEs9YCSGZi/iRYRYSNh3IbDmcWvWM0Ufx+g5qBGhFXfUwo6HXteOu4RG6gRIB
lDDhWWAHhCIVUGVofYtuAHxLJykVhEAhO/edjdAGR7LIctj1QosSJZ13DVEPeK2/64qmI+q7/EVr
3FXHrZ7DsxXxuW2Vj8mK6hTWGAI0Qaw0xPzogZyBV4KOyXdFk0PaxKZxxVzjBGNfwgIh9PmW7jpo
j0GWBUYg+we1Yj9Yd71UdQuGnkJC9dekKygjW0p2fXXzbU70Mt23E+xMsWr+Ou96rOc9NwHagcnp
bpuR1TmCTQ/tBvIIjs51ddsBBmhzZzHKbWpsGVGgTwisYGTjrgXHuyoMa7Q5i1+U4l0zxjAmt5h+
EZKR18GmsKvLs6QkxWlx7uD1rmkIEbrVA4ajNsF53DeUbh6Wh23XrMUUdA8LZOxh17OTXdmufhG5
kXppSscBhIyojeDwiXY5XO3C+PaLRr5gLGqO+Vt7ZB/oGLwNIaunEP/sAUM6pVvgwhYnEP3zoZ+g
aVeRQ69NYCfMUkwqDBnAm8XVG0314Jn6FQmoMK1F9MbQu6V2wqwlJL5eO8QOikrLTxjjfYZt8f+w
d2a7cRvR1n6V8wIMOBbJ22azZ6nVGixZN4QsS5yn4syn/z86J46j+DgI/tsgQIDAVqhmk1W79l7r
W6csiPIV5oxzBruLaXT+Hs3Wuua8dZ4YJHg5LnLPlE7quQgDV0ov9rKv7YNuVRqIg+kuSmgDsxdt
zYh/uRJ41Gh1nK2+iTfjjrOKtWq/yTplzxZ/hXVNOUyQMrTSyAzwKA3gAcm5ix2IE6Sn4/9YV0nW
nmTtQrDjQTtDvRUbSaPnKMwSOENZbku5CK6cudsaEeSD3l636qh5CMiawzDmxirrQ21jmYFzzYxu
o+TuV11pTiLJL2XXPQSKcdVUto6OQ6muJwURmC7kAqObd4sUcZW3VnavJgHGCuetVcZjnNlHhlmn
KSpd38ZqWI+TLwBT8ZnPzlScrBx5aq8csfKf8gisUdxZwVXhQCpDHY65IwrvcD6E+zrK9jLpd2nN
l+Tg46sWfoqS2MiTUucl7DhOtiI+jz3m1rGgS6W0fe45bu1pIttDC/AdScKodFZDmWo00N8RX7O0
5Bsk5puKOlDtG8zzunpbNcM6qpK93ZtHd4Aso7XTKmottFlj9uBk6lk3uwfRq3C4U7cUgBZdcQic
+b2qtVtr7vZ256wNPEkCG6CnRuPRUnBR9v1LJIytkL3fhCEuLIsKMS1unVL/6uI4W+WZ8da6062J
om+d19UVfdCNkppexXeMgZOxGNVGmPcQXdVqhbT8dZ6me6oPduw02csuupnL8Zw70LaScNEC7uy8
9FhI02XSf8mL8XqqJ0+fp30RLBxcunmzQpWQ7myheph/dqIZNxwHEBrp8atwOiRT1U5hUpUiGpyq
8lxUKrBStdxqHPbR74U3OlVe3Ie7UXXWeamcoBzipIpf6g7tajp6mHjeOf94gdTWkIy8oM3eZPZW
Bt3t2CIacmCtqmIVD8WTBeeuoVkKkAH0PZKeQD/T/MYoJTZmjykjHG/N0b3Pkllfc1ZgRDGo29yU
nou7YoXrY8Uha0OV8j7V8TUr3AYMpIf2fi0cRnphE+0NbdqNs3xStfYwW84dtewTbdDbsJ8uXf4V
e/hbraoRQjaNOj/exKLaNMG0TkNzabt6oRFdsI9dlb1xqwfgLZUWDCxVJxa/SlV3itvvnEbZqDCt
E6s84SN6kPymduBSMFqVHyj9sVG7Da/ideM6G81oDkYwcUGgyRU3jEJzXdZBQbdFfx268on/FdzL
wFhPjVl5vEn12sYKMhUolIuG041yRDy3nxXbLycK2l6mm0hhk4iqoPZoe6erTthbve0f8654bhk3
T5W9xyLvVxFjX2rWXeHA3BnzcjVb7lZL+qdBqo+lTG5LRQPjNm7ioOPeuX5YtDu7tXg67S0o4ktR
ZscK4E2vdHdZbO+cMTgHxrwvzPzQB9pVVNK3Kbp4g1HmpgoWIhr2scG5JNI9MRH8XIkMc4/aeWQG
PARSXBrZnIvGumV4qq4crbnrFmUjUiL8ILTBrOyUWeEhc2pY5AA65bJQzeXTlLZHXVrbCncLXG1s
1YPXDEvRU8BpKx5kNR00vTwqSLXOSqAGX0LclHdNg/WECvUgIV3Ow+D1iAsUJUEgJh6SNgelNiD2
Qzr9GWX+SjdTBL8M0WPtq8ghzbT1E62jPXSrM+ttzOE33WpDc6Sg5b3MOC/PqvY5sppq4xrpfc6h
CE5huk0N7SZJnYRRZrUqysHYoC7YBfj0Bl3JMcyAjsKZbocDDa5JX6dZ4ltRcTOGYpsE4wFA89dK
qXylSV5aaa0q9j/eAMr8pLf9rqPrFSkF5HRq7xbLZMYmgf5h1yvO1763Nk2sbkN6p7E6+kUJcYfZ
34iSd96MeXFEe3mUrXUPPJW9Br10gU6pjVNPiQblUOgmzzrgOpMxrlbuM6W9mpXhcyOr186Rfpgw
rwiy8QrHmUQIx/b3Q0n7EybC0hf50wTxe4VIj0bAELDpUltLX+UHE0Q7SCm7uFDOag7JMwW5fatA
xPv1Rf46wPrjIkLTVINJMf3tv14EXyk0KlNTzqPzRULD7D6PJaPTdc6Q+tdX+lnBa2h/XukDlaAM
UEHOAVfSnevIpF1ga/4870vxKemeY47hv77cT+8ebxOtdZpfMDD++sF04J5OkJXhTa88t92xDl+L
7PXXl/jZJ6JapljmMguC4K+XCAQyA3eqohsEh8mwZaznZxHn83AbgxPX2+tfX+4nn4hpBYcWXDjL
vODDiWEBwuqT2sY3BHmsYoO0i3Bbpf/wmf7K4fj2PPzlIh+cNw2jNEsEXCSRctXKU+JG6/+/j/Gx
HdjOLSh3riCrKzFUXop8G5jury9CO/Tju/OXj/Hhq6nSBQeWN/HNqBiryPLc+MZk2O/an63YE81Z
R3D76yv+7NtB2cSsiTamJQz9rw9DGjt5jMY3vrHrS62GeFD3dvD+769hCDg3xMHRUXU+3Drk0Ipw
epncFE3kM2K0i9IbsodfX+Rnt84gjYMxuUZKjfvhIuUQ2XYcjwnfz+dCnCJOisQWrNzgLumOZl9j
g7/8+orLM/VhoWOJ+/OKH76syKWYrbQJ4PSoYHh/RPj3D4vBojP84RL0ywkisUllWnIyF8jjh8Wn
Kc0ojUYtv0lOct/u2TyvEHf51iW6tbzCjzeOp2x+/an+esnf36QfP9WHS4ISz0d0pclNL+DWhcyn
XBaFcvfrq/z83kHOxDDGk2d9+LbErAm7zdHABrXrYb1eGnm/vsJy9z9+O0wXeNoQdIBU+fBgQ7FA
WYsG6Mbm6Ds5OtXmc2zCEEySf/gsP7tjP17pwwKH7Aufhi2SG816i5yLFdzV8z8sbz+/BLZGBoy8
SfaHRy3W0t4x5zC9KYqzRQjRuAgWOvEPW93PXiEetu9X+fDVpxLv4BRylTh9zZRdYCi+NDdWimm5
vVFShmf/8B397WPpKvwY1USq6pLm/g2+9kOpoLt4v3K7zG7afssIchB+Pd/++jH424P24RK02X6s
Roo+5IZGdXYzYB0g1GQ9JdY/3LafX2IJD0DEC9rpQ8GTjGOuZJy0bprsVZn3AvLjrz/D3x5lPgOp
RBbvCY03/SPjjaXTHrRizm+o8/KOBIBkHycUpu7bt+v8N6xU9R9u+N8wbgBAfooB5oe+d2Q1wqHE
kkb9PT7ie0cW2O+SyUQzlCeJYeWPHVnQhC59ut8ToATv2x8dWRd2sIX4ki+VKhnV+L/pyhru8hT/
udgBTlvIWYKKbunNslV8WB/6aiRIIoyMczOaqjeP/X6YzHqNupNGpKg3jFg6jgrTo61zhG9C81Ua
zomORrq2FthCMiIZamV0bIdSXRVqcYV4Uq6cuerWI56fUYqGBoEsvbLsIN8Xn6M49CGA3OLO2tLE
POiGflvTWkVLMC3uNL3h9KGfCuirYPNt4g9c0Pdu3oJBCB7mMnm0YLwQ5TOPnhjzsxUaZ40FwK3L
g53V+9Sajf3cB9Kjaet4fYRbMJ193ane0ZTddkNoHYow2BKC9sWhkek286cRFdoq1WnhGjptOGGC
qV2mgerIIMSuok+D1j2nI2Uvu+pOB4q/qhobnUUEmKclyocZqHGd5vUhS1HJc5B5r8lkWI34oL05
c86LBtUbwvqcWH11GHNOo11MoBStHMbCkQw9zFfBdSPKBVHazYxRzPmdMWZ63Zv26xxzc6sgjy46
ZIRV1Mi3CN3WVVJme8tVIBPo1bSNisY5N/GYk8gw8K11uMMk0zIvzccBWkpBEyHRxDbux3BFy8ra
maMdXtTQ0LZzBb6/ZoJEPhfddjhIWOxyI/TVKUtgI4+MlrBXb5NoIZzN8LrESOuGBB2wHIG21sYJ
WQZt6I2pVsHGHIzMl3mrb2kRw5M1khPasyPJAee0wEU3hTO6XOc9mBOxStBqc+LFDjvhGPC1wJ62
aYeTV00ihxuhTYjdanfbJgJRzCi7ras3PccOCbIMHswt0g1n21UW8HqcrztVxWXT9xisG8NQLhkc
bJjPfNJ6FLSkqDc3Tqhgdp8GIPNlyHEbygwC4DQ+WE0zbDFn3k96c9N1auFHCj3Bsq2+lBkw3DgS
kI0wQR4qF0lLqC1kvnm5RbFePA+NlTwUIHXAC3MqnzowhDoSZ/p6hXYGhA02piIkIOa+rwxccDtn
QGASDSZDdruLv6Y5jjuVFqjfh7myU9tk01lkEAQFAU60T1e5W8A4NonlcMyko1s6OGtZ5RnOyURc
Zm28JGN3K4acvBOd6tzL9OwaKBeWgbR+b4v5S4sce9NWWPcyN5NXMQwOz6A5mcla7MU0BCeh2D0Z
A4V5qyvdp9gtW2Wttt0YbCN9ZChIN/t14LeyZyy8QZRkq8aJapJDpntNGTQCGUJB69U9ICIQRCRO
2srtOySWZGtUYNxgUIV+XBTKQTHVXWwYDz3JUYRtRPd5nRzspLhhzIjt3L5qrOfA1o8dcRK0grK3
QbSn0VTo0KDpWTtDh3kbANPOdZcoGklbI0zVk87Voio69r35XsMr8rQ5u1IHVVv1rv1pBs+8ipMZ
wH+Tf21sGHQgqvZlMl2oCE+dFcNHi3pjXeROuaUlRPe5j6z1OJXjqo8J2pL89aJBWmY3BmENE1+h
VufnDpdwNgbPatl9rkyWB0fFZmWn8hgP2suYCuE36ZL62JThRus0BKYGjD5T+n3SkIwwa9i/mv4K
XfpjB4V3bSvmjTsiFihzph6OZfE3W6zdXYp0o2rLY5eoO9Am9OnMYJOoZX0m+XFibp2oK2V01+0o
35pA4Mvu4zV0MfEZTWdu+WUxontoX0vT3hed9UTb2drHOfNeOX+Bw4YFDy48HzrbRLraQa+Z15mw
r5lybCO3xNgoBzyKGAr7UtsptdhNQ70mqoH+fTxcyOo8ZXoDkzjOvrSOu7ML41oLq61i1tsQyhjf
qTdmGv9tvUROHHtN3L2TuXkDtpAkmHLat7kZ+R1DfoVREmQohb2AvrUxHaM2u+T4CDTw1bS//EgU
O7vLinWXx/dZTJwmEwzMyo2NMxktAeS7OPMclRFR4+oeusm3YFFvsI8h5GgcvXGI3CNqIxTFrboo
Pv6rjX4XrHJc+b8n1iBuX/o3+dL8fWK9CFO/10cMn+n1ucjT/3C+fa+PVOJhLfIxv8m1OFx8r4+I
yLRUfkgVSFl/F2x9r4/s32jqQYFFAbugcVXxr+qjv5viHE6aLlvCt6G5a388BYQOG0nvlGdVzcJd
Rd0QhUgmpTEcO7ufEGXrzWns9HILB4T8trG7KRLiaIwi/yJNvUTQ0pDkElm+a0jmDIMwVokZ1R6b
M2GvCliEqHWUlV2Lea0wsbupQ/cxsmYi/qRheHibjrDMTtIyd07psuUqjNymitF3iDGsdq5mOaF2
xMG9gzVwCHMIGqlpHWaHTnVo2ldCNx9Cq0JREjsXrKrpupDxpVXliw4zAGRU+KnPsf4OiJyA6S3m
436+EoX9OAYw1yCvPLlZ+SjG/uim2mmws3vFQnODYMkDr/VQyIDFRgOTGAxHezZviyLBDKN81uPR
C+tw09IpRthbnSq7fNIdcW1EeUKPatz2IyFmPBkvbeY0CHQyEP82qiFBmhZOgWwNdUNgfKsnpo9F
5/dMoSBl5mc5QO4oQmNXRnqMMaq7HjIiAsN50LZW2m4S0mHGtE88K9XoluvzjRGIV72t7tNu2sCI
Il0ppOtuis0U5fsY5NoqsJsb0dkPUR2EfmVOTyJmqB4PVrWmimfYVsTlxoinZl3oNiXvfJE46zda
lB1GLXuLlvwGp9UfBKZmEGPgPkTpnmnb69dZYO9GJ7yryaTZC9JDwXMexZQkHuLCTWz3SGZrcFrt
nPgtLi7wWs5TJKh2cGKhHyjjLQJpCCl5+ZraolwnLTJVwmA2mQMsayH8t9OOiKRklefJFymNN8Lk
3qjIw11Ym9cLaAytYAgcts/9ZMrMT4aVwlSku8EIK/bKAhuyJfaZpUHvizbSCYmeBOzoT+OoM2wU
09b5JqgtrK71h165xNXwFYrBID2m84mnkuM5IwPAhVEfTKXWPaRrO1eUuA31gGxYdCGAUZydvsSD
kl/wAnLwPlbLdd8QIrFYPHh0eY7cx9LoDS9agkYp/Wo/dsPRJ0oCCwlYLbbyTvOhMGAqtbJbtwed
rAeYzMgxLVxxCvpGw5JOxGkWEh5iwyTwnaQiQ3OJQhW86Rsy4BDzwS47TnpxCUhONcLBvLRkqToS
veSCyWWexWeJWiZHykwipkmGZ6jO57LkTUmWgFZ8ITcBia1RTqpAtYS4ioQbWIjnlnTXprzEplmt
pHRwwufBfhTl9YgacdUTDuvq5VekWzgyiY3Nzbzy7bRJ18qopOtq5vkYrBpwcm2F62WUS/hnMj/r
Sxwt/elk3xBRG5fMfOuAx6DPg5dpAQfqU30VLMm2BRG3I/EPhRYp1KrRJyVM39KOV0YvGHJBM900
Lmr6JTEX168BgC27B0j77iIwADnEc0eK3Zb0kNA3x7kmLWReFDF1cVL00brSyOhVUExejz2AR0A3
iW+7c7AeGfuTw4a2I5SY6qOhv2JoidRxCQHO3PgukjzNlhkSZ5HBvDEDvnGwj8CTp/mCMk1gAsI6
i+t0hlWk3Bq1xMC7aDOjmfEmqguwr0s8cT+1CdNUyEER31dPhHEKJRUJUX3JTeOYkXKsBuo9dsxy
rek9g3xL9415HlHJlFIm52rU5FPqWs3gg+YQidd0ybHreqwrbW/kOvmwAUklSdx8dtwwMk//1QS/
1wQ06n5RE3DOkC//A/O1fflJWcDPfi8LNGD1JnsLme3/q+P+XhYsHDfNYounaLBpkvxYFjDV0+mP
4DOBj7842P9om5DVSUOX5Brxe+D2v/LKw9z+W9tkgX9TDsBo55/FsP9jc9DNbegQDMrPwGbAFHuy
LtUD4gLzUNChSLxE5A8E4rG6jsrJKXjHEivvsb+LdVQoaLLbhNyV9pg6411PgtoUwFqqIkGi4eCA
ooxnCL/tpyGfru3c2FsxhB2MEaBNcF+M40FUED5GLDHxzJqSczAdAgRZge2OW8qGd8MJCbH85saK
08kDd6j7MoVsMzugXZIErk9GXe820edJoHRtMnPyOTrka1VW96YAeWV2is7+SWZSNaveNLQrk7g9
TxbBY0Y2UqsLwrIRz1rx8EV0SLmCmrg1zX4lEDf2ehE/CWiiKxj4e2N0vK7mZAsz90mE5taxqxlG
krGJHAlIq8l3OmywdV86u2bEQTiZHEFoU3yZyuBL3o5wyCIgaeQIxGSTernJpD0d95ynCTgaF7V5
z1nECauvIQLy9agVTxU6VhZpjnFBB0ss0NFlpNNLXFnBkSMe0G5LRxUeCl8pHO1Wp52zNkE+e5CU
6C7hFd8OQ3rUrLpnCaAW40gkW8LwliQlO2bxsssNenxE+RCgfSdiJQrdGd+LXjSo7pxxneKe3zjk
Y68DGEUeIBn8500a0UkBSz2pcYDmpomP7IIZ5KWhvdOtfv5ENnq0LlVQrpAB1CuSo/FCDWn6uZRw
PTh/iif2zPy2kVp9E8Fm2DuaHE+1i5akn7LyoAvWzZVimskpICFyIQ2Pp07Omb6acxQSoxMrDt51
pd4XunpJS1fzo2ioHtSJG78NmC0/K4kbvpsOu2e+OA6HdlqIR4435YSxN4svsV8cio2E4YtlEes3
d33wa6yMDZZGdfE2KnV3LRe3Y7D4Hm0V0lG3eCHtxRVpYo80F59knavQ6BfnJBZKENXIQRdXZbH4
K4nNIzLTTKFKLe5Le/Fhlt8smXp8Z//u0cStWS6+TTpG/Sfkoc5eQHlZRYu/U3FwegIMex8X7ydS
qPW4uEH/W8x/X8yZV/xqMadh87NlnJ/6YRm30XFoBIQwSMOG/IMjUf/NZmbIDA/Fwjdf8h96ZJAn
2Hv4o0Ws7Kh/WcYxK+IfxAYNahZVAD7Gf6FJ1hdv48futwqNhZw+fgXHcpY//2GMNLJowl8G7JbO
lT3tZ1Hmxpc+MtrgDNsXuR/dbEUn4GppRHTR3bT4D1IMsJwB8CRA0AAYltWp37mtuW6sXN2pA4lg
zuJn6DA2aIvDgeXmZV48D7kRNWuJDSL75ofAGJEsBonFKVEtnoneAarrLD6K2KVtjhkxwGGDy2JY
/BbR4ryIBK6SxYuh2fFjjzkjxqRBILP0ynFd9KRv1vgqGcWqoCbKC9FZn0qMHlSz1ipevB/64gJx
Fz9IjDHETeRFLE6RjlbdysU8gm0F78niJ4GkXax1JCVA7Ot3A9MJ9ofWyxGktdMbJzBrDcjfX9TZ
6ywHz6RjXCkQQdK/qnZmQ3QBx2T0DpWGHaPk1DwD6fS0fjwaM4g9HWMMkpVNByoSyspWwzjTYKBp
jMaXGGpoX/a0CuEtyX4RUZKsMJD87gKGmI1TQW9ntpDndWGA4tHGzkH/x1kaQVlW7XI6Q2OZ3Gd0
itq2uFRSPUZ0kED3AoC28kvPV9otTSZ1jGWxbRXN2TiiOmhW/gW1QQZaITjRxCTcFFqJSQNXHOg8
yIs20uB+BjhGlG1jlGFxUeZ2qrY5aUqcEVL1CT82Ph6i4V51aCLjghWJ4Yuw2W6QH4SES/PHcTe8
cb4BRrJgSfJ+3LVTdG0WgePTBpg2NQwTorHRIjjTZ5LB7tt5vGi99mxAPVGhn8QLBkUsQBQbMkqs
j4dhQaVkEdwVvPnIlaEXMgHsV5Za7xIIK6gpd/aCXCE84n5aICyY6GtoaM45WAAtmBjfTVR5XdTS
MUyBuLQLzmW237WkNCGvt5/6BfiSL+iXDAZMusBgLKgwEiT0WIGJkQswRimj1zCtZwKLp3njDAR5
J/Bl0B1/jpF7lwt4plgQNGDwaQgDpWkXPI0GYnpcgDXUBDcTBBvZqhQ6IG0S2DZWEIU+LgV7hW5z
xduMExc77wLEEW15KCjlVxGI/26B5kQifW+g6FTQdPqGjnaGPimdkmtHV4/VAt7hbH4syCNY6QuU
J2HLlwumJwGhgqIZ1nS7QHx0aD5F6nye7dLPM7SU0H6MBfszK4JeReQsklrrwYYNNOrKCtvXU71A
g6rI3c9jfST7sTpiNHsSNM9JsLlThNhHcIcUAvgiVbyRXHydwyWCvdN584IqqhZoEXEet31P8xma
UUicrlzwRilCvxVvj3huYB9FOhCk4BsOCS4SA56jaAk5/29r+7a1Gb88p9y9FP+zjt/Cn7htlh/8
Y3fTxG+qo6mcHb8dNjR2jz8OKZr9m8Xm5RqISHCc/jDbNciF5a+zHyIAot3AAPf7IWVJ6DI589Br
ZG9ET/Fvdjc22Q+727Lj6qgLDCa7roZa4q+7G8i6iIWMHBtOMbBiGACRtuAxWUiX+NWBqBqtn20W
CEZ2OunLLKl3XRmsw6gIT0aX2C9ptGSm17Az6+fEzjTtZtAaVKVJP1WUgX3hnqFRzYfQ6LJ4X7eT
fk9zVrH2WqNS2Luu0p7zwAg4ngs82cxWE+0utt3MPM7hnDWvbhGK4UoalbQuTLG2vSiytwDb+bos
4o4VmsCPZKsmjrZxayfubzGjtXuT4YKyIoKcuW6gTt0zFTknELuO1KNOhPdR1jWLY0Eyqh+N+AVk
TX3ZqVN8BP5pnoKA8TTetsB96Zoicmm1BANsJBMCQVpE3U1EIAUOy2c7DV8TpsE+UUa5VwnrrWrz
N+GWaPb7vDa/IiJmtFB4eh0S0TCr1qZNlQ49SihWva4y2RjYxfEsDAn919Z51BSOAy4b2esYi35H
6ra+j2B4nxTGz7tUkzbZTt24n6uq3poWKCxJoU1Hqxg9y6ngdsqOPbAntDxqSHwljgIsSrB22vzo
dEzKrUDaV5NlzfvUpJ8as4SxWkZbqKM4FEOImQZcKY7oHYyngn6T4745ZqSAiZ53jErPRhKL7RRw
3lOaJacwgA+JmvrJRFS+TjmcYC0FlETABfKIEaSuHK5TWAeYIiIydTkNrSVcVj9RKv2sQou+I9Hc
uC2EKN4S1ZSHvI5JVenR98dxjTS/T47/rVrfVq0F/vd/F+RXdFfe5Nv0987K8nN/LFq6+hszExQn
y/xExwX756KFr56uBmIkIZguftOK/K9F0BC/AaYnlHpZUmz+b3+0VSyKeOLxWMVsOisLnfBf1OMQ
DT+sWIBGKOtdUjsMpF2G+UFHlldEFk+sVte5MfebSg1MDsL2Z9sJ/dLuHvVWPKTzJZj6Lc1vX6+d
S9eGD0E24/vm0ODBfl7XxXQlTkmovBpD+pAT6rHWDJlsyUD5IlqsfZAF91WOTCCEbV51Ja5DCSWP
+bmnq9qzUvTVF60lNtqgX+vj3A02c5TshhjMWxDKA6tKvEqM6DHHCFJM7ucZs0hWOcCM4/plSlII
R8aLFNoT/VGd6mS8gpa9ZJel5bqqlz4jDjwrL/tH2gTP1GrxsYDG52sDuDy1Sh7SLntWJ3vemzmO
n0YpMe1R7db6Mwf/axQA3iTsO1du01n1a7eUKysZHroo/szJfjeo5WMjlfBg6yw1YJfzor/WEk7O
2XQ9TvE1CWFePUlm93H0tazacwiFaFWL4dqNB2MF+HxvlhtslCvYSp6u34X1lcRQ1aafa50+DL/i
tmnQqCAlWGcmNpjWkiScJjpWDzNYlYgodr0gRYgWD7YG5STyctiVLbOlIO78oUxuK4zYgjJ2Y0Im
8mhA7+oy+yoxItBZaqpVBOVDMgeCQdLdTIyQ1QQ7kQoiFZkLp4EY12FWcD3YAo0VsiTa8os6TzjI
VTS8cHRLLBSjCNyV09kn1ulzVrnXlK5rkVgLJiU5DSHUDtNeA3nOV625aCBUqwcaB3ApxHTliQEs
MoqeGh5L07BctRDkbQ4kU0y+VZvPN0BlXzDy7UOFnIOuwQ+lKtNiQ70Mtmg8GwGGqA1ogkntmXVy
W2g5qHa+OQK4H6xyWNV5Jn0UZM6pVrR95pRX0Jef+3z8FDVgg2tnWGvDRLaTEOUKfHfiTVLLSXhu
9zTBmZ7U6WMXQ4CYHRhy0AsuQWMajPDGXY7jeyNDgxyCSQyrtNwbDOjpteCTy0tyeqqzKaNNKtSt
pWU4xbCcVT0ToSkz7pK5eM60+Nhqw1U566TEtMUhaNqTCuhTz9mDMrXaO73zJWnCvRuFW2FCbRBO
cw///K7qlAcsDgR+l4dOmm8ldW8KY1BRi+eiyR5EWnNT5+FkGvJodOVV16cLjWa8ZHm/HYP4ZC4Z
DPOwq9xyry1i0sncYf06hBQrKzkZxyobjkOj3pBnl226mSQtmDsDPG12q3lDtuAZigIM8dk+SFe/
hUh1JG57Z6aozKYs7/ZJr59NVV6Bv8AA12OOnWx6iPpdUzaPIWqlYEyuGNOuo3C6LdSMEzUvfZpB
uh7ixzC1t1aI+knEzn6yOISTwMHT0V4ZBS1K0iovJn49bNqXXOkDToa1F3VyD0jySR2HRZHAgNPV
u9shsujO9eFqtrF5odZ86loDSQMSj6ld6xANvA5Tq5GJZw7Q20EZ/NYdiGjoPxey2zWW+j43IdAQ
SPZzEzzFKrJw1CSEitzqMWnjmUO8OY1Ii7VvNMgPMPPZlyI7umF3Ml1OXW3Hbk/7jTTDs9lnnFsm
BGNleDUEFD/kgS05Hs5Kkdm1orrbunSvJSlPnjOMm7xWNT+2tE+x1p3ogD8aqXKtBcndvHyFFMhf
KgiRJcAeGPHwBpTHUe3PhqZdqylFJ9FzvpyGF12h+IqrEEMk8Q6UkpzINGtTdGEM7zp/rgzjakIF
SBm1HJdIly/I5WmE9gmX46FGDxZFCfhD5QJCXvN0894OOz+O5y9JZt/NVhueCtBnIB6C24puhVKo
JGbXmW/O1rNWia2tByvTGKxd0goTLuSo79LR5F0O31LGTRRLS3qDPZ2A5ukbTWOKpsbG1q4hKfJQ
VJ4+Yr0Uobpr8u6pGeK7uphPUxfeB7LZkfgQMqh2PhVDvOUz38NYfWzrqCcS7Abl2TpRyTFIxMSy
Mm4tszwPbch8dG7WDnWikmHSngn1aBB5ZRo5HS63RjsrcLFXESbHvtPviAJ1fBWd3dqRQ7rqNcCh
hrhqMvZ7P2sUPfO7oY4/WRCnWfyFfdQLYmZyQDCbqBarvMZwHTs9b+d8ol0PQELykaapIhsNBkRY
uDdObjmYgvvCn5W4XumU6hCt6Oz2Xf6lR7NnCsb/7DAcwh2O7pWeecQoeda33EYAHyMHEvD2bn+A
rpGvasIsCtngnzeBo04FvP9EaisRj8A6suyxL0OdObWQmCMdmv3E7SmrnPGKJ/PwNGhtdS5qrX1K
NJt2NLIJZdM5g3VpBpCxGTJU1JiZ6QDHh8TqV8Ocrcm7OmHZP/RVfKM76cYcmV/qkGbq4Das5bGr
iT6kuQxjA2RnodVPAQEOi2fPlxqTlj4dt50ZpL7Rtl/6pPM0OgRmYFz1A/7xKl7nXb9pA/ptRnOP
eXRaO3b0wsr6STXkDuDBWbXGtyAxjvnMbXIj7IWxUdKnNp6q2TpCmLpCOGV4glDNJMO3WGG67Nii
5YQJWcjgnKjWmhywW0788crO530VipM1xjtgMyjgqn3uDiurVNM1GYEhQQ8Gyo/8jjx7ZizTtEZM
cF9kQ0EzLz2q8bBXVeUKApxHKbTVx3pPfO9WSaN9aNfHsGofUe8cs0I7SIOd1nA2qVO9BsnsJ2l4
GQMqhQkP7BxEvqSPZNXtWx65J6UovIaHbvx/7J3JktxGtm1/5dmbuwyOzoHBm0Qg2oyMyL6bwJJM
En3f4+vfAquoIlWUrumOZVZWVmVSRgfA3c85e689dlekiny2DS1Ag5UfCi26q/V4w+xi7ZrxtDIy
ex+O2n2zjKjaHDAS6cfApgGE1QNc9MAjSmHJFGkgp8p91ukv2BqICiGX2YJabECQ5WhRkUaaVqzu
yUtKgl0A3Rctrr5xGX7TJ0wPooyfXJeIGme+AZIeYqKUDxOSRSMunwuoUR6z34hBc/Th10VPTMjQ
begEnaG6nP3AADXc2hsk9Mv4Zxe70cFlILUlT+CqT+Yv5WSdUVbyjQd8+7bOzRIUg0XDT9GcgqO8
8SfbuRSSfpXZbYrUYRzYarepKU5pO85rERjbhnkFIOFQMivCCBlO9qs1QBhwWWnwi46ncXSwecN4
Ga35thT2q67H/raMqheNieRKs7tt0vQp5k6+teODglyWHkIREOu54T5g9r62yuQaPfE2CcR8EXp9
VcqAuAOM4l5VZ197OZIkMFW5Z/L/pmTyZF/dB9FY7tI5OwwKl/jUdqe5XnZty3wZJQ9aTNaAV48U
nNVknmUSnRMS/UzkTgcVzs0JNDPy29F4BpMXHIfav3Wb9BW2g7lfHnfbWFxXObs5fhLj1QnbeyDT
t3IYo5NLzoEjy0NQag96wImmsDS0Od0uQEGiZcmpCrRdp0ygtlb2tXOQa9Ab2QSG85DQHYza+Crp
bc6ZQG0bvX2ZZHXnjsAq81KdYxkAiI63qTInCE3xU5W6r+Zo3DG5KK4sg6yYLrCLrd6ar3MGhb+R
Yk2KU77Le15YoMMpSCLwytzs93HKmK2BKxKvAzPTjHtSdHTKiLoW5sZJJ1OP14lhi40uI9TP6x8q
vpt/Cfd/jGWnFPthoOEsLFnG0TrGAEkthd/n55aPHmnaSFxBdIlLbB75dQN11P03v5eIuF9nv//B
VfLvN7GlSQQ15nC1VHE/TE0Sf6zJLmmiizYdRH6tkSYizId2ePjr7/Jz++rf30XZ4Gs1Rq4k3f/8
Nr6muVQBGgd3/etQPArjf7Ab/+L1FVZZTTcXHxFygZ9fv3EnuyjsLL3kAzcaQx6GXb9X37+4Fr96
fcw3/EL8UAtF5+fXDxSBOYaFLtih7rBuLPdfIpI/vQwMz/77Wv/w+/zh85t2gr6HpRSM4Y5oq0Ru
a+WByxq/pLH311/lF2+1SB0WM5HFxM79w6VIHbRPw1wkF9T1eL+hVZWLuHDNNizK1V+/1/Kx/+NI
+XbZf7osyy3+w92lyYiIZTtNoUyuXeQF1F2tx5o69du/fqNffakfr/8fvlSumNJ0zr/eyIg83BFj
uGUfWbbi8n+4137xXII8Qp2ytIQNJCo/fynDyvWCjTe/NGThIpwdN5b/+a+/zq9utx/e4o+329zQ
LAwsLb/kznvsv5rif3E7I6g1aXVijsR99PNXiCtSQ0yh55eYFdBQq3T6XyxeDHA0Gxotj40Nqvqn
K5+LnPO9LYvLrN4HdWbMScTP/V//Sr+66NzEChAuKYvymx/qh7vLZUSUE3iOhJSD37R2qpW0bhGb
FKU3G//DnfyL93I0voYulaOwFv/hF4N9SpMttvJLuNTUSPYAC20IJSw4Y919+1r/GPCWVfn3Rfe/
DHib9P94Rf3+8YtBzfKH33uegJEBoLsa3ctvwxjUWt8HNfQ8SffU2Cx1su/kkgr6vefp/gYP1ATE
zgZBo/RnLBoTHJCWluQC239TZI4fkxv7P0se4yCH18EOTogkpm1e9+cbvwr80RKyby7k+T4N+SS3
vVF5ghYuzJ+mvhGzH+zzzC5eLBP+o2txyG2VoFuRYYJrRJ8f54C2BiFX9Zqm6TNqUkWqgIPyi2d5
O5v4zbJojlYWPK91a3YFaRQu3ErcTihKGfu0OQqz0QkZuKpHt8kPQRjmW3uuyfO0iiNKjmBfG+oA
Pe3ZHxh+9nF5XxcLZFBE7l5q4CbM/mE0tCvMVOcCQtIymZcrrY7ldrJkCR6GUy7V71TJeV3M7hVC
5Fe/1Y+tXTYkqXf3GgXkNqhIqe8G8h9wmH2yUa3t23ak50Nq+9Ytxi92YX9Rjht7eKwgh1b9tTsa
Lyyw+ZGOT7EylPOu9+FtCCL1wMdkyJRdSBhZOUavQJ2w6z+NDKQ3dHt3iQQ3bMEWxjKzDQqsJT6i
2dliypMSwLRwiIu03JmQiVU93A12EuyRoFEDk1+1YRwye3Ek7E0nxgv4HmMVQTuOoB73C/4YqkWB
R4x8OZoVGN2gJKf9cDDs9o2ccM7JBiDlDk3fvKCVHW16gr85ODdjg46qpCLAEOSYIHVCUX6du9Ba
0fuON03cmeg9sB2RxTrusgipfxWxLpfVBMco0R8xx0SrckLYoTvhCv+38TproIwyZnLdQ2enwRlV
RHmctawm9Vkk+9IqNkOs3UkkzisDtiqZaFOzSrToadHA4/OCZmYIdLfAYxnb2+XoUdTTNxLFTQAg
bGU3zPht7UEJtIxDXH903bgnTvlodjk/MdpCPx6fSyv6UEZ28gWEF4pr8Ao1eFYluncza1A6m8Yr
nYo3GqSwtwO1m1yzQBoZ73UNBb0qGm/sQGjp9DWr2dnSMvDGWHnQ5E62r65lJ0giI+syI0FHWzoi
fefYK9ua6KclxAz1Iv4sbfFi6Vi3wvEuDdvT1IsHjBVvbYqQv4YjWnXiiiS1s2b4j2MeX00D7MvK
15+CjMZAWPsP/qiu2phfqNQDc2uUJAwmHPSA6Lz6angEQEyLNKDUGgXkMhVpnwAR3g11fA6WTBnf
DVaO6i+DNO+Mie+S+dFt3cgD4RBr03GOATDWzh6uSmGBNGqfHIKXgtzCDmpdiLLcG+SBlBolb9JM
L1bnODtGHtkqidDJsMzBGa8EAs/Fs+aPPYLMqH6pm+xIVud1YjB01OanLsdf2TMhWVfGcGAGG0FU
WJymIr3DjvmpNDK8W0lar2bb2S0x3xsMVg7oPNi5yF6zLTnZ+9mkZI6ZqByIElyPjdw6On7TZcVl
lZLFJjH7m6LTUKjDOd12dKsCbULvgSxF4ydgTbo1Jvs67tzPlo1WqFT2o26b1wYd87XRYR9k3Iwk
clni6nCGaq7d625OvRbigiibbNXg/XUJ5NlnWAdk2mIF4SRB32N87ubgXmrmJ5WhDAp055pMCX8X
BEJs4ya9kwoHbxWAj5t09UmnXbKReQq3zy43kyEgNEZgkVhJtwkWtbqdoYJUlG1RLR/yqIfNjBDr
cxkKiMx9vyELAfB69DyE/aWm2KZb9nUe0eu3uGPwfmp4cSuQgVFjCTRczZw9Z5icg+tZD2j92f0S
cGxdWU794GJ3wGmoEG3OxVsxk9pSmr1Bcsb84vdMX1XfMNAS1XruamAv6TkM5MWw/Lex6b7Kjvmu
kdfHdNY3UM5o/bXWbZfM150rUOVqNROepqIiHU+aQN1ad7m2gnpLWT13D8aIBs1H0lzET3EPTzMh
J4BPM7+45L021fSUWXQXh/iG+4EfYewes0SeZwsVbLu4iHsNdrDCkzMSrpwb01nazVEb4ytTGx9z
8qx907qxg8YrXbIqHf7HaIaMYlKbWFrLZJOzEYFGMUk7uaa3K9ZYD4LlPq/yfR23M12vhmXHpv1g
G9AopY8BQ/rpzobyN8+OdhAJE/nYDr06woSC01w/4A+NIMzFtF6MMt8kWo18D0s0gKwIaRYaoX9O
Zd8G0RonlD8/lW0xlf6KVLv81e9HModsdQ4+DocyZaB3+eFIhu8PLRSnLlvj3yDW7vcjGaoax2J0
LQ30/xBaeMH/TKIXO6BUlkKtD0rwb3ER1H8rQxengGtT7dJIodj5Q8GWZEghxtZXZ5Rxx6Ct+vy6
HfSJxLSsL8vCQ50y75yBqSBjs2B8orNGo7cA1wYKIQ5fR6O5z8Jq8sKGnvbQdjuk0V4yB1iFiTpF
zwzytnAJF8c+xYMKY24STcXIyzoziW/XdipeiyG7g4PwDC5QJrctIIJ7POp7AJbkRvgLxpEGoxYJ
0J7kXoGUr/Dci+B1KtvwxvfDyL4J00ndkIrVhGsT9aRBtC1UQc/yMy1/sJWgHGWdGjbNKP32UgnC
6p46NuJ+kybDc6IzyvaapNhHYRxPbMH19RCbx6Gz7khemzDy5k/anD6QYkxXPyw/64vt0A5h4Lbk
/dRtzHpmfArzGKacMM92p+MkHJ+YVVtrgwOh6IUnMpaAYHHbmWUpPYeGLB00ZcJqDZ8xdznrzE7w
P1n3iTNcwMAiPBXRh+6qh6wzv2hmHG2ajB/FctpbZZBcH+B22w+8PhyiMnkjaJZ9coj22uyS0lkx
w85S56FKpb4t8oQuoNEKEnH1fUjsRt73tZcN0cEICZm1MmATea3mVaMl+YZBbsrCMR2NUr/19Y5Q
MYPyLjf1fZFMzJ2cZFi7BIsfpp4oWdFpH1rhek7X0CrxLR8nW7PLcvc9CIsr21VXjYEmlvhBbBCz
C9ccZ7cbNoAhxYflzttUGw9ke5yDGvM/UAuvrGfS5vJFe++XX9uCZrEdMe3pRPZ5CN0RCwDITZdZ
n+72am8vR39ur1tT0qVvneLcWrHg3OjfpG57ywST+U0oybCm6d6xo64IMLXWYCqYXrPphlbx0sU6
BXLQHluuYNt0W5KGot1oYWC1tarYzLl5yPrpMlbWs2zas9tGD6CBwfRrzVMWhHehGUZ45LqdDJZQ
AJsJUB/Wd5PyH3Dl385VxyMiEUaRghSs3Cii31z7Nx0o+Cn1Bf4R8bmuBMm5ZpnsJotNapbElA8d
XpHAavCTaCbcwmk+Fgxz46kg+s8hm7LsciirPazjyhxOmEE/SGw6RnR9kGFH13ZcYjPR1BUZR3Kn
wR4luAW6LA+AZ8r4vdbKYTu57cWtzZdehMzIubNW8ZTZzHKNr9nEHDwpi7tuLtdtpxAkk8Gk1Iis
IC+wkiX9ow4+aC9M7k5/OdI1afQlnfSZzVG9WIN1r0uucF8kkBpq/UCZaDAzdU5hL7ArmpVDpr1p
bocqvkSBTbJNcpel/TkA2LgCXCY5aCebKHNv6IpXWzulnhjKwaCLP06rKrcfBolpR6u1r75uvmlG
+pksokM1GOzzQUs9IfQvZiOemiWCLsuyp2xo9Y3uEq41tXIX2dlrMZlXDFkmZgsIdomiUEglbo3Y
KRXKcOCpU1h9MgYisXSLGZVQ5aqzqmsbSOVmTqiu+vlTbeivFb2xvast0ZOuupm7npZ+C8TVrKFy
MGAiITucPvsT4RKaau/DvGVIDpASkGwxrTpFRx3eyltJHl2boXsbQoZ3svMHr+7Q3NPxJrYi0s49
RtVNYhlf+nlyvdziZBnrvdf7hdonSU4+o2DW6HYVsmuNig34xmfB+HItUU7sNYZ952i0mBg21eg5
Qg89Q6/uBmiEx8nBnixnkgqjfOQ6Rds2MCYvsuIJPFRYXmdqOEyZ/waVF7k/g/YNQlCmL8SCrss6
/myrnCpsmZxZub8NTGPa23ldHYrS3CZ4mb2Q1ufWoUG1Yj2cd3lcvdUOY/BaAE7wdwVH9ttQRDYD
1chdTc2gkRCaudtR5EjOrcm/tQm02KpKHqrAOGHFwoCdxc6OOjnw4KSA6u2n6Rh23UdClPA2LFvj
qJfGMhPC6ZqMQb4P83x+nIeMazNMYmthNV8JDverQMdlabX9wcgQ3UOhRONt9VdB6h59d74S0Zwt
Y5p66yPTqrNFSqruHaHs09xQ6YUdxm7O/zdlFz7k+gx/d5bptjQ4h3WhqKG7tp/tCqNcBiB4Nzro
CyeJZtXRmWPINLxpI/2GtrrmJUXUA4Wdr/BqnPzU8NCb3/S4qzZGXGnYFii3CUc8u1b82cGLnzY+
DQnlUqbaguGpsI6F4Uwb/Eb9OpirdKVpw5PskvciETdpHd0zGivWcPNtZjfSXtVm+SVFCh9kmrlt
DRMjR2TykmBfvCHVXkvIogzBo7PvIimDQ9N7Q4WurPCTq9zBGBKPcfAE89rDWvpqU0ytdB5dlWZf
66x9hXRIIFR7LntuZZNETt/S3Y10IZq4WfpEXEOEMCuihhLidtZKzRNpdI0IAblVkVylNScRkz3V
Ej0LmJTkmzZoSPyT408ZNP3piIPB9apEwKjOn7OpPo850TL2lCELjRGJ+TUqCnlF8seHKJ2vw0j5
aNNBySuAbk38xRH9tumKdteoctOU/NOhEE/Isk5zcJXF1CqdwjadvLtd/ClsWHx7jI5xrQilxgBu
taDAG5tY7Qbtikq4PBmVekzrZ5y5nyNfpyzWzS+GVpAsaqn7KA74l1nAe9KDozqVK5O4pTVAiGjH
ye2NE9ghGkkP5KSzMlob8HORrbsyutiVs/LJLJcGL16OZKr4zP/oWu2MrP1MfOpzoEiNL7EwayrD
xp0/SYMNDzXyjsEr/kPHOI9J9FgPA+VoQxyUKKubMnJPBHC4ngFeoBPYOlRsSeyA2Q5cCnXpMtKW
Q7aiusD1TGgXfGUenXw2WCxqWhJ9xVdzcrw8nDvJWokwHxrL6aE+KCM8DlP8NZRWtA0G5zKRZlzM
u8ZNcDoQD5B7cjw5InkI0z5h4GZma6TpuzjuSyblHGSM+ZPhwPcfgk+OjYBKZ1IDETnkYlXvRYGG
a9SH2GIj7usrHh8kKLTVqN+eZKlwvWOgbOqNszeCdK8DlgKZ7PmOUd7mdp1Nay2PbHzn4JLFc9gX
hbYmw6Spjwm+Pzjz0dA7PRLDXky3E1cn16xIeKZfAE6ciRfwHDc5AvbmUySCp03Uuxn90aouxFao
GEdVIoZtZBaemSWd5/fFC+iWeZM7EDj7KZAbIpIfjTq/H0yifBoDtE9cP5sRyY+E7/JNUeC5lnsI
lflO8uPNuGj0wkWtFy66Pc5dzTpZtHzWgKpP0BhhO0Hpl2hsbAicba7fcu04m3cuTh43PFU1gWop
ksGxVeceCaGLlJA5mbvKERdKd/LIOjnJRXVYFuUn9hZwYggSE4SJzaJQbDvty7xoFudFvTj1zt5E
zgjqgxjLEMsMpcSKc83g2X7+UQ/ZHuIgoVCLLpK0nJNZpXd60kNNRzmJYHTYs+6eXESVCsXZGs9L
s+96nuhFedl802AuaswGWWa96DOBeu3KRbHpyuQtqZBWhZekxKprTathxFZcg7Bynf4s8GzSokSs
b8UfgNGQfUvYJmhFi0A7W8SvpWhITbjttOrEXHn1oi/tEZomiGlbhKetah+R6mFXQpLq1LsRgeoY
NGvOveDp9beoRIewKFkNJK3zom2NEbnyAR/DpbRXnAU34aKEZVV4MxdtbDYjiSuQy46Lbrb5pqDN
5uth0dRWiGvLXnsfEdsOQ/6eLOrbvkEnjxw3RZYbLfLcRaf7T0H/raDXGU7/eUF//V5HZfErs+fy
d7+X9O5vhkZOPUAehoQ4W34q6Q3XQuv3rWpXzD++D1nUklyLYs5iUq4zT2EI+72iV7+hA4dwCP+Z
qaMOmvBvaMvhiP/XkAV0NVGXDP5we3Ks/nnIEtc4LNSsh5dMI8z5OtRb622UWujwGOR5cFNgUzjO
XWW/2aE51HtX5Djp2AaH13pWzZMbmsW960bWzDGlG7iTc9U+NwYmzW6pnEhPImnFjMTTqFM3jsGM
QEnXE3SB9g34ml1He67r7Ycgnd6HYH6ngQqHbLyzGyfjHKLt9DSLLvrEOUsm9mbsfY9N5hjaMSVe
g4YuqNmjaJ2+J1XN7GZgA+r0YHneAZpN5LnRNHOWJ3VcTmvOyurcgxmAte4Hf19m9p3ZW3cZ6kgv
MdTH5I/n2amRVvXyvcqr+9LQ30Inpo73EV1B8aGLqs90OSK8L0VfIGU2rbvYVid8qi96liAdztNT
VsMhC5NuaY9zYGzY2Mw6gI04lM66nJM7QuoeoRmW10YN6IZiEWXT4v5jUwFbYPbDqib/d90aY0hK
QpCe8iLbzKp8YZvt143USq/T6i9zU09g9QEROk23TxtsQUROyQTdjUK8Mwl3bZotiiddx1IK9TBE
6cyHkiBNyMnZRzn/y+xHwgbc4ikPkw/lJreOGXpOmX6WSfhgF0vmbhtjELL8A0k3QG44GPaWCvGN
kroZdPYpWHwGRWrewed5QB1FVoqlPuwiv5on466cHGTCGvVlngOKK/sipnIer3LijlqS4lZAVXZp
JMaVvqjwEdAviJ+n2G5Sz0ZWDM0g2tglLVML1okYSOsKNWdrVqo/d8sxXE2N03IYPbSJnT2hxsRt
k3S3c09ckWWE55zcD7YUqsh46h5Js/zkE0m2B0rUQV7Rtvg/n23deVF+sNZr+Y4TGcXI8jG0/k5M
Dqep+ZImNFQifev6N9ysxZlN65S6yQ068rfIdrNtzrl9W49MH5APtwetnK7oXXNEt+JTAfTKyVCk
A058FoppWmsN0VpCCl2LOtqiCTtbZXah73FluvZN3zCEbxefaqDMrTCqN/h+9B30xwxOIEZNdSx7
+zJFlGq53V0Jl8KprwpCCZsH0oY+UWhe13b3hdyOh6ZVB4jKp7hPSHOjmMJA7DYUS1wHwFEfhJby
iM0Bo9MxJSg9ty98eeYUQ/hS1RAjpJZddF/eVJa5rdzkkxD4UQs8xyokTz0zspuWs/gpN8IrlbX5
M8iOGikEmi+k7emVSLtybS3HCp/B8Vpl2fvgIxVtp/RWos1OqaPXBjbiFRlQe9eZT2neXncSvFRn
vg529t4akoMsbzrotzFi0tTnSMPO3KTazjTMvVGiCI18PNqWbXJyRBQ7Jej0dHCpLLQ0z8Oji4D8
KpJ1ftuMCRGnI3o+Foicuko3Zs91q3YvY+e5y3KwRkXGzIXxYUMOt9buGMJhf8jJFypHU78ZJ/NI
dpM8hzxYa665dclRnEIUrLk4rRqf5yoP7mop06vYjK1dy0+wGVKR7iWqzBUdPQUns/EDIrHsNty3
whDUPiFvPZWa3IrY/3fGwz9qiGVP/fNtepd+yXP2Y7IE2unw8f/+r/xXs54/+r5H6/I3h/tioQ6b
sPOWBvrvSgidIGjH5D+Ie9jF0Rd936SRT2galurvUgj+0fdNmj3fgTHv8l+L5tDW/84mLe2fRUwo
IZDmIKngNR3HNJeX+1kCNDVKHzvHvehZPXFOlXMJz2Yx2RsiD3WyUrLGf2O0WN/Cw8GSny3u/Bmb
vh27pzp3E6q65FPCPJCMICyYbbCdTJMBUGkgNwdIQIbNaFSbrndv6SZ/hXwZrVkUqVr1nQBLGTQR
LcVqp4GrdMBWjqXYiyj9ZNVwUpcYxCAebpOFdGm3tUdbdq80coDpSgN0HdbQUgmgBJMJ3/ms06iI
dDg7WDzwqGjTfpJojXIhP8XANkcyYA+1o15KMJxzPXymbLkGkZBaC/DVfnWhmBEDmaCwLb7Uk7Ok
xVBRuxA+MYZXl5kZ5ki8+1rv5Z7QOzTIdI+HhRBKdGsNUwJqKJI0vi3MIa8p5mca+9fOwhkdYoij
9cIe1enchyZkX6MLtvXCJ5V1oDYxyFIHdClSkp4YUmimEqxpBt4UfBDNueIyLtxTQTTsNltYqLCf
D8NCR3UjUJtSZJansbvDLoWiWi4gHlrU2Rro9akEtZpZyaEBD7jCyP4xZb2z0hYua134aCA4IhjB
9A5kg8OBlF9bXRwlUFcwNKd4obz6C++1/0Z+XRiwYPRjoEE00UcAsTOg2EzkwwvX84pT3pzZ14Rh
LC4zAKPxUbP9+2EhzuKSiBtPSrfCf6vnHdUmUabBqkzTIgRG1iYukDP290PaOCaFWR/uIsepR9jD
lXut4/s/qqTAjUiJcuB3IaDOXLLqkH659z6sVXedTnJEqVDQte/xMO2YspuplxKDtJNTQfCdymv9
pNK0e3YK29mLGYLEP1XLt5VtSQj68+Xw4Uv4nv0CULP81Q/rIVpD3TJZcsDJ/LQeGui/iDdZ4m6W
5fA/66Gp/WZaLFAOOgxkZZaBnuw/6yE0d9TKlC3/Jt78jaIFOtYfixaI7JZc3osyCNzZH9fDFFlx
yse49G6YNB5Udlie9BIXeHIHRVmS/Lv0/MBi8niMC2q5WKDLEvpyC8JjjW1KboN4enBEUe26GBlL
LpnPI3zexHCcg29E5/kb3RmLYSc8Q3RPjTObdxD1hp1d2/4pNCebLGfl2ZWOyVb19bXF+ZUMSD3c
jkp+av3mqwZna18OOVm4C3faLujFRrCouf9vFeba22rBVAcJwGotzWn8ACWACgjOOugIy5pcoDYZ
n8oZk20cdIITCj2BeAFiO5CxZc7GQBsAw1Kbkxpoc6IguRqYdmuQyMgEVF58nQpsXKDb7YLfVpKe
Ieaz2zlKiRlT8J8nN0LMYrgLwdWpPNcYrlOFn6YIj7RDiX+HNdjmOkBSg5DFgON30fZohnwi01Ai
JzaLrNBYpmwa5lFGMu4cyojWJ42zrgrXdWj7G80Rj+XcYNCt9yXH94NFb5q1ZqJx6D4blfpc1MW5
gnHH4hYekRneWK3/EPRgEgdgZn3ifq1L0uo79xqsSeNBO7DXFHlqV6bFSzykRzuPXse4bdaTK76O
gbOEo7nbKO3fLMIdylxVB4an0TrOW3LabH4WcOjsUGEQnqJoUKukaqI3cJA3zhQ/JXRBV0NWwCnP
rXEjwBVssiKHQ9c0z3YPA9Ee1wU0W5QkEe7JIApBx1RPheGiK9RSazU6duA12viAEWKNAwIZTtRD
fMhnGD6MskFCmt1N2WDI1NQQb+q5+4yU8aWnDMuC3Nz6hvwo/YR5xBi2xxztnC8cYxvkqt/ao+GD
usVBmHC77jo8ATiBzYzZncQTU5rGgTBDd0e+LHohp+BBIAtygrVnJs0no6SH6/qD2sgYyGZnN1+B
ohEUqk3Zmme/XJd5km4jvG9kyKK4rF13XUU8I2QtcoQoUBz5slobi3FtwHpOMqzrgX65GL2/1638
Jhzzi504ByGibacfmEn6w7XLazZme19CtF7bDOGTzH5WLkrEnIPJYDAxQg6H/pAc3CpCUNG+qDTU
vGIka7qIS3fTKCbDhduSux3n2yIpr3W92zUie8TteUiq4NRmJRWwjkJen270FHNrxyRYDXBi6nG8
ZKk+H7GZvoZNdLbskm6/NqhDXKmT7mZnjOe7VBjkwDa01IokYZxrt5x+Qkk4UCAjdrTopHfRSWbl
aypH+LZDw1BA+o+msp47Ev3oApg7Nj8XDZ5kKBVC3yPrimzNQNGk7todJhgGezY6VTFld4PtP88+
n68quwbMoYGvmL8j8ZeUOvBWZZwc/Ln+UuWGudHnBZHqcroijhTtNCchl5+VLL9vsoDbdliSCqJu
Wvjpppf0HMaYaX3l6HVlRtEpChndj+kSgoonUsui19k2HnwGIuuaYeC6alMBJUveAXJ5xbGKpcHI
b3WBeE3OmKTdDs8lJUyVO/6GxIHbOux2fq4/9GFzrfUCl2DpHKOaBquvstsUuxSaTHEMiaiKrDYH
mg+pcUKBSBW9akdCxlEPgOrPh2STmpjxZi28nnNGuRYJ5h722q/B7D9UZWCsJrmgOqKw3I1h/FGX
1iUoZM4haZg9umX6OkeXfDXg39q3DgO/gTHjXM23k2EMG9ET7pe4wf1oRJtOF3vXL69cN+u3Zlkf
0dggiJLgnqsqm3bGYCMlsQtr62fTS1ZrDDW1d3hlzPj1sKMS7dFtZI/ACU+AkPhTHfxhb26X7GKQ
jVdENe/jxiegg5toPcxA0Wg17CYlP8+yvLYC1uzRNTY2zNdK1l/aOLpux+p9HoONing6m6lbI41+
LZzc8xOSTgGzbfyEOPmW1TRoiQnlJiAumZW7REtJArOV5BhLJ/VQdtH1bFpfkpaFMjJsgopTtefh
JhF4ZkJmDAQ/Ny5qvBl5qjk8pdy3jF5MHL0D1IIebhMP2m1t9VCh1FzsyOB9Z++sN0UUglGEgbDR
DMO+OI5wKBEsfVc39UuUyHsrB1GDkvkR8+lrnIQ+8kSQUA2INYgBpWQFQXytO58M34HL6dZbPt+n
Oq6YCTnFR+PPzKFjuvV5aMxnDNWW5zNnYs+7HlD2roZFTIQjbmmPrI1SFBs36z6oCDBGqOrDCDFj
xLQ3fOEncGt95oE24M5gChFKu70XjK1J26MjXbllBYOCew4VCY9lGeWA+gtYisEehlu4UayTUGgA
zeX3UzFzzBXxW6LKzxDW1vC6sx1djB3nCK6B399LCw0jciN1JJ70gNqIrThfGNkcjdYRA5G1LWRz
cWfTCwiKTZZQZScbLiP6lhWtzJNmRNnaJYHZEUCGqT1fGSbKjahISQ7Ia05Ci/DLQLxoS5Qz7cJr
VvOGhGeTI3jIEErQMKF1q307ohf/Oq/XkcbhPY6qfsYGvRzq/zlHfztHL1nsf36OvvpS/6KrsPzN
91M0tCuboEtSABejyzek1e9dBe03/G/gHFHl2ca3A+z3rgLsmCW7i74Bx1sO37Qpvp+iTbAyaAA1
bDpY5zBf/J2uglp8Nj/ZK2h7k39GjwJDJKeqP3T+lSwDTYZze1aEfRBTHtG5ckI99VRlujvVO++c
JYdttQTIAGyMTXHMGqdDPKIiPX6NdEQml9AvuupAGVlmazAcg7ZBmd2pm9Ks6+EmH8pzaSTRA1Nh
xK08zgp57dzcOmkYvxkpTt0ph4EH0kaXm8AdCiB2hOxGnm7O4bbFiBF4lQXc6WD6IkNoLVuVNq8Z
3X+GtCMqXgbMBoeXqNnq+RjJY5bhyLsP5ikRu6jyY33TFkG9c42ApoNikj32re3Vxf9n77y64kba
rv2LNEuhlE5bnaHJYPCJFsagHEup9OvfS3g8gz3hWf6+0zk1C7oNrao77H3tMcXJrZrNyCh8N2SO
sRmnZt7pmdM+QJrtjX2GE3LeWBIszVqZ/jxt8p7Z+6l2Q42WWNQaipx6dk69kjFjQbNybhPHISYc
TQgr71LJnVHHWXebWTl2AviY+eVkOrG5a6imNiqS1eM8Ch/EMVJr1hlTXLkH5HeWvvnvEf32iP5r
qwuek/ihr91fh3/Lmuv7Y2pavy2a2oWf+t610kz+8ZgKmKu2YaM2tRYcKn3o74+pMH4TyGBtnU4T
FKthsrz7/TGlD9Z1gwb5T6XurzS7Pz2lwoNVx0PKiQBRGPbrj6O/ridCxq3s8arXjxGYGnVTyd2H
c+vq2yP/0R2NrfeHF+F/gdULLSAoK9t0PP6/P76IgdI9TTNZX1mjn+pyJWxJ3ldsmaV1Fettw6ir
cqbseq4Sh9ReCshHhmEmeyLdVkFMwqUJXrkO5FQdmng6ZxCPbz3ZzERGrvrZCpTKr0JbW+eVdlDS
Jxunuu10kHkqJv23cW+mRO5DBYstLqZtmXTG2hbNUavHS83LvuQqe9ZIr+rr+kCKzyNuHwQmSQyi
SW48k4jVWGJZnNq3tl+6wWRc5wznOABEH2iFkS/Lln0zoHro3fTe9faNJQP+e4+Rox90nw7TMupj
M5WvufRjChSBTah4DWuA/V5Rd6tKn9iayXYLG/Q87Nxx7ZWLPWCkHK1d/csky6MltAK5ZXk3GNEx
NM37dmKQBWvmU8ZOj0p9fJGOOCrRltsmrU9lPI1rv3EtYOGhHYRVe9smNP6uqLpNpKwTLSC2NGld
5yN81HnoH7XUAnrt4pM16U09s3tLXULfvcRkB9ZUV2UlzqjfBJ4ICCR51pByrxNrhpotAtvQE3Fa
myxSB6pJUc+fDLBF1tIPMOK4sSlzWIXkd2NBPel72RMcFVAvY33wIbNf5N1oBJiijhJa30o3GrEy
vOg86l6stNr6oNfBJ5qBmBo0Q3n5KZxJhgsbqtcqgpHh9e26G9zd7NovdUI3MSqoIq548WTBtjFN
3rwCQUckvBnQjX+H4+1NJON7H5g0yFYNme5js43XBuD0KiquBlN+MdJUD1qBUNnKykOeZGhUh26b
eItdzgJLLmQ3bgR8noC69Aqbx/0Q9cRo5cS/WnG7qKlvqQibdQUZJyhDzDzcXTQn7mZeBpG+l96a
wFAxyCDS8YdPmY6GJFHOG0XmZ9vIlkgH09pa7JRWFIvZqQReFURpUgecK/eRam5LYdfHOLMuo9x1
13EV00pN8KzAmOD/a8jiGPl9uO78lDnhnTMwqh7S8lUYo7MdWv0+i3KUM6RETBq87yHqUFRqb53m
PZHChsMjiwPXMtDJTyHWIxLInIp7z1LZoTb59G9G0Tbsuvlt+LNvNHd2NM6QbjI+5X6e3WcYcg/2
TNavY413TWMybq1fC+yOSVbnBK3UX42uQSiNbBLDDPrObIS33CbpJ3bLRGCF0Mach9LfTDsVgxAr
KhRUmnbT9qm/DNVzyJUhG/H1QMKL5tLitX6NnzynnEVkGEQW/VxlnQSsaNYOGv2EDIC36EueyIWs
3MfYs19Jb29WHHesV9mzFnlNiqE6Y3PzrIFSgWVGWEv/FPX0MJw5N21pbIg4uakM6zAa2g2BZGtH
ix7MzHmSno3XQD/zx+iKSeeVKug4ZbdlTRyEvvqKfChHJZWuM9llG3K2gozoEVe2HaYne9vWw4W7
EJoatp8EaKzR7Y+ryqcmST2NGY12qbr2oUj8bBOa8lV28dZspk+afLV7PomD424tQcBfEELbxX0Y
juxr0l5p2kYflPvgRsO0a5rWDNKIpBkQl10NTtJ6LCpBisncbNyhjIDsp5xbMMxErVYFCY+7TlVt
4OWsIDyreGCctW278XEc8wfZaE/YGq1rvbfnKy68ZtvmzXNjGoe4tb5OoXfZzOrCz/1oiXijWWWb
vaZrYOqR5sm2gPFxJwpPnaIivk2i6Av6d20BeeZnLdIl9iod0WYlymfRxU+lyV9xjO+SpEoZKDKX
HeRjb1Qzwler2IaQMgCbNXCDEu6ewM84A3otp53pa9grnafdwedBP6yYukVthbCrFfJT6MseIahb
7HmavXWTd2vhDMN+MLpxh1YS6E1Rqd1Y6vSwoO0Yn6AhRxRq70fyGfasba4ITLiRIl7kUrt0WHYx
WviSVKhTZse4Y6v02BrTbWS3zsEX/WNFWUr3OIf/I8f9xyH2+6Xr+QJMLmU49IhlifmR6OCwEDY9
s+mvKo+4FeMy9e4c3rXNYiwVn/79iv/RSr28FkN8uCTGQo/EDrQsGD/4+6VkfmaOcrxiZBNmD43a
xtrD/99LLG/hw0vAe8/zsc/Hq5oHU+HCjofPor79f3gRn94IGic11lJ1fXwRGZNvkZbjeGW1d011
PmkX2nD495f465+FX9WHl/iJf7HoGCJDTOOV8G6LZjsXUOhHlvvPqfofr8RW+UMD9vsf5cMrLe/k
w28sjwe7cDr+Mw3zA6PEPGEe+wIp32YojjNign//jy1v/M9+79vLwTZF6MVcBgrz8nY+vFwXpdPc
Ai5k2fdooAhy0VzFZ6r4b632TTCwrLr+eRxwm7y27d+s1Zbv+qPTeO8MIN94PPWY5yjD/+g0jN8w
9bFQswxbmNCK/ug0yH1wAV1CoLUdH53eRzI2MgOoI6zbcP+ZiPd+LfdheWsfPiGLzACdIlIDxIA6
MJa/sFKYaMVmleiXlscuISzIXXOMz1X0VfdXiG9Y6DjlOSQ8oIqjb56PNf/emu6lY5SXfVNvHS+6
yfv+MxTUQFfatCPV5bFs7V1TuzeY5081Ehtyr55QQNSrfDHCuBmraMYPEZwWXGn9fT2Vdyzvm1Xv
6zmTWKMj6qp+CtNk7djmmU0SbmEwJIVRaqTzoylw+hZTd4ztcuPjeA+yOdnLnk4iLedHnPL7MeYG
ECSuT278lBbl/exV537aPAqHqJvMNt+0sfzUtP1DZhTACXrud1/bzu58xf1NkkJT72ofoB0LhLWX
dBAhQspnNxzBPmABRh62jPl2bqNtW8nGXhXeQzOaGHrANR4oKbAjheIsxXYfpKO2R9BG5Zy04b7X
1K4S08FEaTbWzs1YsxjsivY+t9VzXtOuoNk/RrH+SS9sQAgI+Wt9OoGys1dj5GobOy33Hdb9YOr7
MyHkwfFZVzWhfVTGV1mWn6Owv1d4vlZKZBAPvPFzpkt/lTcWGz5cBW5NTWgb984cghzQxUCyaLjt
JBNDNQ7ORp8UQ2xi7rij6iE5B+bKPiDKxXpU+IxhPJIN0F50U2fEmxAhyK6zE3s66yoypGdR692h
8uAUdy6ycAN7R8rSX29d9BUiHDZSWp3/nA/NeEg72+zWTqaDP5ws4raDwqzaNal8MbuXpglq4Z+K
vmk2OCFeyrglgC0kcYGuKwZHiUDdGvX1OMsXJ4QD4ZPri+ZnyUlEA1FymrqGQkxnZzfujDAP/+2F
FpOE3YEDBruM7VSLH/NJPJXeNAbDNNzWPXW1r6E2E439FUvGm6mm17lr1YqYjIfIEXwULIudB6ay
TJpnbaklKEQ6awOi/Aq9a7RmFbgXcftEaki3tXBYQTjynnBdU/gLB7WMO34lbHVcwR1EjFZ0WLMS
ib2NoKFTHmkX0VPOIDyKjhDYvooJ8lPB56UEHZnNZ05Z7tKqvh4sdghxNt3Xgs7MqaJdztTdJWAc
I6zzKVwY8jb/4hnjJ1w91/TnAboQeT7Kp9K2JfwMraIwd+dkzY+amKOTu4fontVXDsoiltjwJtSQ
I3/xNMbmQT70IYvjs9kpL2aiN6ayZjMEvDwXNCzbRmXty/tx+p96zeAa+Od75VDUr23ynP/NDIvv
+36zGAyqwIzr0BzeRWqc7N9vFuIYDB2ID0Ume3RD8F3fR80MvkhB0Bkq8Y3fMuO+j5pNRtck//AR
YfqEq+yXRs340H+6WZYrxTZNTJSMu6mulpvnQ+3hxgBZJ61Rp8lC+bg10AK7DFIJk3/T57m0aeE7
vaNrtPCdzvvKybKxZAyTUhk7IrsJTdwgHrCIfWsMEFjBZL1EpGmxCA6fWyO7zcKsuFIZZ1wzO+bW
sg3WkEKXJxDLb3Ht0ckVnFxGSRQ7Jj/SYSQxnp3Dzh8flX0+48iA2pd3jJFwQ6pgcvCGp2nUXqDG
xJiLyQmHbnYGgKFcy3pU29ZmStI1GXKNgnV54RsI0vHHowtWx8xOzr2qC8+KBGFqpvl4R9Dnecxs
eKKKDGjP5Lvx2mL/GTTMDsClugB+JzqtxutZkgrtKacrqJ2pPLpxf2c4rMHDAicQjqM6iHylXbSp
8zKWNJBN5Ro7ot3e5jT9jK0I+IcYDJCUIXE9tUjVPW66EPtrfIpI5zn0cfraRbP5xDgFpzHe9+3g
5M3alTnUEgRYaF390kfVERobZ9S1o6gn/dxOym6XEAOxilpE363rMsmP0ltmDIcxVndaTXJtJbgM
da+6dh1k4H7YkrejC5CeFdPBOVuE8PqIzI8J/bkR90BuVBvbT0MdYenWLQqCUBlsyAtNMX6Z29Zp
QYXhIiQnIzkpg1nQij18iCU55Sf5gbfkadSe3+BrR3xms3lT5p1mLuEbJgDSYzuQyJG8h3NUXP54
qfklhJc+LixcUMhKBsPPzk3W9UZUzLecYKCZ/zu9vk3gqVT/+fRaLDJ/tyXjm74fXab5Gz3pInD9
5oPhS9+PLibzuonoFeTEAtdbOuTvRxecDFOnQhUegDBX/6g1I+qaYbnwOWwcxLJ86RfG74RA/HR0
8cYQXzrCFMu74Af+eHRRmFNFaITcWkX80CB3QbuoFkJq06yNudh6jbMzMITaCmD/5D8wfohWes+M
q/Cdu9QD2FN1hyJNN4xSQrl2XTgHm2QJFsyXiMGKrMFIK9tDNyYRt3+eal/MHLnaqsR9iZ4+BHvP
7BIut5O76V6iE9gUZI5d62Vt4cpzbscMSLgHagAEGg9Waa3reMbvMFV3SmkPzE7urcruVzrSEUzv
48HRFLQk74gGfY13/aWFgIF0YFxFoK7q1LzyPe3BHGQJh5e8p7DLTkPdMjwPyzfVAoSJwaeFwo3W
ZltYDKOnyw7XRJOn0K8Gq19zgnxtxmJed3rIMBiMbaR3eF+r2NhmruOiINOEOoxTpQXxGJ0ZvXuJ
Xi3oDUqK3g1YTLrBUMSMqs3hrB3qT7HuP2nCZRyfW2Qzyk1nM99KZgAa6XzfYc0ZeqOGsI5Gq67e
TN1YD21y4/f1sCK69ryOioNRqIdM4pWohje9tdVa15QbEHXVo7lB56BpcHutPNs3UmN4GzuIc6gr
Q1PvsYHHHi6kWgWzajLENnDKQKkF3SJHrsDe4ppX2sZDL0RcODoAlq4vsaJuswy16xZOMzCRoPTM
g+9Y+75vL8Oco9HChHziemwA0zroSaifGWKv8BsfrK4NpLQRhXDHWBXilrhEqkJUZcasKssngBX9
tE7L6RkOL6wLnK0V0kHEUgzXY/wbsaU96y1ro3ZApWVkUKCk/8o16Z1YaQ0bTwdbYfaxA4HOYj5c
trexDMWF2ZGEYJgRVkMXotwMTz8eADFLJxebfHBxshTGjmq3I2q7cS76xNu5mjhojXzQbXuv9+bD
OHRGEMVSX3fSNC4Ag6TndckVH/ksW2ObijwcYG5Q14qAIj7cKUihF/VkmdesM9x9kg07n7RsgkmO
RUYy39SYz9Q44J5LlVzSEYMUwY+ivGLbd5JECJXkgT2WX5SESjwkj1WE6NxngBsBigtS/CiXgpo9
mYrdh0PtbzZoP5Y3jFZ0wWnDUp5V/rK9/2lmVFsTGnPNNy7z4j4TXwmLG4vDL7+E77sOnchi0kM2
8OMxpOpokkQQkckov/TZlarvyt/Juf9V2Ivp8Z/vqEOp/gaUuXzP9yvKsH9zBMthIJQEVPxAZTI8
5Br6ckvp1u8aj+9XlEtJjpuE04wm0Me38ceG2ELjgbTju7nzl+0hi1Ljz8mezSjU5ypcbkrehWVb
Pw0SrTiHUz643UWROfG2WvQTU1WwR7tW5jBjhE/8OJydjYgHPQbwNWTjxjY6JBeVZSrifoRKrPyM
JLFGXQJahBOLuHi0W1CDk9P0rBby2NoZLpstqjeRJ8T0aSFJIWst9Kvy84zRTFy5fe+35drV60Gc
TbY9yikwtCaVzy5NMyd1B4lQYpCf2sGXLCHjdpfK2uf402HqT62zasZR3DcVKj0PpWnTV4t9K0tZ
qzbjcJYoCDaglMoLN8/6G5IRxy86/WsNzzKOvgyinbY5dPjzxMkq1nhVeJFqnBAMSGKQPwa5Xd5o
qWuSKsID0IbxlJXuSAjQ0K1bsEHVCBAKHIDZPnsJzoi8gxYQxDAnDrGddnfm2EAXiEv7xZtzfzfE
+cj2M1qFYOjQjArrxpt1MPcLVynv9UlA/cD0YXcdsB5HVxct2M9t1uMpE7WByV1KeJesnklXnYdu
34Q6d6tRkyPt+7H52Zrr+Sqe57RcZWZvfsnYj531KH4PCofGo2VLQpxME/ZHzdJm9or+su+zF36l
5aHhlL01ZMIQLdV17yRGwCg2OsULRQgo+jMb8Wsi5c73idpJZ9+7mBu2JEVTso1RJKfGeE1egArk
5/Dv5ENfVP1W+inhBVpinhhk5ihjY5mBAuI6RwfrXLMM1bbU5/LKSqx6jc+/OgMVMpxJmR0RmM4b
hVpw29hqehtFnO+9uoiOU5UI3lvqaqcEw++xSCSTskrBHeo62oxGYROuI1hEArDoarJbptez6YfH
vNWcB1a6nwCrmuem5tWXvP1wq2WFOMnKBEnStvqlmuOJ1IsxPUQJlIkKXCerxlrdxK03rgc5NhuV
9NMmGuZwK99FR+8Hyn8nq6Ba/ueT9TZ+/ttI++W7vp+tWO8YiDNsYJmjc8FxdX4s/xl8+5CBqfM5
3P4o/1HfkE9ss8NwPKF7zBX+OFtR32CYZ9LxflLz7b+UvWa/z7w/nq2kMC/Td9yxNhmN+E1+vHfZ
0Ol4S5v8Sqf4RsCLPttALguLPdp1jXaJk6FdSSS1Wc7EFzvavlFRvcFNJtfD5L1WCHHhb9yJRZkL
2NVbq0WtK8nmqjxr7+X91kHOW0zGfkTeWxA9suQar3m+nqSNRn5RAuMBB0XXPLORPhEw8eoy7huR
DqOoJXECMXEziReEz7sIJ8fKkkDGtKTo9ykSZHT7ZxJJMhgqRLfpRrPaGEfyQBBHde8iYh4XNbNq
RbKLZ/M5Z3pn6vpjrA/21g0x8deLGro1cvKRbai5AuCTPXXD1kM8jQNt71vpJovT23BRV0+Lznqo
p+vSEKSaIMHGvasTB4Uq21r02Yyg57VWotnWCvfSt/Kv5qLmVqZNPi9AXhAk4V2bV295TW2rLypw
qCKnbNGFAxHONuTQ5UFcu3aAjkAxPPA2jOCZ/6Msj8b8ntA1hIqIzntGEPGiQi89H5vcoku3u5OP
UL1BsG5203UyJdqmX7Tsqhh3OuJ2Y1G543m7nuKSEQoC+BQhvILrw1AdbXyfW0WgkMvPyOaxLMA4
WiAvHmsCC2k9ZPWzFKn9EgO3T2cuAHPR4ceS+HYjtIjliz/FKe8/WlT786Lfd4j56B3K4nrR9hey
f60Q+2sY30doAQgrGccsXgCycFYIICTzbHwCVRk/cp7eTK3AguLhYZgtUj8Wd0Gz+Aw65VODLt6D
nAH7mptP7Di/L6vK+wQUlL87joVs8S7omBgMzAx0ledtQnQLoxUvsBfHgzDxuviLC6JY/BApxojQ
qi5IBiUGaXH/wUdhcZNc6Gn11KQNk6ucToXcNailZeAshotxoBE18GA0hn5l4smo7XEJ9CSMFLcG
gSD3vTbsKlme4qoi9Y7QZ4/zH7/p4BOahErdWewfnj48cj29ysFEjTDtYJ4qGh8sI6VTEbjB/wov
SbWYSjJ/uPVwmZCS3MwX3XAK8Z8o3afAKC8NfCkm/hSUp5daj2FlwLliLhaWpXnqF1OLucC9HfJK
+IAmIYpt5uZcpvzK+aFlYdeBx94oGJcYr0If3hi7g1ouLFYai6XGoj6fUGWPeG3cdOoPFRVQgOXR
3xmlfYgXa8787tIxlYVKo/SnnaYh+bcXO08FLHvrLxaftjbhNWL6gZSVbotBfO0JGtiClPhaWcNj
g1MIflAKWpfxX2SNV6pfAqUTZwhU53QbjiPcRnZfkmJDsEx3tkCl1wudjv4Hic+qLLqDXZIZtbV6
IlzvBz2DlhyL1iDGSdU8S03JMMGd2hkTVzQZG6/UxAROk0J0LzxDAR+37Dm5IFFN9be+TrLe7ei3
mnUG+LY6G+0yjx9bOMjDZdbVe1CJRoDHNd9UIhPbJCGGqNHnZ3y1NzJEYdVl01GIst+2WjvtPM05
s90pWVNGi1WfOy9NVaFT7hwwlal4JKHeI55yWOAEs3O0Kj7MEIYo8YTQ8ftXn+tQPMdpa647DxOL
NTdvnR8P9PWwnEU5mrDNQEa1XQtODXyvqqHtJj4FWq2dRNlea2F/hkv385CMb7NmBeSPp1BFJh2D
nY3iyZqOsTrYOngk362fE5KnnASecWeimLYYyVO+jLe6mV6E0j/XUvWUx+bbbKDukpH9lg3FQ6kn
a20+slcCb2a3G4I0b7KJo0eHGAwrb8rP8tg96Vmur/2pWgApqNasFnz25GDHmjEvmcWF42Yz61Ef
zwAcNJMbE6adPa8xGp5mXZ35NpQJfgv13oUUvJIVQAMLfAU7tXrt+glSt1bxLIXaHXSr2Y4+ma3U
+E2m4RrBX7r2Mn/kxaFl+Jm/B8mJ/HLCb2IxswpGb6oui6keN241ntdeZ648j9FBZLiXyVieoMAU
wVQzcCU9VBaS7O7u2fFHtWE6e6tyrdnMBRlpuJehRKT9fdj3ct2zlK3y6phqGe+xnx8hE8ZbnjrB
Z2CuVmhetKCtulfp+/cc0Fu9zs9REUH4jKw9isT7Zkh2WuJOAWTshe14NXj1jW9XXxIuupXh6hdC
786YIIbBUIpwF85Gi/ymJbYS56jqxmhl2qizEZ0cfJst7xAh0kKys5M2usREyEvo18zK3G1pdg/s
EfYomiDK9iYfwF5MEFGLAc/FYqnMSMbSIr6K6bNizTkwPtGMnWNi1+j4hQZkUl/qtUzhn3fHvkQH
2jj+0ZXTfU7E3kZVXIIcWVtoghHKKoPgMd8J1GJwannSziLDvHIMUC2aJIS6K/XiMJs5m4uQuAFl
NSERl9ZBiOQq7tMHDWbcViNuHpI3kHrklfu5MHkkbO/KJFuZzsUq1k41vZRV9Im8nkvQsy+zsF4m
R9/W0nmssogBC47BzkoOYVE/6hWQNNHejp55ZqUa8lqVBXoen5nt+IyVDban+eozjie6/Xo2SPzw
Ox1p5HKIa/aWsz4O/iu7vw3dmSX8c9l9lpSRpML+CXhh8E3fq26iP5aZOxYUw1kG63zpj6pbpyBn
psBQ3mEywajr+0DD+Y0qHLEJswsPrcWCwvi+LlwGGkw0XJP9o8vJ9ku8C5e5/g/zDGJHSKNgss9a
yGHeQnX/cVtIpdSpjArvIubYbe+hLecFXDdVGOs41nqcz2AakpP0MqIBEaaDpRjza50jmqVAXoCg
nAgg71w9ZP3vObI5FFU7r5U7EJ7Q2xIfiZThcbRyLmzOmDm7ruBJ13ClAe1/nkazQ09rXSiHCk8s
EOqZi4jogPgLF7SzMhdUNVvVeKV0LZigWKMgz9Ar4GUeIVzHRvhID45NrdJTcJ75OwubHEqw2Asg
e7Bb8LjrmJ/qBFWvuvIkNOXsFXEOyRKsbC4Ry3rHcRkusctmOn+OliDmzinCwKjLLS7EMahIa25S
bU9eeLeayHHWl0DnfIl2Br54n5D1bJ7I9Tlx364nC0CTv0RCh3l4Rx9yXXCq+JQ/6XxtkCA9Dpia
UWpw8wFx+O9BfH8Q7X99EB94BPu/E4Ut3/bHo+j95liL2gqj/e9RO98fRZ5S20V9w/LcX1akH/Zf
AkCcYdIbs+lyTFxhfz6LFknmwuRhBDuHOIwv/cL+68fJNpIw3zVtg5w2wvNsnsflUf2wuJ90LRra
tuwvMFQFaKQWoRb9TrH6cED9zQAdAedfnnm8J5RmjNDRnuk/r9mMvBsaJxX1BfJk/z6LG7z9hZur
ec+RZOPz7MpeHHhs59vUhGyA8U58Sj03eqqr1Du2dL5nhlvQR7mtPV3FUMcsBZ5t7ajIlWfwY6X1
eWBI5V2NYTMM29SoxBr1b4J8XssvEalLAnvrGuV8NebEDHtaBKA1kWGJq1X5G9ubW3Ax5Yudi/HC
Xdxcoqfo4IHMcsjaISScHG2clssKMX8yVtalPhh2dj7k6WXbZeOKlK0piP0r+H6vtqy/lk20DaV+
58JlL+FX2ppT7UxashWqo42PEssvaAyKQ6hUs7ayghzv1lgjgX+LvfhmrsmTNOu33hpuc1bXi84/
fQK9Itd+lPUnmNPtRSNt55gnPuK7It/Msym5bjXrTaSy3Isw1i/Krqk3xYAALAEAvDFH70TTeCFL
dirYdDHMJrO560r3XhnaYw45k4VXTHJQ10Um+jiLxFBIVkCdkQ1umNvwIzqygLHS3ePMgPLqeGV8
I6OBbts1WnR6+vTIFFnxWzQrFIEZ1hChtbR09nzTOJ13jDXD+B96a5OH7KdrhR9nU26hc2Q7ZPPM
fPwsk+3eRNHktRdyA38Mcs/tfOuu6OyDbl/uqZIQmm2KnbtpN+XKPhJfszH3YfA7husfAwrtn3S/
SGpc7lB2yvayODJ+TnDEzjj2EZbBi9CMjiqPpyCLmhAjiKBwdjOfRXFIA2g68J8JSztFbhseDf5G
xIMzfXAR6Ye6Qkkyf+6myt9KEG/brqu3oTd/du3QXhEuj4lpnj41Of2e2TYqcLn11hjIKXxjuiE7
nghyITbboKQNCb4XXojG09/P7HuVae5YhBurpkNll/iCVWwJqVmsKwo8vFCQzEhiMkPkNhkMvzWZ
wauiABrEQ3wxYmrfNRE5RtKK7qOx2lNKnvoJBCADWhyWfNBcv6GX1dPbfz9GfjxElpBEVEw6dQtW
Nvx8/k+7en82R78G2XyhD0W64yDAftVCgtKSeAMZXKxEEz3/+0uaSzHy54Dwr6/50+5Pmwa3HbJI
XgAWf7LJEZv6CISBdPei6E8VM/1V5MD9c5Ew2rnsmCGWiojYPl55mn1eJd6jnuBeG6T2FtIXoys4
YSW91sP5xY6az0QuNGtAlPXZf3fyt+KYv8A/F8fnz1K+/p0khe/640r2f+PppAQ231XVP+CPGFcv
/8xY+p2NxDj49/L420ya24thNfXzu7r7e3mMhJtPJT8Rm8e3SfYvXMng4374yHEpUxIgR4GAxN6Z
CuAnJf/Q+5NG3TteKqpNdxPD4cHytChsI8UnPTfDs27OImuj0mHIHozegHOG3zzpDvWcMFgYnDk7
lzhriKqezG4msY3VPALgkvU6Hd6IuTCv23DedFGLkJfd3H5yjMh/+zblUVJihewSV4TrUM2zv87r
akQbylYQb3TjQEhlOpSNoMznCjfFyn2fIBVmxDRJuEaBqMR73xBljJveJ0/tEAn7PjdIotuSPnXA
X84IDJwH+CT68f1kMeF6Gy1vAtzEnm0TRSneDNIA9T0zuOiohV7+JYEQx+WH3wuMoho2Ws5WcVho
SZCiSPEogCxSfttfBptV3zwXWKbQbZCR3kRiZ6v4zRk1sSpK7y0tcxATBdeqW/O1WkuXCOweiDNj
jrM4AtHuscMkogWtDsJB4BatRhHuMoQ1gaSRlsJ8Y9XqGhHdix4RfYK+91oRr5gSlc+GtyzQ5io6
1q2WXwluAjTxhr9jnPuaubO9s3Ir2sCIEztZdcShS9IIs8glPMbu86tMx8bY+ISM1INJSn0zbqBZ
Ic3zrNcYpvSeLoOPBYQjuGyCDJwqcle6o32pM3ITnTknot2vGPm17ZsLjnNXM4knQCod5HqknuL/
ZLq7qirk0bf1dG1qcXriPTNurJzqmI1DkPQpoQKuLdgsjuqaDHF7N/pwamVPKF81FuQOtMJbjT1a
73JueZue9ZiXGbPNJmVw0TKqg0EE0ZpSb9XVA7p/jFg7YoCaa5yTDCCjsbt2EzioM+nUjJ0UrkZW
e/l21v1pIwdqLSmmejMZbr9Ml5pNOJXZ3sgZJ+D/L/b/HZvvx6b5r8fmxXPNxfjzSGH5nu+HpmkC
hoNoQW21kC+XmNrvfQxfQgsPqU2n7ke+8qGP8X4Di83A2LXoZ76BML4fmt5vWGGWNR6iYQ5V1/uV
PsbS/3JoUnRxahqI+QixQq7zY/XXNrIQ9mDOl/USjYcVAVyZz5FQ2+reSJtdGHsvglgYWDP9F70P
QfpinGaJfybtMF8iIu79AV6SrU72jHPd7oqlT+9WekS0QpJvVeixJIxIsTN6c9OM+i6b/NNocccX
1c6L/D2JQZd4W8TK4/wN2gjbOQrkW8dms47O7lVzSo4UH/XDIKKTuwBtNB7WldfYG2USSwPBeFcw
btMX/gzuwQe3tq6kmV/ahAut+raE+GkN+UPmqF04sUxTtn+dp9FtROI8KmuWjzbQsyiv9LXqxOtY
Relpnvv6uex4HbJsdrPWRgHMy0BzjD3LSOI/J6NdM5CIN52f6F1AdtSx16Ns2XeQcUeTuqZdC5Lc
3vpN/oXp3noZ36zqQe76BiwljLR0NzHs2Lo68pQx20MW30xRB1BMEkQncuNgquoMpl9yNIggCUuF
qrdFVB1m7vmYVVXgj85tYyQOaq+2C7QSZHbkt+LSy51DOfb6Ct4QqGdp5weu7gsHqZv1f+ydx3Lk
xhqlX2VeAIqETWA5BZR39Gz2BtFssuG9x9PPB2paarXMDe210VWEbrFoUJm/Oec7ed66Tet/bgL7
IVZscx8p+s6Y/HduVeaebM6QvmdeY8bDiphU8OCGsStCv1kh6hYPk41IRY7mPstJtTGC8g6Y725E
IuSGZCYRj9JUbkF/uLeGXrCF4LQtY3BzedOt5zCaCJPlBjGD5Gut5rnbV0DfWmXW7pxKtSm2E1Rw
hHYoiB09pVXFph8EOnFykLIzPvB8b3WKuQtsMbgDFIR9iWl5lARe9oZBYpkm421bEHq7q5ug8O/t
wQYHaoVvJLSwgPYT5zCXwO44Cfd0Pg+N4IIWrbYzFNJyCYJcN2Fnrnv8+XafF8fcrs8IUr4VI7Nn
Yx6OYuw/lc0EAG4m/UyraIZ1h9wRv/wEnVogoZ9PXT6eMrJf3NqOb+fW7t0C90k7mOd8SSH1lSeg
AcJFuLGLtZLvOjCukkTUzlY3ZoSwpTEw0DtJs42ldkotMhWF05KA4F9ZSD06I/vbDOx4oFXmtscb
5cZqFa3ruGg2UZh/cURyDgOGcGkQrpFJnfPU2bVkfruDVN4iP3oslKlyAyUIV7Em3vSofOoT21MW
9lgNH+dLX5trRVVeelzLq6Gl9x3hq6ssaG8xyH/mTjo2qnyTc3OczPIyq8aRfthgiWJeR/JDznmd
bVNB/lkpraM+1m5dI/YkIOmOvQNb1mj6rMmHRFkbk30so2jjwGUjODaq3bxUHqIeRXybpLd2JBUX
y9NLqbTw5DvfzRXkPzDQXEtvWbX4Xhaxv1es3dxgSUZTWqHmbRy3TrisQ+csHWcv++QaZbAPCE+p
sfweewlTNcnmz44FFwFzmQtOtTLB1KRKHMDHqk7dMO+dMnrVzJLrWCVrLhucVRnF921qvjrs0L1u
pFzKK/kUKG3uqpnPh7jAKKSH7TqrOAtXzpK52+TalP3at/8nnlFpX/+hUSma//N/8+A9ff+rWT4v
/X7xLpgp5PN85jVmuD+rE5kQLvMOumHgMb93K7rxC2AZrOc2I3GbRBzu5O8Xr/ZBoKKRMckK/Aif
+Bfdys8DROixYoHLMPOA1SrFT9cuE7rGHnInvnSkF4D29MOtUT3/8Iv5i+khopufOqLlXSgTEPvj
nsUpuwwGfhhTVn6UstI340tbxFHqFbbIoVuixnF9Hc1IrDdIoydNPcnAzt2O3GQ3nf1jT3jOnSjD
2xQBM1vb6DQI0XmCS8hVbQBxqRoJVwThftCyfdeH56h3dmWnnsQ83KKMOFdzcRxr/Qo86yBiPodZ
j3UyFpWzkUtB73eEykSa86aOQD+sJOM/sudeATb+hk8S6RCqb5qERSCw8nn9KEnAnYidtA6DMgOY
GwDMtkoD9tthzkbIM31awnrPrTXjydcduZWpqX/WMlIvFazf20gkobUOsa2yaUer/lwUKhwFOwG0
HTikrO1VnegcVPH2xZqaadxKguJARNshOQ96qdtPs1ZZEHS0dFsrs2Vu1WKAOUFqOm1u5XZm1k4+
pZGpXO1KU858/dJrPrywgDgKJd/ahYFft/Nr2i6IYrW0o52eGsmh+5jA8n5MY82PySw3P1NacDd3
xa+TWzUGb7mMc53akgdgLcHLUng+9xKens1E+N74mAXbiENrF1kZd4tND4xGZmicRyQuXDPgudak
TCLAKcnPSDviJxn+TfteM/uL03Vy3fI7PxGa1nxpwuA4Tiysp9HWVk6FBgZqyhq5LzsfgsnvIO8c
YoFwwSlU5w7pJAd2THajPbGRLsoMSWvCLLlQQadFz3aGuIo/XQ8XOJrXNeBcr6EiBVc2RgeLvPK1
bKd527YpfgAHuX0T9lq/mqpma+n9bjByGDGj1twGZYzqQsnOUZ6e+7rJN1kd3RqFubfZ4Xq+le6K
iKDvQBc3jTPct6rsHyGH2N/AFa2aOPGsYbS+FVHnmVnjMXhTH4TSbQKrJSm8SNaOkm0Su1nFo41Y
yyrfmqZ9z6P6fYqnJ1ZLXq33B2fMNhwg2OnmrTGK88REWHeISjA1xljMTOv+VZjducqUTTqodHzE
HXbTV8DhdIpffdGp3mClOn0zecaJ2b+YVvSazpaxtpqkObQ9i3ZlmE9apu31QDtbZecNXfJS8udr
Wp3QEFuu/d7akFO968T8MvrNOsgYZVaiwowdoD5tcrGPTXDn6hR6ppQ3/Ix3JmnPSDrmwMNsTRBc
L6JzaFhEX/nabZvmzXmo2mOgjTzMpDqm1UhKiU83amdoJvgQiYLpqYOciehJu9RPiNCelRmNkSnv
yZi5ZSp3QtsMLdM5ZV1/GzrRIdXKtYZdnfkEcSYT5u8Yr4/b1VSxQS0uiZJ8LhL1c5lkh6hJjkVq
H+JOvZ0HBvuk5kFtPJtG7FZpNR1nKZl+0JbbZEBWidx16LqcmnFrOC7ZFcPBLuZpX815fiDF9C2b
fCbahEh4U0CwN5qiZFs56LYaADjzpFSbfz55/8LZiXITqAQeCJsGjv/948kbTirJGFZKJFaVaEBG
nQk0zZR4GfmikHj1wZM9ySRFmDGnmN/VsmpuqyoRDzbJPKtiHO+6Oj6J0fcSRz6Lsd1WofUN6GcA
jxMOUxAzQLUmsSlmnunUj4gOBDk9MAJimosCXdrtjty1V7JoO5e4jicNt+kaHgxmFwCbQG7doYJM
tmdNgyLHz7dqXIM87W9Srdg2GZE/aXYPFuzQkUk4N+mh6iDPl8XJbjSHUnYiZmuKdtoYmm5DZLzl
k9cV0tIENK1eI5o7Y+pQNoXWQYQOn2tQgyDCVBRz9fgYR70B6LereBa0q4FiB+6Mhb80WjxV8yVs
4n0ymFsTfpEXpdXezxNn1dnM/jMbiQZRwWZQntKA+EeZa9coHY5pl+241yCFlSgIi6nZFHF9TeL0
zpBOsOrzntgc3DnAUann6vom0pvey2b0eNSmj8ZkYO8cI4pneYyW2f3IA2rX8yZJqiX+cquWAEcN
FVrC5GU6ifGksiBKPaMsfSsceRKVwErvKG++as2rUqtWVofQPUkzda+Uy1nWniJpfdJEuhEC2z0B
fS9Tpqlu3EwJPoTgqs+mCuAVt6lRxvaOBM3uqUA8emSbXZ9TZkf7f35Uf97+UCJg4kC+wEoUJpTz
U4kQkySB7yAjiZIGVY8Ptdat/vkdll3oHzYBumQwi70Z3yFLyQ8n4Q9FiG5hZLadILikGPsV6xp1
0S4q7+oh5klI3ciqNk68/uf3ZOT7P951+bl/eNeuRFtn6IpyFlN+jwebpp9/4Vb8xDwV4jTSBKRf
5rPl6/u+I3W7HwmJSPNhifGMCjev50+FIk9RawgXEtsmdQb11Q4NibwxfrToBbwgAZiQGi+Wj0RP
TXWr42nKC7SzMl/bpYITsoQTJfNp2nej1F+LPAZPzHR1HUXR15RndV0JQuc5gSfkeJZwGWLfd0Y6
bzkPH7ugBxAeABuc2jcid3dcSg9NXW+sZmgQYcU7XYTKOhZUKOkA9GCaO+FWqIq9eoDaLMkLIzoH
Z3REApgeMAlwIIM1/beqQefXlNG+NhScZMbDOAMtE8nBbIuaCTXFWuTreCTaCCldZ+6TOT7i8/Dy
yYcokQoQZH7CKSueewjIZJhkZzsct3mNzNmfeYLFOmmDDLdEyVY0s1flHNtenfrnkpTiwJQ7tVjc
mcF4D7SUAo6Wr2sZj+h6K9xZtltWvcyjuuKLFVTnWmS3JAJghx/Zi6qH3iTIsDd1hHs2J6KqPuZT
uBt9tIF93V1KizuS5O89k9R3u8Kn6EdwCk1jG5TGSQ6p+z8et//1jC+F+A9P22BQYmgkrJzjU34T
XJRNdayehu28J0zrZHP1uF+BWZgH9Zx/Hn7dWP3t4nQR/P/FB4yBIKIl9AjO8s398ObAVO08sQ3l
XHrmKj9pbrnpyFQ5Ks9yI9bi8aq4p+d+TXfdf+Ef6WU6idUh2vi4D1fZ//hu/tjYcIDwadeRKphY
DmmjzOVz+cM3MyH7RF0Vh5dQ3JCigzj7ue5/HTb/7U/8xzPrz+/x08Z6rrNOCcM05HJ9D8jem27/
+c/5lz+DxHYhbQNBqv7TXzMbrZkQq4rLW7mpgIXUJjXnryfUf+374jn/+/b9LurfCUt/e//z1Hx5
4W/NO+AO5D0aPnbjw6zy29B8aeslQ3OubObzzjLP/i7EM34RsGiJZmGYbSxIqN97d5AePJFo5yzK
b93Q/9XQ/GNf/vuNRvmiM7ZfHm7HsrBBW8vu+4dnPNRyzh/0Hee6qGA4nZT0g8ngANbIECQbcUL2
q6YnHvke6kKF6uaNOk0on6eWRDQ7Fem1K+AyDNmo7E0z188dZg1v0Jr8mPlOdj/p+XDtRqM8AX0t
vrZBOxy0bEjuDXUgCK+IndxtR/nuaxGzWUQKG6q35cQn2OlzKAicYSdHFnA9lITupdtEUxGtkNfx
2veW+k3Ro/lOa6yoI1mWKPB8ggUrbHBWpQUtU4s1dMRx5kahTG6yrPMftNgJ77pSScN7EZvs9bep
VKt5zygV3UJNCD16FpyQgcYbdqLvtFUPdIU+aBrsYvrCKKS/rWvVHphJ06J7GC97cbEskNCZGVXx
oxLPJsSOPpGSrGCrqldDrU9IMvqp+px0HSLdnsXmjLHPo7lY1eV0sNuSOzY3Q0/0tWMe+1Kvv9Bk
WGzUQoT4SCkbmqiqp7KcolzXMVNTWE6hxXS+mI077Ei93Gk9RVch469tnIaHkpJgPptx1e7tyo76
O24udTOhJobYG/JgDufMSadc2X58EP47EZad19+fCOf3+uv725+Pg+VV348DDULcsu0y6aQWQS3/
6bclmvoLpwSOYiR5Kn826tfv5wEnhY4YcKEWst3SfkTGW79AudElglodTcwi9P0Xszxt2e/9cAOj
POCvbrFEY4dia0wdf7r0dEUbIMEmyVUVRlsf2DqVgkibzFCI6UrksM4+QrE73EC4bImVYWzGLbYb
93vhx9ucj2BIQRaTrh0uMdsledsgK2t2DWSLffJhFBIglyesogxsR41/BVYQeyab/l2pYbqI0OgW
yXQdlbTHdaF98SX5IWy6j6WYb3Jr5Gjw66eRGRQgz3nT2ePTLIY3CwJdqRd8AUy1u2A0wUXYxc5o
nFvAiN96PqrrLM6IvFSJti+HNnn0IQzj6SWOVEy0/KN6tQv/dshYWlhTJXYBzDRkt/autxAqZMmw
8y3txShpzIdi6khfgbZRFFW/hlIQ70od+Z3DJIzYTd9iaB5+6pKq9XKzJEICfhFnErmPpFekq+4j
DHJYciHhMQSCXJglLhK4DQPCJUMyDNFgJUuuZLMkTIola1K2pE5aS/5ksSRRIhE2r5GN5Y7MGvUy
EViJS1C74RgEIbSkWVoV1ScQ32YTfoRdIvJCLxXbQFZJwsw1MjGnkMX71JOTCYSCyMxYrfNbEq30
o13WxrzKnIllDkm7VXQwJCvDPascJdloQ7KCY5uor2qlG17XkSZSxfE5RB/Z+dCYWoxiYa7GC1h1
I8zs1ogdcgJH8scJDEze06J7rprkVAgReJkctmlLiArBCGfYfOeG6RWkcLxBZXqHVe9QavWLpiSn
eGAKWWnZgx6Ew7pdVrpldaMF8pJnY9e6Ycs5b8ZTpK11HWraJTPDeD6j5yFDBld8UqKyxhnj75Mp
3HcZAlCQyjnDUc1eZ3PwdR4HRHkCyF7poLorlkRX08kxfdTmV1MQowVbMeFcbxtPR2PXwS+U2fQI
YXpk5ZqbHqCRGB46uzCf0R/73wx3m1nslCAjvwkB9hjx/4z5uqHqrOVUhi5Z7PkqNUlxJICsB7Ec
9Z4YxUWa5C0ktYlFsGSQJnCzWNHIktFMtXWU4uARmfbZGlWSAafiHm54tHImiEl+3kiWnIzIIwZ7
i+x31Uj5nvnBW1oQmMyny23jiQmGEt90JmCYqdfWqoDM0jVTti7UJeWgGJyNzaMvsHp6uajbwPPN
luBcBWPjQKski+SQN23x8N/98SHBMKnP//7+eMGJ8OfbY3nNb7eH+guKUlATKikhDsalH24PjcJw
kVFwfi8aDC6W77eH/YujmWytTXXJFWdX9Hs1CWWJsAnLZqaB8xkS0r+6PT6ErT+Wk3wBYVGwwjFl
CsM+6I/lZMskJGfjMl7L1ldWGMU8zuqHVmNdGWtT681qXrAPVdMrAJrsvmF/sGM73u262VddlV4v
cAq/XVWGftG599ZtChppkvG7TpEFyVFYx7DqX51uKB+KCUhQUqXjDSMZ8GxZLl2n84sHg7DPmkcZ
jxT+zyjEuxZUaN8GzlB4oSSSU1nDAvBVj8P1MZvZ+qcp9toYXWtpdnt9soHTd/VmNGLNsxigXVOY
Mi4C/s+KsIadM9hP+axF5HsPBZHqU75pZ4ckggT5t8qv4BqpVLKjaJ0dpkYyrAaNmydzst1QUrCl
gc6WKaf2w9H7qYA2twzJsEl12akjXC9xlJcB1f6qLahrwb6RMFYeRGesExmINdyeQ1IrR0Konvht
nosCPgN0PVIMrC5b5Un42eyNL6PljGi0iueAHdFiIUNqFgwrP4juW6OBa54q8C1zVbpWEOySGY26
YmXvnKwpjCnrYNUM79qZzELHjONNq5jBJvQpe3NzfuEPDUbCKu9ha1+MdHq1wbLqPsllRqm/+VNz
g3m4P2E5petsUfNVg33BBgfwzZ8vZsGftC1Hr5oGEuL0V02vn+ch+ar4JfrjMDxAP7paA9FMsmTQ
qsICZIWg7YEjmmx7wGQOgXOlxkKukhk7q7FOxZjZ60Lq/spUw5cymG8NAyhrJXHMjTNDlo+5K4Fj
7MerxL7qk4j1VwGcbNrLltRG1k9HiKMzwxksq15qEpgVSvNdAYERdTZIV2XafHBUfSc2oYKmhz7m
QpAmOh8WSicGCgzeFseqv0g+gkX8MaECsRc5SLMIQ2rT7N3eBgtloBqptJIA+0VIEmGwXdMLMUxl
U2clM7/kRXiiTEhQQJqq2JGRpQieVB2dSroIVvrI2I+LhIVFg3jIF1mLj75FXYQuRHrjUFjEL5o/
uPMih9HRxUyTtosWoUximg81yhltkdBItDQsdy/AR6D8Gaa1yhbBjUR5o6BmvLLMIl5ykeWUi0AH
S/p9v0h2/NY8iYjJsrPIeQS6njrtEPig9KkWyU9VRPyVEAGl+qdG9a/KEGyGRSUEqgS0wiIccrJ6
y8AYZhRbHRtxUYjIyAYPgzLRYT8g2bBk2ecybA6jJKYiUaTtpZGqXlm56J7P9OSO4CsgXAbG4M72
L32lFGxSrbU2OTNT0J7nnLpn5YMsoGXioqvK5ACQ20bZpPk7UbXG2m4KYzsFvgMwrGr2ZZUfYfLK
9RR0+gFv/3yoYlXZGkUl1kVV3loKmWZzMpEQHnwqlUy/0eJoZGeR4+yHdeKGSXlQ9MENxsAn/618
qWQcfGvyzHNCPsa3Mo7f53jGSJs7OsGH/92fH/fn4vj4+/vzXOR/cX8ur/l+fzJysYF8aAgfwAd+
GBy/d19YsUic5fo0VXTcH5Ls3+9PyeRMSA2lxf/XX3xXUiwIKMYx6A2Rg/My69/cn2ip/tR90X+R
z0O2kEV8tvxpHNPMTM87s7MuBDLOJ6AEomygiISV4UEQ6GHjzH7H9kUhZCr17NaXxXkSMCXWHdnb
q7A1RXomNVZki0ma9wjcBvGzsfYVQjOcdcCqmpNgHkxyJ4c27oLnocuU0ptFQLbNKkGbUO4bEAHE
w/SmNd52qLZWMlQwE0u4G2435s+a6Ng8GfoOxxDnWtNzYffsi+qoBg4RKM3G78RDnDNVyi0kChmb
7EncwXTDkqOSvMN1dSyL7JhX/kkdxifwG6yoZIFFpsy2XblPswCxYkDpGVlx5CYSBlPKAYAxDXRe
58/swEZSvaVzozKhWXGfErrZgFwGU8ysBNDqkOEZy6c3banLo67/1I4mhLwgBdgqTA+I401T5NNm
sHrWXx2Xt99XravLefRAEKQe2xZoRmYNKUtoa/bfmJc60gQHu38Dk3BMFZzxXY0fJPPVt3Ek7gTn
6QZlyC4yiTwBmXrCS166UV0/IRJB2FYNp6ZLOrePKLbnQr9XDEjKstM2ZGbD4Mgylnl+uTdC/G+j
UVxirbhD9u36sjxGLBlCshFWvQ3CVkI06tJXOA4khYc9Hm1B1G2CE5W8bkirBwO7Vl3aFp5/2I9a
O8YroCvJxp6ksoH2cc4UMlaSdNnNolVQg+AZT3rskmkabXXIFeChg5tRsqY0nNZVq/bQd9xslaif
g2LJQ0zMI5PA+zYY1zCkejQGRKrl8V3AtR+ZupdIMnMtpIVr34Q9UEIA3NWJH7pidG5oiCT3ov5e
pGqzU0ucs2ZeXEwV/mxIfEiuJ4/StJ6yuFoVZXVVwrJ0pZOAb0+dmACUeBOn2dPAdbCocDqhv4iy
KzxJx9wP6f2YmPs8qKaV5Yc0ojar3amJex50LTyyd1ZROMz4CobhOZea7sVa+zz6w5NqNNSP9K74
GLaAUK5xYwIksVeG2b4S44iekXQKQqZgFlQJszZbBeXTdvd+DAeliFWu8SnYB40REE1f3XXW/JLY
wWeQWRErYfgSDvfVOu4N1TVE99hHgsD1BDFNYYUHRSkOTIa/IK1EyRlUGnJB9Z515CaqjYeyEVtF
L24GLt3VGOn3BuhnzyadC34QIPHQOEeyxJefRJsxSp8jg1o3V6cvWTCPu2QKdl1P3JMS2g7KwyT3
GFgU+MpyijkUkdMi8EnH2T468FY8Mjq2gZjrhbW2yQbJQ6oBh0RuZq0sZYDDNl1V1XiviblgEFpd
SikfcUOFB4ihpIOp43sSOXexgTXDggMNJAaKejNP3wa8W6u+R77gB5rh0kjYbtks+gzJztJPu3vW
kDw6jL1A2HCdF2U0udVUmK5RhLskGL9YYZsDd15UxpZz7szqrCoGWagjvNQRTS6CSR6oVm5Yf3yr
BxSdRbSb5uIll4G2tsJqL3UUQ+WoHkVdgToald7TOuvOGDVjH2AKWQFlQ3aixWcVHQeAse3Uxkda
ntu4Bvqcxvuwre79EObI6DRePtSnqfCvllI+lHZI3BiGTiAfgYXKiXOvjhgy4NSAoNEN2zgpnvOi
xbQ3MNpOQV+a/lCvBzQtDNuGJ6dpGaMU+Er6HGhJHiUvo97qfBxH6HLUZrgskEyPGuqeiVDg4X2o
GTBTfkbrfDKOoZW9jFCFtqrT3ad4NVHXFE81i1dXbwC/khsbBsjNp0QKwELmXjTFV0czPmOAhZXM
w1Dm1kNZ8wdjIUh8WdoSdRjk1abK5E0fA9zUsVMqwaAgdOsvppLc8aMi6gmvc2YYG9NYdqO9oq3m
VJ4klzvJ0WIP7i+CMWuPe2Mw77XS/xRKBBV1Gr1nhNdQv8LIV4c5X2J8HvV8wSfJcV4ti30K3f+q
pF+rJBr8v6+SLu/9l7cvf54zaLzqe520TKkFE2dQpNqHsPSHOQNTaltgdEOOusyKf9haYWbX2JQy
P6ZYWl7++5zB4esxfmCoDOVN1f4Vsg1UxM9lkiRPF+c6WyvBGy4DjR+3Vug7Sp20kuka5Tf6JGkB
/YkTsXUeRwyiKzGhV3G0/ATE8Y74tNepTBVXct8BzcUsNUUN3U3rHJrEuSKoLBiHWa/Yx85p5zzN
c/WoD/m3rgs2eNQXtqZ8SUss23ZjaS5P51Zo2akYKO97v3dWyaxfBgH4JWVXv6qs5MlicrzRC4ut
v18hYCT8FzjbpyRFXT3Nr/jYcowPzm6ousckam9qx7hENjGljH7uM1IeimIMLuDWDsXQl6tJaY6q
HXfuCB04Gwt+5hnQk76CI7/v7HBD2oy/is18k4fKc1dGJAybK7S/lxSB0WwgZMylJBcqxwA/D53H
DbSp7IXuA2eR3RaSn+jaJKqF1a2a7mfodBEOZVctG/LnR8QWsU7GlkWmS5ArMapC8yWbUYPRoEvG
mSI9yCJyvGqAiaeM/mKgAyk09F7KtsNzJgwxA92YrnK0T2UBjMh84tgFsxxwsd07sqNNxENXUN2N
FnC1R3UY5phOmZBmz6xagenxI4dk/DWUJFwCSqByLms2OPxWv07IMBHpuJuXUJNuiTeJA7Jgl8AT
uUSf+Kb6aCxhKBmpKCXte7rEpPTt/HleglOshgcnJEulJVMlSt9rElZoYqEQkbkykb0y1jJ2LdJY
Ck0oRHGUoFNlf3YEkS3JpB8Z2D9PhnXIllCXjHSXSjWrRyNr7oLMwFiy5L8M+04bt2Mc+5SIPiVr
5O9yfOJuUOnHaYmRIYxE7ieFEO+ZjBmlr22G+MpmcLStiHqKba5om1ya2YGmJ4rSYryee06vIFEk
xSZizbkiX+Em13yoX+ZmIXkiCeue5jR9TknCKXR+Z/gKPsHvRxybPE5k5gRZfTMuITpja1PCzZ+a
eiFUcdcS0CBJ/MjW+dgesg5tMKiSTz0AupyMnnaK1kAfjpQ0nkqGDyjD1vN1RCnJEvCT1ukDLoXH
cIn+KTuj4VtLjgmpQCX56KtWvlTsIZCSWuea7c0ckiqg+8/qEiwkpsnNSBoySRwClr6RJBDpBoaM
koVwZc0atTWFf0Ve0Zz0F5JYNkn+lix0uh5FXTP42yJiVOWkBkWaOd1EYKVtgdTQQXnKezefZhRt
LhudL5nv52ChktYVjYH6KWDj208P1oxXZSxSyH+1fMjz4Ij+5mW2w3PqjLc68XfID3PkxM6bvxAQ
HdiJlqzQYGU8gP5DGpMoTD7xuwn1gg+U+sBj/Em2iD1Vv7i0kXXbOPqbM0/gWZXhpvDZqWSNSqQm
1AUv9HNzlVohvLy2VqG3jyn5F85dknCusBJGSNijTcomddjklvM6+u2XJK1ufLWml4ES4DWDoKuY
Kgc3jXks7ca4mXV7C/I8ZMfTV/F9matf/UnHrJnMj3NRnPQ5eFVz9dCl3bRjf6+s20S7hGzQ0FiF
zWZK7XzjJO17UcoZ1kPIYn5JkMzaCj8J9LUVkGW2CiYBmb5Rn6BAgZBUD1FHCGHY3tUBFHYx6Htr
Ni5jpxyLjJ8ySiqPMHWxMmfFQNgaeHGYdS7hJd5/V/6vVz5Kqr+/8q/1F3wmf3Hl86rvVz6jESo5
wJ+AmdB4Ldvn30YjGDVxvGvc7rZp/oFSo//iUAMgCkYWwXbhj0IV9CuLhZ4vi3mFhcS/WEyzEv7p
zkcUtghhkMpQh+qqjcTmxzufKMcpGgA+sR4kiEqf08RhYeD4R2WsxDGXDU5sRUzdZyMOD5E/vRDy
N7slUgh90UQoA47KHVMTeG2VLmKCveFtjHGEQ4phSvGEyB1pBUE6yCzyRXGBGxzxBVPG+ouBKvm9
7YRfk0GORMPElEwGAFtWzkfSZqK4YlOBmNhNa6PfVDXzxwN9toPvjZbnw/qRRCU2kHhxhIz4sRX0
gnym6TOIBu6JW+AQgbi4spZuVtGZBKeLz6SZsGmHWE/SjqQYrCiNKfBzDreqPp9CrCq+rpyMIt2r
WFjGCM6HaUG3nBd/S9H0naeRg0k+jLUVpXIT85m/K3372C7+GGtxygROo57yhkxRTRmS9WQBGqhx
wmN06K5j21yVhFzkIcDGPRlUD0UxrEMmSySMWS3M/Uif6m+J3t5HqbhHs5SZpHK2+Y1SJfNZN+gc
iY0LSiv8VKDclC1+HUAy595Ig5VehN+wCsauVspgrRVMZJ2OakHP7hXLHDalze0gq1nzahx4tKjs
TFILfDdViz9Ly9PUPLz2wcB1WsbdSmf80o4KkMaBnac1LLOveqU7XY6CGddupJzVWScHR2Wf2pXG
YwOHmyOM2DvOtQ3W3ggoAiTDbq7Z1csS2kfHaF9VnIh5vBY0bjMB4Prho/gX3ibWeT8oLj4kgGiW
TQsrKgU3ytg/PthIXgeROE180URYbiCWaV8QydruMCVYnP47/349/1DI/f35d5N++fpe/8X5x6u+
n38fLQ+Nr2VZ5v9X430//yBYk49Fv0MSlfnhU/9ttUo+owpIj1kyEg9VLLkQ30fD5AaA1TIQkGqL
mge21784/4gT+MNjgjBHsr/FirHocjSTE/CPj0lPWJ/Roti6tkRREMCL66uf7mTR92sCfa9EJsZf
+YjlBFfrD8wKKJ51Bc+wHL4pIcRnkDp0+gqOHZuAvTy1V5kEyYlv5rUO2C+NqaxXyMfvENkFNCKF
vx16/2xnjGnCUr52enRv9fNziK/Y1VLmEyyv3BHbx45cq4O+eO4zuQw+nHwzp9o97+UNLaLBmqkA
s5UJn4zdQcqdrXObOI8GJD5WlcFb3ACvr/1bYYzXMGh2JF2VSwF2q4VCbAxbZ7SImWPUyGNmum+t
pAbDOUsB3VGp0a65etVxoBtsK4dS3akhug2nXZbDUWuvO5QYaz3xtxbDzlWhZxyapfFQOy0CFsfr
dH3dMVlbVcgsyDef9rNKXkmbh4Q+ivnJdN6ywvdqbVy80wfZt59wKEVwbvFDGHpEZt5Ef2f14H7M
cXrvRbHvVQnhRAFJIsKnQOWQJ27HTe2UYGtG5LiL8UrL6xBJ+FiBGxT1U6GYr12HCL9ItsrCetUl
3nl1j2XlFo4wGGbTurP5DfkR9iWlqDdDml5qw4FIK16TkYXhSAYcYkcVpLMcHjPNeIlt58LZSoYN
+NNN2anNyhnlUY3tByXVATjPgv0xe+chj4+z7j+WY30pqcqCGotKk6bvRC9+Hv8fe+ex3EaWbt1X
6eh5VqQ3Ebf/AYCEI0DQu0kGbXp30ufT33WoklpSVav/irjDmnW1RIEEked8Zu+1e+WmMrrDGI1X
rWevIYw8dEryyhyWLtOa+qWoAI/MCEt8vak/nGm6VjvAMLXpHfk1HYbEWXEnrgLzQ6ss8rL5caSQ
tHLgmOlmfF2CRbQTF2d4SHp8QjiFKMono7AfDbxHcCHHZ7MDwsuHHLN4iHqsb8uD1mdvAZ9ITwAy
BTMmmSL7zp4Il2vfeoWQcD0ybizkSyFHP5uTmmXBwC457ccVTupoIZQpWSlRR6Kn4cq9QXqXtLxJ
M00uAC1AeGauX7V25QOd2rJoEZ7ftEW1D8IhPNe78m5sHnH0GDxzjzmABtyYzJRDbpS5NRmGTtHl
NAhvF2CcQbTVjBuUR4iAusFcdrWWMMOPKH+V6oN9besdoFO0lOZRkEx+m6f1fNt/9sQWlj+61RB8
1DUB9nSYSmjcxWZS+iY9tepZZO3QZY/k0K882Xe7CVd44W3YD9CSE4i8ageR7ePKdCQJTkMBZzyW
vZUAjONxyyI+0sXQkiiEvz1Gvij58qvQ9cZrt2ICwEr+NEbzm7x72be6K1w8a5VZQpfipJyxs/oF
/tIVs+515jjnowlah0nErLr3MZOJyLWCRcuswm7bXczsQqhgM5llZHG3rmT/OjPlKKuGwou5hxkV
uGyYhKSmfc27q2Fyw0aZ0KcyM5GIYmFAIA+D4aWxzbuyJDhddRC3MW9JQLgv6nqeIc7Gd3DQWDjN
KFAQx5wPcmADiG9YplF2UJnl8P/qDOalJbW1cOYz8NFrxRdG+jExCaoS566q4yOF3YtoZiw1OXG4
zI7srgQyXUfGwmDsgRwaRoEaaC/qmFy5zJ745TGESpBJtalzm/f9wBNitEtrcCO/xuqBMt9cMeKa
FwntT9nyME08eg6NURPpO2B6/SKmZWLpxNhA26u0UgjzDqnsrajfW4wyNv7jPvdA0+doCh1kd2au
zQSAt+9KNLfr0qvRbXREBlQVGEDZz/Wys9Np8eYweFam/BDR+imyB9TG6VWRXeGEwnEphmFbNSYY
jYkRtRPWr0OJXVYRQDto2m5jFylOVb3GOFyWoa7mN1Altkqh3zp6R+x9xW8jc4I1Yw3o7gHllT3s
wDfCk7I7kqi4HaqWmfMAaCHP+Kw1eUfZlqmhIvZClVGuFGSFTzvSrJugbbwnPW9a529wqfZZEZlM
X/9zRXQN7+X5H0vRzX+siuRXfquKEJy5lDG0cR4KSEkh/VYVEetHaIa05X9VMn9dmDuMiBnLAusj
wQPWL7XM16rI/g0jDRxQByf5l4LpL1RF7O1/rorQmxkynw+LBdqzn5k/Hk5N2hhSYYoxLtcwPQQ3
daZzshT3MVp+X0+YnTQ60XZZyidyttpdbWnIgVmalXk+7AeZDZBHaJBbtduGJZx+3o+VIUqDRIAu
WXdUSYmTvAyBYFja1zE7mZzhFneq7+QWlqhq8i6iOr+1BFu7ejAmGrv5MKWIQsOWEyO+DxLjJs/j
4uRogbIsR20gRIGeRx21eJ9n0X2AHMhPPe/SZYcFA0B/1xSBj5um7Kaova1tO2dJNU5rdSx8pRmv
am0ATlJlZDTU5z08FwBgG0ttKPssgC2OzHmzWDtN5bGxHKq+1tikqhdRMzWvU0yRUIZh7zsMn5ZG
HHBF1temN605LemdTLAFQsS7PnOeNI2kvmEczvuwXunuHO6CkeVON+bbqAQNOaaUd5lIOcvmqyDU
pq2laLw1XdyfZTFL0dwKz4GP7D2Xc47YBX9ulbckyTwuktrBQR5vhnmIYXlRgSp9is4qonroaNW6
zL0wQkTLBskCxLMwNGyNq4RhYdm86W754fDPgVeWdxKXYqQ1z1FXmMsmcFhbO+0qKTnYDFz2C4Nm
vsz6fEHeNBbfqdm6pXc1wWq/qHONfJVk9NVaq/zYklUJn+ENBo0bc3Z6aE3eCpTjLahlb1/3CRUv
Xl67Ds7VhokyJJ41fIozGG6gZ8tVm6kbTIzrcqSd1az43jMbc1OMzAcC/JcrL6vXc+wcp3p60Mt8
bRb9kzlM1S43+isokQSfz8M7rzz6o5G9906tnYqSGJJamy6SkcsTLufR65Tg0BviRRNYwhkR6rs4
LOyniNgVH1GBB1KqAJamzmsr5fIVSV+ds5Jz9lVYNpcjiDWZzCoH70aFg4cO9c2t3AFHosGM2VmL
aty2Bie4hcfbCMSjZw7IoCegsrC7fchODHWhxAysWjuLt9gNg42SR/OtUZWkiOnTgD/ZuXZr+6zV
pvcsqtOVllpXWYDQzp57QgGY3JL7qxE65ac2cnOm4W/JXHm7tnTeRodS13BnIrHZ/q1Krblsa9bf
gTgG5AuvHDFUe5gSMLcdIK+p6SNLltNTt5OXGV8xQpEqhnCCBRyQNxNcZGLquCNb9dRHHdidjnzx
YCYZTS9Uf1btmugC0mu0HuFqsR8SvVnFgf6YVLOUMrTtAXmFejQGYb2rapDelKpZbbPenRTW2xHM
nr/79c/bSaYw/efb6QJ/+3Pzx5tJftW3m4kVJaF4QOw/u+ufEJ64v1k2qpBidBaR36TQZEeZ/BHR
Ulg7f59yfr2Z2F5KFLZn6RrdPlLNv9SvO3Js84MU2iTsiIEp/TpmccP8aayDA74oDHKOTxb793SL
KQCaBbrTY0I0uzk3l2403zMLo9pssw1i1nsoEA03EVoAAFueVNLGFMCCWZ1vlOLS7kvSMtWzLgiX
NhHxBhrYudtaifLIUU5LQo0dnjQZKw+zzF0ia/VWjjbj2m9syDTT/MY2jjSpjtWRSUY9bM+MhlrB
xz20j3OJNpk1ysqw+gv2OIZfAxjgz9WzuUcHgHvwSFKXTZmZ3RVKBwhHqO9x1XwMs/7m4nEmqTaN
gNaM17k7UmCP5uMwKfdiNpnZzTKahjyXfvbOC3uazhRCv5np9vQseFnGgHaFa57/0XwwdQNIPJNa
22vE3xHQmugxpoyAhzWPgI8gnXpV0we2OlEDnoDEwdgaBC2kF60CpxUw+ofJXFqpOqKGJk6lXVXG
NOxEA/b6WYtNYJXxiGuJuNUIGQU0SYR3NStGpVu0JqxJRr3skT/5k7oL4kAyKQ29F6S+SlLlJJmV
0Se9cs7EZS+JluTQ1guqXt6qJmByK8mXkWRg5pKGmdcEakg+JtunwTclM5Owm9RvZQM4SqJmINma
tqRs8tk0F4kkbyYgOCPJ4oTrz9oOmdAxkKTOweuafRT2zmaUHM/CzMhTqSXdU4mMYKOl3YcuyZ91
VHfLWtJANbCgPb78BUUe8AzJDNVI0oN+DkfUVO13T5JFu3oY/ELSRllJ7zIV/iji8+zCNShPQLBA
J1XY+XkaAeCmZJemfWNt0Ce+E2/mbZB5Ec8uWaeOpJ7yztHcSBKqS6oCeAzoqIEqU8MkMbWQ7FTj
E6OqSaJqLtmq1VTgbmpYWjYS39q6ijgbJI01HOCyelFEJ6O6qPRR6BEUFpmLoLE+EDpBfgbtigjI
2EjFIyBYSX5NvIou33XNFzVntcxgCAKcZMWy8SSLsjJ7AnkkSjaRVNmkQFHHMxfuBSS57TCnRetH
nyjaUVJpUUSK5CNDOrilZtYvS8YRVETA59tgVsWZQb8r1PEmUzTU42qGhd3w0nWZ1XeT4oVLdcba
UHpDCZePwOe+eSQv5j4rCeEKXI+5es7CsM+xHiUqfF5nSu7wS1wkdRM/IWaGVBOF0WHqXNRoVQuH
oLskrt3l5s6AphSsHr3Ofo+y/olVxXoI3Wg5esrHkLRSXBc/Gkqyz8zsYQT/u0EHRHZYLuQh4h15
K3YdOeklz6kiZ95t7t7ABLqoNWykGlivQpTnlPSvuu3d95mCRVaMF+0s3J0rxLacm+tm9m5BuwTk
WtBtY5/AIDfF0BfiaWPobPPJMUYIkBdnA5N0Ad4+VFFXOiHmBWLX6jOLrCiW45JSjEy9xAPgBCfX
GI7KaNQyVc/lSUFLhdOLhjvOCkKevPglcVnZ22mbbEMD2L9jdgZJwp65t22PCY5NppRp5S9eAywj
V7vCt436ohyUa4QGUoqVxvuw6ADREnbjp5h8+ZaYR0xKa68Zfdikfw7hZa55dKo8LpefwN1ZDRgK
yhdtK8KgkiD2NhSD8VUWimrl6g3N+yi6TZOQDKdYo7epTG3y54SxIrLbjBPGmTZjNyV+0MTGKnZy
0/fmBG2dsD5Y+8yr1Jx3aM5OrNLPciM5WJTcvjGo+sYg2MQ31CpYExgar/EoUHCSArQy8a1tdXu0
JDKC6UE2g4uI9Y1ujBz1Cd9tlPPU6gOVSlYYIfGexKBNFaeUWqM/GSiWLi3RW1vSoMNFl2j2RkmQ
RyQ5I9eaKNQlCbEma+7hd7bK355hqV76z6UOjfg/9uVz3cV/giyXX/pdveORHqLi0/95P8t+wiKv
BzQbMDgTD/C3esfA30W9paNa11TgebJ//1rvsO8lx/rLP0aZ8hfLnT8q11UeALk7MfGTYc36cT1B
b56PozmJ06SwX2OGhlSa8X7hJkBOo+IUm/YRcUp0bluCHC7buqwRM5CQqF4ZgXmVCmIRWckSiRbt
YJqfRY627hk6p9hblX7eZ4V2cAuNuArGTb05oukyDiqB3wujy8/xVa+D0Dk0kbIuJ+USDsutMxX3
xFjSndXvLtctjn3Iq8UuRSUcKYr87Bs78i7vBH2KYqqXU5qdd1O86j31fGTOzwpxPNjuvLG49olB
u7Xo/UnUSvxMDC9e3B4DTvdWGE9GmG36tt0Xgb1uDe+sN+vzIIrOvZJLg44kjKrzTmc1UsJ/GfV7
x+QBI/7Cm6aFkpanREsAdGg+yJxV3cyrSO0fvbi5iKLuGA7TsucqN4fONzL7XEAf46BuhCf9zAPp
xV23J9z3Gco2ankiU5KedEmMb1aDJnPm+U1WgLkWdiWugQFiEhrjk8TW4OZeaYl9azX5dp6aq9xt
Xwp9PFfc4hwUwqG38601d/tcTNuuhpQbVgQeVmi0Ea8HHiQ388qJHHRxSrVtnYLjOCNwuaMX0yao
MUH6bJTmlVfZy4iFPIHJzqlT2kOo56s57HcCUlbjKFeJB7pLDe5M6aIl89QmcGJRR8jGKSG5s9V6
6eT1MXazgYluPV5mUxesyth+dnpPbKqaKEFce3htqntd58LPh/GlsGxAWUKEau1/4eAHjSuSLbiJ
iOYSStbJnGfssolpF8amFwXYVm3gtz82O0sp1U1Zg4dUCJRLy7baF7bol03NZF/LNOM4WnO/6ifs
zSD/wNtCi0D4NCdXuqaDqMCshk92mxTo4eA9uz4/0rws9HnGHYgxkQkGigFXTRCSD+Y26LENN/Z0
HZukwKCiYb9toLqeO/LyUL9TNYbNLQYszMA2lXeS6ZexC5Jxhpdv4ZHzFP1G0YNXyIgwC83TTBSs
KVKiYdJhlVJEomB4h2l75A64V+BnJEfRtb3P36U+pItnPBJiQisvmUfcDR3TDeDOLaI5GyB7RLpU
UpkvTLMwUWOqWFRN3a0a0zunGCZ1dUzePAXzZm8y+e17aLKp7r6HlfdUTPqtZdnvfP9Uc6XaYIyG
92dUkJa4isD8FCCTQGAzVWN1V2ViZbgxzXm+B0t1Z47TR+eo+8Rz90i/kbUrnR+H0V086z5pN/X5
FAw14ZnUnXqn2McyC66J5SKaEJu6r0e9sepMI1mQgvIwgOVYNXX+ppRy1TQOguV/WKyTdNwFSrZJ
VA/l5NzTCkVyvjeeYtV54SJ8Gc2eUdqY87l17K1h9xZfmQFuFgrtm752Ky7a2tA3Qak/tDX1JccU
6zuA1CFxwp0dP0whCkpPMV/joCZ2jz7M69oXhVicRkd3MgYqESDBPcHiCPGROs86/CszlaRuRWfd
K7rFLKqbaGDXpSbThO6d3/sYBA8grDrcbYHD58tYQzFn7eANPKJkGkEn4LEUpJ7z7RkfuYr8sA9C
KbUUdJfYCIa83sXxbPO99XskYqcxp8KCvkWhZuwGwoOitifFUt23A0C+TIFiGrM2W3TqeEgj9RqD
35lVRDfahJScCLNVwaBp4ZqDsbJH5YBvUgPKkt6KiMFinFfOKnMqJP5RlBZrMTRhtFTKwFxgvlEx
WvTRzmwpaTKgeoXqKht1pkecCgxCRZOXa0ajyHanyyonmtbRxuwyLkH2/T12+TJ2+S9LgVfxnBMB
8CcuOkmO+laKaL/higX162C2/QIu+rYU0MD9o6L4+id81delAHoIw2ZCIDFD5qfV/Fsp4v6mMpLR
HDYJFPF/kWmEK+/n0YvD8Ed+dxQj6M4+45m+gxoZSV+wqRsZkGcuDxFq8bXRR4lfJVL9O7aoYtOG
HsEy+8chyc+qhvLcVl2HfV4cL4MJimlQuNpVGNo+blkWzxPecluNlTO1nZ+tQJ9BzLbvg103vpNg
1qo4d3hS7SN+U0IDe6OmdSAqCSSXn3BetcAqBpU7JuYky1t9j8XuIx2nu4GTzjHTU83JR9jb1ouR
UHgJfWosj8eE1K/FLI9MlMyEJnuoDNCwvCeOeTvYylPaK++DPHAdwqKX44BwmEnxG4He4SJVlfNW
RQMG0gMfRwrLv/fsl0ke51iK5ECdIqeXh303lXeRPP25BexSpPSe8mKQV0QoNl14DOOdXRlXdWMf
Da6SmXX2VFxQ6DEZ5p4hqHQ9j8l9XjOb5h6KCuumlxeTmnxMoVS/cmO5gnLH7bCC99xmpYL5dZIX
XJdF2XpscSTWHn2e4B7MMaesWnk1gqFPlkYWCTQrXJxzac6Me7lMmwA/Iy1aszK5adMIdXGuGBtA
JMmVpbECGpENL5IJGYAWW/3KKhXjKOQFzjiBkb6rVXuiEFgkjNnClBc+pvId8ol4JQxOILNLrG0X
eFN6V4SKEx71Zs7vcYOh6ssQtfH29TNp6IzW+jFmamK5H40HuS/qT1HLvgnpAtvK9nNzKUhRfsNs
5SjYquDXx6YWrK3G1k6Oim+YzpnyRVIEKskTyCVZANj/nWjjkevGe0olfcCSHIJBEgmUCjaBDqTA
K4adkVsbkny6TSY5BgKggdLRCnaobP0xmItNL7kHucnOymn0gphXikxJR4CeeByjqYRWGBM2YTol
DkVoCoXkKrgdhAUuo5dGMhecVO8Rv0fvlcbkYjYn1Y89jUpRwhpUbv5csTSW0m23FZLpoAs7u67t
Ojv1pVPcpJL9gHc8onKH2wAWom1tFBndDAAhtkgeQtLRBQojAqODe19OJ9QQwZJs0HGZ40j0rVgf
zlpbI3EgBpzdTurzGFTLOhruqGEqoiDIS6N/T1YhW6yFPprKTlG84SlNhmFRzHWwit222ODSTF9T
hILbrBsYJNYuMTfRuO1nlEKipVhfCaIJFrblicvB0IJDFBru0e2n8waRF3JyBdNWGfNk5j18CNUd
V60OZ1hxSSxutBS+sDXO/t/30Zf7iDby173xAhr1n95HfOW3+0hldG8z0CeXhn/2hyW1BjofDR7X
gQz88rgqvt5H9m/SjKSr38b9364j+zcNuR5TVltjoyyt4H9hRw0G/+frCLAK2VsunnO0JCwZfmyN
m24C+pC6CjSfHCo98jCZIV5kdoGJoi3XqTNtlcY0lojeL7mFPPzBwIEGoB3D1JYrjC8gtrCZonFN
lgwIyoU+TMGqrt1hFTfNC+y9uzIZnyq1Pk7Q5ShS3UOVZ8I3yU4KKoO2SmxyDR922IJT0omVsGrj
FR3ssnfsBoS+eumpoKcGl2xBkYh7dXQ+RtMe18lQXed6cisTvfw5RdPSKSj/c69+MDsw3rFWrfIU
O2gSVjhiS2Vd1Hg32V5vhlThZCX3fdF0+Z4sXLorsi64zwaWFqtgNJ+qrFemS6bcbr8mGWtgx1lK
nBB4MbVi2y65Qx4ucFTH3rqSTKJe0ol0ji/8oIbfS3JRKhFGkmXkFbiuJd2oU5O3FtwRw2aY+5KA
ZLTnWX+rN+C+sYp5Swbo9PIgkxzJTtKAKJEOqjBehBIGm59Wr+zP7KBp9rVavNQ6KfMrwu4J1EXv
xpVs56Z+WadhynrBsVZodW/UCBOSQ3fWjCheuK4fCrO8Y9hcItweywO3/7RUHM8vHFxnYbUrsvK8
0ZpNLiSS19mPVvDATovhSWpMu9JGelCY6k5DYbWI+Ll93Fo6hpUSwGEGwI/v594N23jfSykBVtZh
4Up5QUCPcCJW8gbBIX6xilW4h3zAzOMW48tQx3cQvPTMFxlaWF8jDHTWp0u1YVWv2o1c0SPkE5V6
HaLBDGpR0HkYpzr01sqobykBLq3E2QWS7Nt320hlP9u34U3r5qfR6zf6qE/UHvScAK2bAcpVAlLH
zJN7yylvnDLaDFxtuM9RRYpmO3bhDSScgxjia2ioD3GLghPYCE1uVC3tmkZljkHL94O1RgKlr0dn
OtgEpp/xK6cN6ZJ3cisXveB7U6bQ8g1jAFWrQ26bmXLP1pMuWK4UKvKzLjuierrKrbraTTToB0Mx
r+NueCkUEkObG9Fp2hI/z2UYJauKEW5RzXtha3eqlwxoCZJNE4stJm7G+KzDgLs/5V1IwI/DpLid
uFLrCrFsSCSPglsfts2zF2ilr0JYnu0ZlyC1AYI4ncusbBQ22iP7A+sFire9Ap93PYfRaSAJoRbD
IbK0u6xWNV/Vp3UNL30Zp8p5oHqbJC/OO6StEv380ge4s4iOOXghHkiyoc6yjL+meWdD27WLQeQ7
N+wOfVuc8TdnfxwNA7ee1S5Sd8gIcY2xIaNFK/KrCCyGDtc6fEzApxVWgnbXUj8Q5m3TuH8kgAAj
Wu8Tm7RJDPepdYtj3oEbKLndDa1bos3YirB6mBy57ZEl6GDCDNa7K1ers5U2YgwTwniIO7EbyOvI
lD6AbmFeGkm4I9vrUmecv5zm/mj1KA1Gq9gEBQsGT1QEADqb2E3viQY+hGpz6xSVusgS9aqNZARE
doyYkhOYd5/m5jWJhg5RvP2rmUuDpyDUQ6cZyLtdOCFIhti+zXQmVJ5+xYdkX3aUs5FoT01ARJOD
nb2DF5Hr9YrRR7buGxWZ/3CmeICImboj8VF2INa3qjAZ/5E9Pg/bgZmAR+bi6LWbNpsv2z7Fu8DY
yjDE2VjxkXUpwPImuw3U4ikd4pNZW7sWqHNjVnt2fGR2RHd9E19bbnNjmXrGWidY91a0c3r3JVWr
nZaTtzDn5S7Q8Zq3xR4CFU+YNhyjMj2DO/80ZsY16m1wD5jBNWA1y8RWkZzG66KqTlZensWO+/F3
bfKlNqFW+G+1iSiexVv8Z9QZ6V/6Wp9o5m+aIUUFHj6pz3rim4hOAmlQKdAXS0czpul/1ycWf0IR
4iH8tw3b+Z75afxG841phAqFosf+awWKpkvrwPdSBZpQ6hwbfwEds86q4McCxSPmpfL4+J0rqauj
tYFN69Jz7mzJq+0/0bVt3QqBhkABaYtXkJaYuVuT3E5Jih14lgDcQrJwycsIydgAbtNfjp+43A5r
mcwQGesZku6Y9aSELeovlF2A+jhz00/8Lst2AYu3/QTzum0L1sQiAIsoa0e12RPMyU2OfuuWbi/R
EfOp03WkuRAV9SSJ1hVROHOJB2sLTgs5s9U5d4XWs87nsO7vKsyZYCetap6WZkGftFSaulimRoW+
LO0rdOZ18qhYlbU1PQ3YDNrygN5MC9kZuEl8nBu81oBe5jxcurEdAGXT4Yuo+ZLNXHdUFSc/d+yi
v8oxk/miS+FaxE7RbxFpWXS4tQtqKx9nnNleOXNbdfa4IDPHcog7y5wrFNqwDuY2j7cZORevua5A
TAjNqSmWk8olqK8RdCV0JqbRpeXO7Y2WvQS/EARKsCse25jOj3U8ygYz0di4+Igh2LNAGe5n6SEf
DFJct17I5tqfKhFuHEYZl43okyccG82l5zQOSBVbo73FM3aTD9W5Z0Cmu8Ca0DkXBTnxRLI20u8c
BmVX7yJd69jPxnrymGJ+u0HtlnWURjJraCjUONuqnzFEzNCJJKqp3sZ97sTm8G4PbvjuyWQjQKPB
OgPRJ1OoST9qFHKQckU4CMnj5iEytEqcajo5rqj2b3HVF+mvgQvp1yfXGkPoa9y8/tmgjy/+enAR
66m7Gn5Q1XJslo8sFr8N+ozfiPqkGZEOTwRVSHy/NlYOuEn2kBCpv33Vv3eO9FWqJYNk/jou649j
PgzAJqcfqxxS0VS+8e8doRbRDW4SiPk0t/c14eZymvDdG8OdPYVl8Q+YiheEKLXNv/4p/4V/H4wI
lflXVZdgZ1P3OBc/B43fDRIZBNjVWBnaqRkVDAtrK4vRpbz1/fbXr/PjT/LH15Eq5+9eh9VfBQ3P
QiuGmlQTh8F5+/ULANj49U/yUw8aovXRO56mkz6SC2beOkg9mGR4Cnj33kdEt2z6xwoOZ3zRguHS
4ncO1TC80MvLtiBcFOFtfWZbIamTWJFMsGDXA0rWEaDlr79TCQn55XvOB+v798KIlQCninwvDJ/j
FpHOfceAn4zp08CWKACjHE8fDmQZFowL1/599v8fExlAnv7xG8BoZ9kqv36uxJ822aRwaG2vOtMJ
bXAMlNQT2SEl4RZFSGXWwA4JeO12iQtebGTN1w1XGkYMTryS3E5VmZcCZsVCrzq1X7ehuh+YiolN
lj/oubEfApXJs64k2u1okGBvpB5sqcBtF0WS+MIWu4oOUu/rtdZOtFXTJppPvR37BDwvSlS68KQ2
An5Wrl8EcwJo7aHBfRYSphK6R6PNIB/Zqx7jqD6UO8OygF8g8EgqYrlu2CTWGMtowGu2P5O27LQO
Nk/uD9V2qh+ahKGugsp4KM601ryE5pyM+aYv9PI2twB4GbPhl95Na9orE7dKIiUiVhyaKzOu3ZXq
omAp0+wRW/Aiz7HQelZAHFhoHn79EZGqz+8+ItIK+cODb/70uAwxbtl2bOaTujG2wW4+tPfGxt2J
U7PQDu22XgoffNVyWhvLvdjDcF6Nj8qOVf1G3aBCWCdfPCT/+SPzw/fzx8eXIu77j6xJ1J+Ty49s
me5KJgLDCnAohBX1vxxHf/bJ/P44+unAc+N8ziLawpMCLPpmfKtD8rmXiCKpR379Fms/vsVffqTv
H4KfS0J+H8LwYv0UMZa6SEfiQYkzXgwNZcUyPAHW+PUL/tkJCH2AOhTGPZaRn36lOYJWxyFF6DQk
DePal165+PUL/NkB+P0L/PTeMXyhGgt1/UROlhTADsqSOc1/+Sn+24v8dMp6o2fPEzPHk9efzfW+
tW90++nXP8efXUnf/xw/HY8TdzVmeEs/4ZXBs4tI1b4ie1NKBj5f6P9aj3WMX0XZlB/t/8h/+bWs
JsH+vf1/P/5n8+W/w/dy9dw+//AfftEyYbjs3sV09d50GV/65cGTf/P/9w9/zy2/mar3f/3z+Q0n
DYPPVsSvrU418/kKu7d//fN3ZxQf9l+WRzijFs/i5Vk8//kXfy2PQIYyWSZ6VWrKvzRv38ojlWwX
XcUzxdTXpMX5d3lk/aZpgCwcHFU/00TJdrF1Fo0Qr5hZ88/+lcHzj48UpyRKdsznSN11Hirb+OlU
MiJNGdopN8+j/Gluzsfx8bu35eKPxRFurR/OPfkKIFENZGXY0j3Lcn46JLqgMdvAGrvzbrZ8lDcf
XJDnWcD+TbQfGFJWTJLjVW6y1NOUYoe1fSvqxO+cqoIgaJcbGFqbwhFMv8GFdtHabKo3hURWIhkP
KBRYjLXpsJij7KT1mpWSfN7WxinMG8baI87rkDcRMjbbTmhb09wsBtXajQQqoIrBpWHkkQ2SP3ZW
phlnb6SdBsC6tMw3Gx09GE7DhySDdeWl5msXEYLZagBToUHVZxoq3UWouSenchQ/c8UD3anh01uj
VjHNARsOpk9DL9u1JtCXTKI460X8hFztQETbyvPy6TCEfb3NinILZHleiaC+CayMkWRMwBhDmpmJ
jaLiedTM8YMZOs5+jx1SjnG1M91VWLXXDleywujHqNkBqsq2qLp9W6nl0uqmyzElV3IeqcdmsUJH
va8d5znQehynDlpYT8GbGz+34DYWjYM+2nK3WZicFEysjM3hC+mPTRruvc7ZEvB8MIvawjzXHzNi
IWyC3URVb8nBcBal6d0l8dxu5zS7EAFXXDNHZ22sPiJNkkLZZG8q5k2bMUrXZwMx0cxYFXrfMmrG
yO/ceDdlaOesxLJgT8EiqWOwtnb61Jkea3ECtUngXVCj92sEOftxFkvP7O/N0lgOkXUO3PuxaedT
GptXUU4B2gX5xjH7YzSIXYmuP2T1HPXMG3Nv2JLneiCS9trWypwU1+ye9dydFjjk43XrUth7d7aY
ZIsn22yrBTs/mJrNY8kPz9RshI40vwFq8+FiLYGArYx0PFSEUaKND2GbT4CxWnIjcZcFi9B2nngK
1lBkHsNARkk0bbJWuo6PTf0xlcnWhUVlGtVTJ9RHRVGvGwcqZIrZoR8hZlvZy5wGlzioZ4hO4SFN
RApmscKfoTg30exJbVYEIw38kpojYdaYdygViwZ3dqyjOzbFPoYLy0IYx5JlXyee+dBVDamSOhuk
rJJPTzJcq1pypnSVi1iJ4DurhkGjaNbV6CoQbMHInpFjLsFrRuN7WdUv8OQH/tCAIW51G0Ocfafa
OJa9OnBf4Cb0foQivESxZZO0mIue6NV8UpD4MVmNz0cR24ea4LoVojCoLGkVLoWSoiEjAWZlRrj8
sk6B7T+zsy/aIL0q0ZS0i7xTzyob3G406bQb4qxFglWZVbMruhFToCFRLHrdbPGjJn4YdwdbCxmA
phWJn7O1CcbZw4muawtiByu/xCuG7yLOTg5afPyfSnM59/zEQVC9WvN0JwLj2UnrLefbMYm0fOlp
igJNVjkEKPikzs9apLY1LtuszK9Lq1Mk8i3I7ru0uBp6wkzw/xD4SRyfzmA7MVeGo3Wr/2XvPJYj
R7Jt+yvP3hxl0GLwJgEEQkdQJ8kJjKmgtcbX3+WsqmwmK2/S2u4dvEFP2qwtiwwGhPvxc/Zeu6yK
g1VbLIgKf7Q1Xhe9FgIiIhCwnPdhHWzRugOATdxq6Y5YTjaREZ3kTP6UIjHUenFiCDLsgikoI8Zx
bdzBHA5ManLyUQM9tj5XI5owwBctJsd6zO9SJR/9gSmJxmja1Zhqk+60pEjA4ua02OlZU6stjJlr
pWbal7XtasqB4jCH81jydqoS9AA9OXxk83AvCKa5mrs9KLXMaxvSjOexyx3WnH4/ymb5XOgdo7JY
+o4FUPbmHuAQH8fkvDL1S6nhsXMBiw7bIYmGTYGsc8PSj8e15hPUPrsrcujCHLycfQ9OZ58lIQIS
AzcCiWi4EGgD6aV1Z9Ql0kA9ESE0YCW8WQ/QTKT1nRnMdzYRBI9LUMRkAZStb/ShsrLGye9mJGOV
PBQbUAylm/GDK+Ts/WMTQ/iZ7Dle3CweI3alqNvq6C5X6Yg8yM4bb87LJ3NgLjeiM7RmGG7lRZ6t
fVrP9zLyoSFG6FNW0X2fqXd2XztkSk/DrpSYDZZBNrtVn4zYU+QnJBuap016/dibleKBul5WacSD
DhEZvkGgParMCW4D1Zh8u6e5lfTyvP799vyuFhXphcTHUWpgwnaA1NC7eXsogZpP5yZMinMn4pUm
8hvN8XpsWv/3H/O+s/DX56D4MiB08dq/LwI6a8nTMCrOObHGADLvWZWubJj9LJfNapwdbsCcbYep
8jM73bZqBLdKXYFIOLBSHTkirhInvQa9eGNC19ei3u1BsxRh8K3sTaR/vAL6QpC5HFKu/ajrflHA
/PIKkfRhKTpJKqZMqfj2Chl5X8adkxbnEUBLON+JmLio/OCw+o7b82qCJ8IPQDwSe1iI1rv7AO+7
mvO0H85ViL0PhuZOo5exkoOafWMYwKFIw6NUZeV1QQ717Mi70R45688VCxVz+SXJ/UjC6kP7xrkt
2JX6cjgTmsJsnWwP1wDIKByD51iK91PAuHRUeW/MfOTcLyzZiKFe0i5z4RrGmwXRC1HRpMdnMYbz
Tvsi0VoGStYT0lCbML4cxS1rnFMRKjC2IkqbyCR+Wv2GyeplsvCIGWAgJis7zVijV5Y1S1tZGZMT
9Kp8tUwI1GigxF7kQH1R4vAh6JX8rh4N9g8lPBp5BZXSrLqtqRCwWrLFKSQlzYmVritZvYBfItF7
obOgaNkxkF963e8Na8e6+GRLzOmsUdnOif6UaU2EVQ3vVGUC+ZJkb9EpPSZeM2gVaPwnKd82HTHH
uTLtaca8pLEafZkzY4PNN/esLDqpJc0Rra194pPRxKrTTW6aGdI+ZUXs8XSorfaDVgHa7p+K5j+f
B4FE4HGgDeq8RqC+6fXBaytJOze6M2q/F81p0RRXQ3Y2yZ1YsZ4+hy2nU2zQrmJOnh2/IouyE1cF
kxhD0K0atqcOiziuy5NR2o9gUCK/ZaTt972s7zga9miqkAygqbDXcqnnW5VN3RuVuPYQLFOPsBDJ
eVlgmqxvwxz9mRK1JbsBUuUOC0ZR1b6ZL5z7zBekLQDdlNJym1y9N9WZ2nnGI9opHr4qOi2Qn9EX
m4+YO3djoH4F1wyFf2QZcLKtWUx3RKUcraFxa3D3WFJ5QnB7zeqtMQynNIlu69i4geO/Mefu0U4x
/1M3ymuz7qkFSVZre8R6tvACamhGZFIiPayMLxLPhFs52pOiSY9KNNRe3dGdiiwGuIs0EfhSrhW9
2ciQ/pxiAC6H6B5Mvp6iMrbt8WDBIxqVgY5RJhSI3Z0m5h2AqVsiHjFZfanh/hWWKfQeeBoKLx3S
SxlNR6sw/bHUvciKmcgjC1Wd+DqtpHQ328u6RKZhZgGGCwoa0BScS3gZB8m5HuvuOzb1AGml0KSC
Zen61DVb0FgheH3FPJqttok1WnS2EuZrYtPIfKFCBa9wlMDrpMr4qSTiJ5TiKyPSV2FU+moqHXJ2
8WgMsSRmT0PV+jX8Qmen656isGtmweh3bO9Fk1deL9WJl6XSJhntw5Ig83QYlo1KKFB5LLqLquCU
x1A42lfQCLdh0WG8rI+F0MB2XSZdskr0CjNrr4fjoXoVEglrJ85HLDIy9rIKt17LKSEz0fKRI9Zb
oI7HK9NYW/DWiQDKJ9+c/RLTgzV8qmQJnbl8whTUIFbUj0k0ku0bBMGBmAvLbWFxuBbmTFhk8GKo
G7aIDVpvNq1tM1CFWCXsB4uh1xA0ygdb2wdv6msb8s2bqkbOjH807c8m+/7QnnKynSYAEsF4SZsT
wMUPukc/68T+sTII2/rb/UiNooLTBStDWX5TrK/DdDM4xyJ8RAX7wcYn9pw3cw0BZnFA2elELDNE
hmn38yeNbQfmRx6m86LMKIfiqXWhHAhUVrmLStq36TQQkgD0sIR5d7JrFFRmUqLYTFDvjvxet1Wk
74i9r6dCs1cYtR6kuLyUsnWbUb5x6nG7Vr2dwnbyii70YWM9F4n+SYqy6ibs02FtQIPd5EZ/MBIC
uDVmkrC5XEq8TdFp1icmTLfVgmZEM/a9BjFKUw9LOO+MyrmMaXho2LYtCZiwSpIS2YNkGrhTpXzK
q4ZcvGAHBw4B0WSvOiN/WeSZzKgxfKrRd31Sw6CDU6aFH1zVn/stf96+txf1XYcRfEUBTM+ezvb0
HC2fZ3v/+7v20e8Xj+ubx1GWMmpkctohhd9WCRBk7f73H/CPeujnp8J89/zRg03lVA3ns6FeIVBe
cZnkaP6gs/yuf/nXo0fyKSWpIlyLP3+LyWrHqNX5Fg7ZFt2XbsypSe7jyfrgbqg/P+Ov7S+kmIbC
VouEgsr05w+akxgv61KpZ8qYL2xq3l3mBx78q1XsfloVq0870x2On29iN3qY1i/Zev7MG91utd3v
r6oq+mzvX7a3G/67AtAZYqdyQpaRzh882ZXX022/ya+htq8FL9ZXNlxnX3EJ/FhFa0KvmOCfiy+/
/yuMX/0Vb5/Od63pLGgzGwrSfH6cduoaXozvXFmrS4vBztt8Mtyj6eUb5xz507a4NbZ3gQc8fcu6
t1o2JSxAj9aZ53jSsd8Wm/YSwYlbhd5DuerPsjtvjJ2zKw/jtrnP/dvf/+lCOfOPC/j2T393ASW1
jbNKinkuV4Ry+u23yq/uFA/Qmxd4kUfihZ/vy83Vl+O63xEVO7nJHg/FPjnjVnaJ30pXXwP34fd/
1esY8P1tffNXvce2xtiOGsvkr4p2zipyl22+Ce4K5N94rlZ4xleNi+VxY5/rrfpMI239+8//9cv6
r/fo3WrDUkM0XDVPZ3kp19Y4HhYpPQ+9/BeB5r+dbYlV5Z9f81+f827VsUH1DcOSzWdq6tUwfpGn
7YiHBDqI3NGK8n//rX59q3982vvDpJSz+Bt10p9J6+bkd1OF1/+zD3h35tMmG9FrzgGK8CI1oQ/o
WN7vP+GDG2OJF/HNMi3llV1YMy9aWZ3bPPUrFdC8/UGp8NF1ere4tUpGlpGVdOdJ3BVSiJ0pcf9n
3+PdA9ZDdOhx3M3ncZjc2DwTS+Eu+QdTuQ+eLuvdqmQGoTTTnGM3mExXd4BAZd1F03rXgimVjCrM
sfiDS/fL+2O8Wulh10Av//n+2BoBkVXc9Wc9/94kfqpFNPk2v792v7w9bz7j3UuTAdWW6kifzpD/
6d9f5/kHXYWPPuDdkrik+aQlBE+fZRZtmtGpln1wmV73x9+9+O+e44gAU3JLeI45G6zIoNwP2/TE
EYGRuhutw0u/yg+/v2oCC/jbtUZ86zevDjo4cDBqxB71SGO4YFU9hXz2anxRjstuWF3Bc+cfVsY6
d6GNXUurm24tdvWrp/pK23NqB1SxxgiwLdxo89Gf98uN3NR/LE7m+ycnbkZZCXjplIvYyKVVu8n0
XaG4q3Sje5+K1R5G+uG7/JnDWXM/HzDXfrB6qWJ5+t1NeXffB6k1o9qZqSU8osw8UthUc+UcMu/G
OZtH3G/eEzFdq4KOrY8zfmO70gcr9Ed/giWGgm9ukjT1kl6MVXcmu2E1eXQ2k6+GD0f90H+bttU6
P1obaSN9D580d9qkF7Icvn3wnPw8d/y70v5xI6x3z0k6aLneFjyaGLB8svBWsajqdql7N+zIocdK
vlrOXb76JCP9yP1qY12hZPf6dbQj4+U5+2ClfD2Y/eOu/Ot1N95dEltymA0VLCn1Wt+YG7IDJ3/x
l2N8UFZfwCX6xHrvqi1NvePkWvdrBD/com6T+rexJ4qEv4qD/+3Z/eZbecbv2/48q///eXQvlowf
LV4hEPhruC++xv/7v4Klcuzj9v9cPsdt9SttIz/+ZnjPZJxMKkeVCb8W2r4fw3vlD00HJorkWNbQ
vrH0/a1tNP5AkI3akX+wwR85/NTf2kb9DxvVI9FYCilNpkZj728lw9WfDwsiiP+27BKP8L8eKU4v
oFZt/kdX+X24Lt6dxRoViyKi8PASkpPQqodY/6jbAE79p88Qr5Gt4caG64hvxn6VcL59k3OllJ0q
o4QMU2tXRL3jT6qaNL6VT6dJAxIFQHpuN/jvkzVDIcxXSmcbtypY59KzIYGfrMZymM6FQX3qG8mu
3bzXzPpkmpI80Sjs6RTKlYJdrCXGvqxGmSlUlOfrBtzKZkIRvmlK4vhGjoob+ACQOsoRTZxZQQcb
zKvEKsKNCDf2+hIbciyFpN6HTcnIrMjHpbwtmiX6niPw9jWF7AtiISGLMcKcdZVs6oz/t1YqiMjr
SM9l7RZyNy4aeCH1dQdKqYlr3lIGoXQLo0etUg7RFHEKg6i6Sh14b0O9wR53HHuT4VInnftoeDBS
7a522tsGwitBlw+mQbawbdbliun0sW5gUOr1MYoSEjnCdEcWT4z23TyM9Oth5NArCUuinNDIy6gZ
FyaCWGyeqiSZ3SyzzJVc1hfmp8kWTsmxn9hMzHQGtAwOXieaemVnCoSvMmNS4KxnTGKrDpkWkkwy
M7tpMjZAB5dDPVeHIZA2U55uO3JKNzlh1l6sLS5HYpK44xNdQ/SVml7TR6w2y9Lsgia+iQgu3SSF
UXghDc1mQQoaAqEv2qlZNxFD0KY7RBooKGmWzS/zkMLzaOgeggvwp4pHFZ7tWkeiDzil8OCM76aq
Po10RlZKAlQjJdeC6S0xomFi3Br6XJJcqffbtmAQB54avl+gE8M0d6faHCT87s1uwCa/KTP5m272
X8kXsYkLNPOD5uTYC6PUiK+rws5xF+mx4ZLVyMxVkfZOmigbzONfUinaLSZOeMW67yJpk0WBubKJ
XApSILYalUVuXw8FqUYYq4l2XNPZcnNzTLe4ozb22KlerXHhjcLatvLwSRGpUBXTDAjyzxgfTqUM
QDhupj2C5KuFXzoo+KLIglp0BSig9KK2yjdJmnZY149aIG0d62EKnkt72Vv5YvtGEq4by7ivF+oX
YCMDNJa+szsMeylakvkqDBLF1dSUQ2XqPGWh+qRhX/WaUTk6ehHSJb7U0RalT+RGC+wzY6l9K5Lu
GMTd67TaphD9nhGFV/qAlRLQIQr7IT50qBVhSsFEHpSHSorubDu/lyoGAcXoC9aPak372pH20yTD
WExMMrCdTWZmoEGs1mOKhauv17sbfUwILp1EJ+8ZBgITIw2dtFNia1RB755zfUq3TGPUp3K0rcfW
LuPGneY5uM/F8H8KLObRU6ZARQwQJsRd5NV/ygXAjUXdTMqXynhnFLKCoTLic68veFWzV91B/6pB
CF/1CLWQJthCpLAIuUKEbkGCrrIeUDIEUUUAnhA3dLrT8jAzKxqE9IGBMQkMqnHTyTJzJCGQCAek
EgqaiaEERSBEFMlYEkkhhBUpCgsToQV33qt7IOaWEGHYkJlOgRBmTAukktQsP+shSTomCQC8cvhN
deNOFsKONpnTTYjWIxGij1moP7ryc48aJEEVYicq8zl0IsSSPWnoRhgf4mtJGKV338HdXjID0W/I
IGhFytqTmvR+hAYF5NWqfxWlKLXoTwtOclsAmsMq2aJhmecYKr61Tmr1a252E8wkCHHF8DQAizTE
kGGJ++e2IyMCfUydjr6KXkZBN2P0QLSEkIYD5u2UzccChU1X44CVxuRTGM27GA3OME2nAU1OKMQ5
cmbedKh1wBs8Tah3StI0bNQ8I6oeZSz3sbUM/qA7LBYof7gbBAekz4uQBDlog1AWA8QUcqEO3RAN
5GgdCSlRgrxFEeKiVsiMwsK6I/lv32kkprYokdgJIE4hTZLIhARo023LJPxkCPkSBsCtgZ6J5Qa2
4XTShNApj6yjjfKpQQGldMaTUw2AgEu3stMLmJItNsJVK6RTuZq+SLbkGWO87TNw/nUfvMiorXSl
9mIhv6JXvdfRY7VCmJXo7T5BqdUY5nOAcmuAUKZ3w22gWx4W8cWHNVKiSomuiDv5Hgj514wOTNYT
ZOEowxwUYjVKMTohEADRjg1CRGYLORmzfkCo6rFHZ2YG5UEWwjNVSNCKXFZQaSFLw+1O+11I1VI0
awX5s74k2xdZyNnGoq4PrZC4dULsBm31Syzkb7UQwo2VyfMixHEzXMGVJgRzk5DOqa8qunFWTzRu
g+9v6rO/yp63Bot/Hsb/nI1ThQB+IUnn58MEMGglz4tAOifJvZk+pM5n3fjgLP7RR7w7LMw8xWYK
W+Is16RrQSCrLlPyQRtD9EL+Va2JSkp8DVNILhUNEMG7r6ESbpOPThxeZIbutoUh5ThNd4iJfn+1
xOnu/ceAuVcxG8DYQXH689UKy2TWrHTg7I2Pt2au2Kq8h/V9r1+Ng7IyW8BNxp9Th/8cJTSu7u+P
EqcXYgz/qQAWP/j3IQKDlGwrYA8hHtqyLkQ2Pw4RKmm4UGANy9FQx7w9RFh/4N5UkecIj4kISPjX
IcISriqkTzxH/ysGKfQFNhJkC52y+t7Xyei8r3NzHi9yedWE+hqRxb/3RGKQ4hAC89EQxCcSsN41
uuDIplpvoXds9YSF/UGSL45x3epbJeCRhG6wfnMTfrFeoIH++R34xydy7d4eWlTIADGrVH9JKsZ+
9iu+fn5F2ZeCaj82pb0fOqNiaAvzvjV9MwHsXAcoY0jU6dgDBSMfFL+6MzWc3nNdMSlvCXvQ7Oho
lLCtbTV1q0YmQij97kzSY0Hbs1RUnWEzMKEkRN5WICNB/RvBSWAFJZIoDoHim5t2zmLfYBxF5F1c
boJ5QmVBuMzKaijMCiDB4JHiW2kk8LyPb2xAl46hlSsrHo5SHXCXkniVB2QR1SSp6jPCGFRbQYDO
P5C0bVkqVwOJMxiKd4UMwSJNwkNJ6lOvSfcN1GGiKZ6HRbuarGg7WEu7VsjtjjtgzZW9j2JjWkVm
Ofoc5tpNEM0nxvPLrdVhvcVti9f0tgTguzVxOSVKUW9rM5K66+XV9tTnzVReMtw8HcfJM9BuvLKo
cj3OfDX+dPtomsz+9fwIcGI3pSNBjQE6pfQ8L+YnoEfwlvFxrkC6+40af9EN+WsGc3o9GvppqvQ9
sVDekFbHLhjXfT/vZi2+kgn3KgL22Qk19Twde7shXmHJZTc0xkM7yJ/qXuXAAVQkL5Z7I0M3FORz
eo774qpIu01vj+d0SfdymVqrCU0qRxDI3vVkFysSI0nwmbN1m1j3dTeDnJDk0FfzilTlfuxA6qpg
2uN6PmZkz/utrR6yHNLheNEj+6btG2RCUdatoogpXpXvgyy+6gvpdhzIO4IWsCKKfm3HDhyA7qsV
4d5XzORaDce10+c9EzTFQzeGl2q+7vqS5Rz3nznqm7EZfFkPvI4tOVdkryzL26XQr/Kgrt1xgkvR
ZelwM83RjRkou4YUJoIbHvW0cBFoNXeoKnDtxM33Qht4mhx4wYg9F3xiuqxzRBq+yWN4KHrTq3Ul
cVnBdmqemK6mxRz0R9Jpw6soHk66kWxrI99MsrHO0HH0U3Bo25LaBtXt0hGDKZ3ZGj0VHgILxfUM
jQTcCvBLTQ98YF4PetOSFSflMMgBtRRGNm/T0ch2TQbqCjbiSpulfdoud/iMwaZlHUDJ8jYZIJ8n
7Gg9jC+3t9UXp09eEss+lXWGyDoZUxd+xIySbQSLFQz29nWZ+c+mJ3wov930RChQ9mvjCz/6Y9tT
/qBppoAfEF1PDps/bXu4TkD4aQauGFVYhv/unVkiRdEU9l/9NbOB8uXv3hmpQLz3KnYZnhPsTf9e
7+yfxhR6c5ByIAkaBBDp4o94u0lYSqhkWWOUF9VGm6wKbI4yCmYmWQOwwUIFqVrqZ1B2irxQK8BB
0VMOgYdjsW8D8Cgh81g43BNDuiwSQHM0zG6WWOUxEzgfXq2HGb6P7VREW7WCaid16wEGkNkElwRf
PURTgQYqE+t6CslUXjVLUsn4SEyZ1plBN0yZ5PPCSwY0RB82URCRmW2wKBVyF7mxgpA9aSoEmLOn
2CG43ZITtWyU294cc08K9PM0C9nkTNOLgCwUYFM3ecMg3w9K51nEx40qOqnO0dGYyRA9jcb4YvI9
3Srn99YOEYlwzF8xqJhqi+SLA5lwPQcl7grSkCAl0zYp9GCXVawMwJ3XZSHJGxl598EwpPEYxCRT
Ez6G/qZJ7uM65+iVkdLDFnaB7ecagv0+LhBSzP6OVhvy7rS+Fy3NqoZUBKXnqE9kyGl1IPClRe8V
ElK8UZdr1xGkwLTuT1WVVKSrl5mPcn9TNcbeKNSHPBnwvAkz8IgNdUEQamk1bYc0/jrA5g2L5byo
+eD2lq7BMG8esw4qUl/29OiqYx/ZCSptwngQZbjSAiK6TLEStyVHsKpLNC9TzV3SmddpMCNtG9vR
U5dwXeu57Y9S+aVWCZoE8UvoOEkOtbQhS+pIutOFsuSgaRxzGU8c6oFnJujbqzo2uxWxToor03BY
68LjQ9emTfpNXWsny4hwpjql5BIsVG5TBalhJW2aRMJ2WbanJSUE12homfS2eaOa6ommbbluZsay
eq6jP0wLYS1Y4lWmd/gzU9kiGY4+FqbgyZkif0iKU6gHz3M9zH4m2ZuQ1rJndPKDXtfPiVaj080S
b647E8FpeB3SWFImwWieAAg7XxtzhPE1tFzD1tyFNXRm+N3Hrm8vMRpQ6bosrWz5Nk9ZurVg5Dpp
9UDkRE2Ex3BoBXW4QAS9TzrnqUzlm85oyBma3aYmlncJfeoxWEvj3ukkv5HVQ5lF57gs91PSnosy
uxoKrCMoYwEcBv24MwPjO/28nkps1PRN3KMjJAdgWG5VczmFNZWNgsLfhys4rUbN5HP1DVzhzSjq
IVw95DpoV43x1Ip6Ke+d+4KdGg/CoVEbiq/OgHqrrcJqueoXFTQzkNzZ6K9Z7BC6dp6qGkj4Y+bS
AQWb1nZHW1RwKQ27kpLOUiwBEL1diNIE5U/VF4n6T206XpTcKjZOqFAAiTpRo2BEkx1ua1FDqqKa
LEVdKfU8OUUFW7oQVWdO+WlThlp68b2kLM1FfUrk88NSIKdWUhF2QA1riGpWFlFQMLo/4yqACEVK
VCziomZZvspFgFQvoqQID/imiXApmZSpXsRN5eZ0Q2IKPjOSqOj2+LUuP84kVJFY6iNRxi4hwqts
nRgreF2fChFsBU/Ur+wZnnBJl7+5ckjAkoGWLaKMMcjGSkRIVmym21LEZlnkZ9lwu/lkXC6OfqeI
iK3IIGxrQQIOv4wArlpSTxOvwZVFNhcF6XYSYV2FiO2yMhVTPSlTsYj0Msj24rvSJEpb3XXi+iUS
AWCdiAIzyQQDp/I9dL7ElXXTdtpNyjVhH1BcVYSJdaSKwWD1ZREzFojAMejJhN8uhJCNQ7KJarpG
sQgom0kqi/l1toguMwxiuMkyi2BQQTkh3kwXQWfcUCLP0I5PBXrFvIJ1I2LRervYOpMISqMds5vK
yQ0koCbaIWJ6hOLYeoa4Fu9YjlehyFwL9cmXovpWJYwNF3EDNN7s15NIanOIbMMVEwOt0TaNQZrb
UNeMxtH647q87Ql800Xym6TVm54oOCOtzjQss11FSFzYTTfyXK5xncz0fKxDSZychDcUf9nc+yNR
c6nTT6vWsq5pipEHKthy/6mnXhlRAj3wm3oKAFw8l/0/ewji594UU1BMhCcYDBTtAs7QP3oIGhnS
1DECcKIJDeGPYkqn8SAjvpdNRLam82ow/quYIuPKEYUXw0MYLJRn1r8ziATC/NOJW5ztiQSy0Mpw
GDf5U4Qm4c3AH28YTejGLK+mRrb8YtBH0md0Ruz6uMXLh/5ohjrcy6OMcseQD3KWK8XKjK10B365
fIzzoD0xg+QR07T6NulNfYtpuD2PaVB9rTrh5cyG+Bhl1kwwj0KvuuKMRSijIk1XbZN3lzrB8CHJ
JmZbPFNEyAdK5i1FUJxTIPOET0U37D7GJVSY/KhhNG4W28zvO3s2nrKBLMRRNfpT10YW6Q8FrCGr
l1JfMaAe4yvhAKe16jcMftmjIWfFNjSITyiqoH0ZoF+vI9mO11bjjBsrGZsDU8DqeiSwLoPBxzYT
Vt4Asw+yn1Tow5cSorl+UIpgmbGjlWmPN7HrpW966CTRGZ5cX0MuaYvmYkUVCPNQmaLbKHFoZmDA
AEnbsUKOZ5s8JqaBoU4gIwlCDE5gPgwY/zxDDbP4YEoFM5C4z+bPyaDWMDEhZGLQnJ7MMdNeAHUZ
JXNNs/BZR4z93JvzbTeWy4somSlN1VhG2k+ySxwS3BRUQ/iZJyl25WJZXoI2Wr6Z8fTYSLVfhPFe
slimc8Uc3NEAxidVI347W+nnTcr85IDhZz6m5QTOH0MV+ZV5yWwuHsMYZ0qnUW8OeUVNXH/SrZjI
Ske511JmVpVETzaSx2Fl2A2OoKQ1b21sRLtO6px7cKbmeXJq2cvV0pFZv43yLmhlFA1D5nyWrFHa
a1lnraopvyS2InlNN8C3l8jHXI9ZXXfeFMRkVkhlu5uroCBvzG5BPC/mc7golrc4VnI/BSkGlURP
Tmi2kieMwqU7LmJwki7l09JP0oGHFw6/VYwXmj/Bo73k432RNCRPlhPNnHiqrqKBUN4CT17mFbqO
raRtdfI8YHB163YyWo+u0Qg6jViKrTqo3xycbQRo7a1p1K5JLbUJ4ClN5VtVVotfiyO0U7UmtE6U
9/9Zi/9ci+nK/2YtLrOXX3H6dH7qzUrMIovVxsIMyECCE++PlVj9A8AU4kAOsBgrxT/9fay1/xD/
qQDnIRkhoIfD5t/HWrj2mmKh4NCwRFj/Js8BZcr7ldgCbI9hQ4a5YNLTFWOINyuxbudJo/fqfLG7
sLnikJffgN+1HstMV/fzmKZPs9JZvg2+6EQ1F1DRDBEBpMPyYDljdxvJZcaoX2H1cMpgbUldQzBJ
HTEzlc9ZFjmnQRCvDcG+1qaOnx9oentwtYSRjDRQyXb2kwoDuO1wz+LbS4mzkAsUA2PgyTPDsQaW
/nMeReGeTuKCjb1LPFWwuVtCetEKzA+OWruRWKGC3NqjrLBZJKXxUAjKd1OOWGwE+XvK5AutZeTl
cZq6jlkT3gYonLkItipH65BpJEuHjTRJvlWzMupgqphkLUsoImqeoikMODQPIFM5eJQMYKekSHfq
4oxMHC31KlTCRzmd93GvNb5eFdcGtMx1LHfSpjPDhXDsXttHkWytMw68Cua8HW1Ux5OjSN+kWaGv
B1UN8DAO9io2QtgLeUWPthyulybhXJO15HFLpLJLhsGRjLwRNXTOicbSO8xcHalnz4rHSvOA2cMX
A0jhzdZY7eqo3fdq8lxXFlT1jMAVmr3JGicmeX/10rnBwA2TRqXxMimV/cBUtokuAW5qQncyhk3e
pYHI76hehjJMTlOnfyNiiHQROWTuaBCbOoJJpnF8a2pUfBYginSaNuqQPaivGfS6Q5A9IcqXoVau
StV+kMPWwh1KrUoDYGIVXlk1tlVCW4hETcEMDHp4alujcq0iP7Sa8s0wyt5vzfF2IFeZKdWQuqlc
cJTJ5YsVOtsiLzeDZhyTyTlVo7yJFLq4SxaSrhiYV3PAISKML/kSdyuzy31Hx6C7GPPJIPKmSqV7
mk/s/5MOoRng4NIHz7nafNZGJrJOZH+ZLNAixnxfcwAiIqVCeFe1GNgKAA/nOuXI4TJh67/othhJ
awZChaCcjs7Ink+kc5weFbOmsOnnrNxXTqB5FmF3x9BU491/FuM/F2Oae79bjAmhePlFWcxP/ViM
iRfX8aax4hmW/tpI/LEYayy5GtxBweR7jS57sxjbAHcofTF1U8kIdfebxdhi4RTIQApamTr2nR7v
t/o8mxX/7TCWQRTQH/R54AGR0cHY+XkxpukCXkNO5AuzbR4gQzxLmniqmqRfDzpVkJwH6RaaXcEw
xXkIuiFaBQ1RHcyHPnd5dmsxM6aPpHp918m0wOLPUDF27VAfIZqDzCBsklhrZAnm0KFTV55Hawo3
rTq2h7yud/VAUbLEF62TdjlrN6k4K6VpaZgH8N2HmTwCq7W3RcyRjrLRIgS1G83SLaXlihSpQHAQ
bsDakTRmSWSlFgSgSQqvinQnRbSbgiFBfB3HyE3MQ5Y8ZvH8PIZkDSVGctM22PaaunURZB1yuSYi
naSJuSzVk1zpl4iuz0pW9MPCJG4o+oPdBl8rZzzEALHU2Uyv9Ymgo7AIEId1OMZV6Qno35oRi/JC
ZrmIK7G9pW0eYlX+GlrMulkra5ej/f1kSV97Y+CLEKSRpvZpzsJorfAdAjk9xUv10iYgIYYgjdfw
8/H0qzWyOCMgtxwJWoPKib3xwnT0GS0MnRtLPU52ven0lCAv5AirwVZ8uw3RYRiXVKXNaozLth8V
jE6L85CYjt+PxonYlY3c2aDi7eQaBQaRtcV0tNvlOKI7W49B9RhHhuZSnSc0XNOHuuV8k6bdo7GM
B6JjGkQ6+ffSbk6qooXHKCUmPdIjDJMm8JUeU3CnbtuA2Vxbh3dq1uzk/2LvvHrbWNZ0/VcW5r6N
zuFiBhhmBSrLkn3ToCW6c879689TCmvZEu29fSjg8ACbczEzy3aTLFbVl96Q0wSwrdo57swmnyM1
+5h61rXnDktcZfs5PZ7jIVOf5oHbXs9PRvJ/M6zv+G+rNKNfoLc2XSYVrI0f1hdpFcanTp/cmKeZ
EsUTx8KaivM0w0TWn1lN9T1RilVolUuTqDNFx9Bb8BfXSlPM8wyBEDlqW9jN1bXSlsvQiL7og0KH
i0s5t40T5mrOtM4gS6dpgmSkj455FS30GsIKwXk++IiiAKywp9FYrnMnRgoiEeTMQVuqXnYSGTrC
+IzNIhISPeqOQx9iqV8C/HZYe909qUcDFpIdWMND42XlnQ9/CNlcB5ylmaXWlZojtuUBiEmkSzl3
iivI60m8VPpgUWvyAmwgfsaq+z3y+q1rODL6D/E0lQvr2Er7z5VZfqsj6rU8yy6JW0vJjy4V+iog
5YypBgYv79Hv1awWfxu5XNhwd1Et0PlygCwtSwLcGK5gKOtz36VsdmJrnIZtlUzzIJnVmANq5rDp
TRCGff/VdsmynOGWHxoITygdDYF0mhb+0o+ko5SusRkpUy+MUdVxVyGSV5GNV27PrHjQx2Mtr++U
ogT0BuhWhWTdJtQUWkBtExQ0xiIVCJe17BjDJnnCD/K5LsPl0DcLRqTTFml0hDfxDEotdFCqmR84
90kIQ7wqfUB3DsaLRQBAODHxIYvobJEx4qX8UDGulBGQH3oLW0ISJJzd1rDbj7qSsi9RccVVu47f
FuEnCXnRqnxoyvYcE/tZFeo3cuABLRvK0zEC+6ob6VyPOIUy6MkCQ+EFfirXRuNuka1hd7YUhggY
Tyu0ZRTP6qdSwQxaSy5cmU6zD/AuDAx7YgeYJuvNurPSk16CR5JEOG57NpIRuDub9qohFSkHeelY
zUVgtneymh+5tN9QsbbmURhz//WphK5EdqWhRTINxvJclz1cn8OVMFvLg/bMNcebAqYfAliXrtoc
l0UL2o/BaO8Ms3FUF6ZZzjVJOcLluZ1VePxyC2sLx6hPKLEXNq2CqQNsr8jlb5AzETxSm68aHodT
ehXaESitC0UY7XnepTLap449tCj+SMHCHLtj2YwwoUEiH2mlcJ5IgTBjNBr8kfsLLZYWUTxcqI79
HdddsGH5rDKpQktbWgQBqtedVJ8PdX5RW/ZtH6AvlRi4J/aJ4cz7UI3vI2zLUR9rv4dVAyRa/hw3
KfOQ7NR3GD2DPruiMT5TmS8bHio5jZKf+T1EjHC8jRQVpGwbfeYGnlepcVlKLjpqsvNFMsu7vuhP
UI3NJ1WTWFO0t6e14p+omNz5Pc0bZtJ6LSY1+nDkFg5ptOIWyOxj0xt9xnK4i2bIyCkLaay7qd3b
81gOjlSDDDPvknHWZ/6j3mrNbGizHt0iZeOM47lSgvwjXfBmHuIGPXM4rBWL7xb6/Ghxw2gKLK5L
cBozPwvuslC9yBL1ilF6N2kzHTmR6sFAFB2IBB3s4bwy+6NR5f4qkXpioJ3e9oP0Oe+zmzigK9yl
2iyPGZDYoG7aCA8IpGuY3ZPnx03YXJZ1GMyNGHk2XRhSmMzPMDhScCf7F1wq9WdIGl07BJtBHakm
bAVadxYNxx9rxaoAtjQ4mnOuXCeTe2PRXhRTGv1TZ3NzVa1BYc6zab0KTo0lSnCrbOEfG/hVrv3l
fxLc5wSXXuxvEtx6kwZVvGmqHUku//LvJFf+JOSz4RGr5ovG/99JrsK4HA1JnfGR8Ayg7fpPx0G2
kBJyHCzu+IHFH70mueDHyJrNJzgi6ozmn1kXCWjbD0kuu4hBOtN822a3UOrLfPQfdxG4Vy0q+zg7
b8jZxnWo5kZ4puhyqM5rUtgLYktbTyEXnBl5ccFk9UGn+zov1eSmVZgu4zl0WqjlF/Azx3GVXgVJ
MKslFdR/6K5tw1hzcqJpanVLT2s9ZHOjU9qBd2OYbvG/7SdZq1bdFDj1peGNCyUBf+Uj2dMAgJ6p
OvCRuA7XdFfRrrPRH9PaVPmGuPIEtxgvxgGdTO4I1+QyOAY+X3vLCIP4cSJjg8ekL9dw2wZsTaAS
sl9WYCXLwnKOzRgxsxvNrRkvuUkXNjPHoad7WoZB9SXs3HTWtFqiLtqmDUeSovDEqlITZyfHqDoa
xQYmb09eswTTFqDmkwdtQo/fYy7bf2tMYUIfp3eWMK3FGHBpP9nY4mebu5k7szosbkMbs1v6H2v6
K8VUBZo9IfebF6OLSAAeuZnb3qp45krleFTjodtayTRtuyP0CWctHrt9ZyBCa4JMwH23jNWroQo2
uZSdIFUsTbK6WSPMQvcZ515bZGGlo1y1jXRk4u0L4OrMFvh/rUSKv1vhEEO+mayg+Zx6DkJfeAQ3
WflNxjPYwQZVxUM4clpSD2vlKt65iVnRpIjz6xjXYSsNZnEuLzujuiprG1W07ijEpTgh3sOj2jh2
hQAcNsbYjaqIC39P8cvR8TnW8DvuMnyPczxzmYO7QXXhRPWXEn9kq7FnOX7JqGGdjVlybgMXQOrq
LAV5WPXq3dhl61YNJzpGOfyW0zzsFg5+zKGL4xL+zKNmLCi6jqlklmDCvqpGuLDxc861+puXIS4o
fnrPcm5waZwGibK0cYJGLKieNHhDN6rPsDw8K031EoufaT1KtwZe0nEofmGUp6AsHVXI6ECenzi4
Tzs4N7ZpfEcZc5vJPpY10sLNjVNIaAsV92o5bGO8NZTTDl/rlg8xdXC6jnC8dnG+ti1AFT62yThi
02s+6XDIzirMZCCxbEtLRSWmvyqFmbbrtcYlALBlYHYYbbv6ejDU5LyMEUEiB0KVPFAzHBXExGZi
9MW5zBi/U9hSjaMfxWLCX4hZf87Qf2D4LwMC0BONDNK77AU6oM/xR4amNEOl6GsdDmw/kAR57i6p
5oaFpLlfxzJedwJ1YCfNTQQMQZM0qh6BTEBtCxrQE1pB4BYkH4HXvJVSbHqVtavrV7pAOYAgrCeh
QD7QPb8IgUJUOtZnAhuRkwkzA7XCBcnhugZAAcxgapAay9RLc3YHv5ZKh9ARsAvwjdMUIIYqEBn+
UIHdw3THRUUWyIYCdCMxi7NcYDm6InmAJsaPMUqA2cB7hAL5EQABMWL7KBOYEFhnADgFTsQViBEp
bKaZwJCovgESAVgJQpPgS0hfGFbc1wJ5MggMipSMZw2glB5wiilQKpINqCCH7tQLp880bK9MIC2w
6Y4lIrAtNfECl/J8KgfdGvTVMGkFIgauE8rzAiWjCrxMF6DRFTbDaSawNKYWnEdRcduaDVbbfn/j
mQb7HR3dFCBOC6PBFcgcdHKhjQDWIZFOmZmD39EFkmcUmB7fIKf8T+x/iv0GAffXsf+mAUC3fR/3
xb96jfvY/kB3gFxKQ0oB4fvDpAFRafDBUFKNJ8PCH2a+mvmJ5hXtf1k0n8B1E41f4z68VIYSNMsA
oqOsA87vD5pb9LDexH2cEpkpy3wGJss0y95kj9z0ckGTtjkbY4BnFAlfGV8hlBAxbZNbyIdlDC3I
DaZD5q6DEh9CQ+mqaZm2F4gzH1mOCzueQSU1WzGrpODEb8L1YDEgoPdwLcvRYyuTgEtZiyybBIjT
7dR1Ngrykmx606TKz9NehjJEt6jS753CI5L5jr5wRf3lSOMi1iUJIqOP0QEm3JYn4WiQh5+B0H3N
h+y29SFFZnWFiKJpfi6L+ijt07vake7cFDolPBDArus28k/rLPhaZXaC/4x1UWrGQ0yJOU/4YuBR
A3MJwQZlgexLMiDRCUtn5LFDNC3iDlZOdzuoKE55dbfQdRCxaqghYtUFMaaE9mPhYwqG4MhpVcc3
XTpCA8efzojsqyxwHoFWXYBRwu2hQLlY9sJ67nYMfvOWyUT64NbZF7dArz5LH2hp0taLSm/epB00
RCu58HJcZP0KfVTva6zCe8tjG5E/ky5Ol2cPneKsIwlftmQA7pxzB6KfmjgL8jW0lRXrtK6YWegu
+mJ00oO8XAzgwuWyO/YcZ+VBh8OG7Xugh1ucDW40GKS4298n3oj7uJhO8yM5cmlMuo4WjyqHBbDK
wrw0kUnznf47oTCbkVoBjXPlaVPSScR7/E73jCu9xrrSDqIb3VO/N6rZ0ucQ/9xomgXeRvcJbYIq
o0gk8SVIQ591mzpcosv4Bfh9tMBY44xLV8a+3IoRj2QcITP/MMdoIVvIVTKsXRa1T9UZQfZrcn41
sD5o9RomVvCBNingXJrYZi7dKj8J3KQ4FgKms5I7XzT6riwUIruUBKHQC8o31+ZJACjluqesGysE
9Bp2nMH0eWqPbOKh4jdM1Nybd+V4DVGZd01tuqbtwpWb69HWjoMOlJalxmDOC5dKNAaNBM3zgRbQ
vY3/6cQy82+ykpVARt1p2fUg1+QAHH6JuZ7kr+RUCmeSBb5bljOUEuWlIuP8ANnZWZFADhOttbdJ
WJzafdZO8irM58g0H5neMMzUpk3nXtLfZoUBxh6IG7sxIWbU36rGIc6UCp2XEbhbQifqRE8j9DeZ
eHpHser42iyKujvVRpp4XkqVH3xmGdz6XK0tYOxmYGgL003k9MZCQzGbQSUcNWwdY6FfaSfWheT6
AROdAr6bVvTeF/Rv51XMFprovu6e5UgRg7Qk++volxP/fMvxrv1CFtRfo7+Ei30MkjDAydhiYDRp
7JhC3zar4qixZIi8RQBJbcpgNk5m1aAB842BI5p9sZRDTb2POlkO1jGy6dwzsa/MetN6kD1MIykq
hhLxis7NnBEusG4U8yBQLe9Grq24+qK6rYe6lDaS7BVyYrpfYRr7+lpW6SVOYqdv8v+Ey2e/BYPR
yO/CZRY3SborYPLv/g6YjvDkVRi/qwr9FsGm+rtQxmqBCGpa1MrErR8Dpv1JF3MiWVFNEWRVwthr
wLQ+oUAHB4s4Zz7Bpf4kYJpPiok/UPNEQJZlSnhFBXWF4pyYFv0wmldag22RJcn5aPjHQAxotGek
eJylMQ0zbBxNfRK68VrP42hhaHhHNsoyyOtzn6IrBX3rdOplCvO80ZTjrso3UaN/QbNtGqX1uh8V
Ci99NfpmSWDJhqlveV/gGl2ilBnNzSTZMO9CQMlHXN6N2Zkj5+AkGYBMxhFBwk7q9C7T/JOmyezT
lI6p7Yt2v0DVjAxOSif6ZkrGQnOVCx+WT16S1OZOeI9CqjnJUvPcNgpSzwYSDTKkwXljZo9mloVU
EX49HX3LnAZtpBwZg31a16j1usmNNvRbOtPrSndEh/Omoy+HBLy3zMwGKynuiaw1z43MOo5rlAMc
37jVoEzi4ve1881F1XKRlkzeJ51jX+hOSf4O9L6LzsIuXFD9udMGTu40tGKJuZd05whgezbmM9kI
T/1y7CdjPiATEBH7jRjvTawfYEs7yUIKna89MdRom1O9sbOzvLgE2L5ImBgNFp7sBhMerb8aFNq5
IYwsjWaipoDLj6X7VnfvAOUtzAZte6fFa5a751swNLeMxxnnj9D3lT48G1qWDivkS7l3aUdGZvK5
0I/MocLrqbaZxYO7bs882V64jIqYzJvddGjaa38I5/zfwSKg5z2ri/Rzw8dwgTZMowBlWwzil0Yg
szY2Ss3yANCc3yEMJW442Y5n2WAjQzRoV4GNIF/nPuJZxRzRNG/0zLySVEubSrV56iQkOI2BnLSf
F2C1Sv9KYkRmgJaGBcdIri/CG8y+Hmw5mKVuAjY0egzT8rPnkIFhe9JNPb7UKneVDhsxoiQjdG9K
w2qh6YBwA4sBYxagfxY0AK2SlTFGjGwQkVK1eI6g/4AGZ7OlB5TPdJNZIMH7PsuSucOARXjf+qRY
VTD1MpLGtFfgFFUlur5Uw0gID0xDFCdfg5NFNyG6cvPGntKWKidZwAwT0LMNLy1tJnEJTxoa1qmC
FBsU+fvAtE5hM16lLUr5VuAkU0kZx2WSYnabuiV9giFlZ2rq1zwtru2WH97ovNlAd0Fu3Ee3lZSZ
1hpXTm5fNZ276jQAt4rrHllkfBODTY8aCErzI538UmHQoHpRRYOaLCws0PeXxmEDI6SaQp7y4JTw
r2upPK5bxI0j3JgHmjGKqFShGy8DaAzzIbqio6UwQUI7ZNxI0bCpW/PG69ubKAZn3NsXuI7AiPLo
dHQqnHA81D4Dy0sBOltzf6wX/tCaGEUUZIIiX2J6ikawNGz4XYdjvTLQZgEkgfmnNlMlfav21TqW
pXUv1+k8sId0DrZnQ/W+GvLamGYm+HTZQjkYSJs1GUqIFWrRXScWcuRFVStLF7CLgFjwedo4nXUN
O5D//l2NSZUGQ9iw6IGFlol0VTTytkrYErqZBMeZZd3mZXFWxYDZ8U/Y5jmIEdzFq7A3J5hW63MS
YIYrSrjAeLo8dRUgKSluKXhr2idFypeOUnZTU6df9CTOFpnEHewFNqbqbalDa/FWLr7mq0wZNoUJ
R9PhatSjYFEgXUHxrK/H2j+vYi0hxQMsMwTadRcmHfjs7KKo5CUQrJscBxH0L64Vr1Cn2YhZtZxZ
Gw+MTm76tBr1YNYFsjkx5OYWI2hl6oZBMY9DdE9Kg00dVe6X1hy/lHVxhRqqt/JiaQW2vZknXHDo
BTTXuY3hexnx+yIYPrM13CY6S3jvJeU3oIdcFfk0851zLrqlV/jwB/TqZnC7z5Fa35WFzcAhau50
Z5RXitopM1lW/ROyV0aVtm9MB58cMPOAX8aKdlRW4XVqassxp3vlRsqXLuplxpUhjocOqjoO00Mt
R2msVD+35mVXHY/ufRec6L52mZK82yhthFJyGyBCYyppvcSf+0zNwdnksVKt5NDcKlz0c6V3LtrA
5GjrzDAlA20EyxyDeYwvwiRAsjpzutMqj2lpqSsLr1hKz2E+Dso1uMkTH4sf4KrNnVUP+KEU9XFR
n4keZ21AhfWYmEGYpduYOcFSLUqIjWVwpwzjEi5YeJpKXP+jVK6dwZIWMHGihVb34WRUNA3mpc2v
5QonPO/YcGzMwUwb/JqSefgXDI2mrvQ+2+LA5q+7tAYADXXEsO7CLOmWJTMkiAjFOJwpvoyebMXv
bMF6XXl2TVLpTjPur2O3HpnGaCWmEqM0rlx6ukeYTZ8x7rXtTaMPw3Lse5X72C7mBI8QOC/KyYay
put+xG10bFJwR7YODwUB+JlU6trnwMq5IVo0v/VKWvmFfqbrlbdKfXmrDfIWJso3Qo4Q8e9XgyzN
EhtFB2BjWs1nBKqVzaI+fuiDCFU9z19SyTGJdBmZp555j0pEuwRSGM47MGcFLGn4BiNjUkmgEMwT
T7R2v9XysaK7V5FrrSQJycagpLjOexdvukSZRrF8y/ITxZV4C8fjuFU9a5HT4i4rcxnaVQVzxUoX
lPuUUqWcM0pnkKsU3X1a9+jExNcGuh1mbNwmTkElEYIJG6OjTjcXeHpc0OHH3ohRulLnmMvrD1yu
FzVQrmnsswUCs7hSpHLBBacsOx1Ql6NAK/Lp+lkjmAgTDKETJueWA500cv1mHjjRMC/7mv3ADGHm
m6M/KU3s4fsY6ycTy5ogUzdjpYLH7oCEB8i8KLZ5RpJ7X5b5Kc4I1jRLpLmCsD5C6l8ILYu2U6+Y
EJ9wcldMbeQJnYvbHKYMNF36pQqhNlJOA7c+cePszsiVewiKxIjUuqvUfp1R/UyxPZRoltC+dQzv
M+2IFJf5+GgMjku9XPeet8g7NZo1gX3pGzkxWjJvm7xdj70/wf7uW6wbSLsgQ1Vpw2nb280KOGY9
T3tznSh2OjUTLkIJXIURQAw29FWUqaedPJ40pabBt6aLasLkDrskudCYuM+82kZ4uyvVWeszVWlF
NYk2OHCZJMUMBc8pbIrKVaWr2ayUw29WRw5j982FlcNjcco2W3pOVZ0mBYz6QusAGVk2l5ILwBLt
Kudp9KI+jWFowzKSMWvpGF5BsjT97Mh5GtzET0Oc8Wmg85/u5XP38rc46S/Ntx3APONnlLSMbip9
FLqNT1zdf0oxharKlLGcoeoSw8t/ZpYOf+KA5hMj6ZdJ52spZn9C605TsNAjottUT39SiiHS96Z3
yXsAwzZFpxRBdNDcP5dicV3WMnQr+bwOs3vXSY2lGWnSiYoB1oSmbA7Ut4NHm+rOWR9h3pXB1kKt
Xj8uMyNlgt9jRa07xmlZjs1EtyO47p25bLvmOrb7fF2OElMLWSeJf1BQEABs04FLhtk2mt2R49oL
7mR5Brt92Qhr1tQZkqnV6bddWq70wE9vCs9rpl6eP2CDDWcwvy0VPYccqAUT0yse4sGJZlmlp1wS
3arP+x4FqcxPL5EkXCqhrl9Imnnimp0zrzvZnSadhK45QnMIyHFBuvXGarwHN7FRcRpSLLuHvDiy
Uwcr3Uy6gvsWXziY80H6YwCAiwrInMGyZm5AuuZJI9wQd6AK1FF8c7THKjC5ThgI1gHXnx/dB6p2
U2dOPpNCdZtHRo9Lr3db0mQKAEk3puTDWFRWADge6fOmuG74WE/1l6kMwwJVqyT1TsLRuVHC3EKq
DABeqco3uUXgGfkRaj+vp7HrplO1NjZDU2ECaFX3cGPAIuEyMSno40ESvrBjXcHDLrgMnFaZSAmu
OcfDgKIUw5PvcpkDkhHDv+CkHTLvSAurq8YEStcblE5jmVRTy4wnoUnxaOXxzBoBbKJPAdgrdVTI
gA5e8tHKzspkHqSVfe6o+bCM0QaZEJmPEMdwIOCVW7VoSZRGy7uUGtQkxsB4cIA7nxWD+j0Gg2wS
OwBfQxl0zghICJKn+Oq4EfpxOBNEi5Te1LEXZec+1etUju1zGMb11DSpzL0hwxaQQVKl0IIu1TPI
IYgwMM6a1IFO1dFA1lYM3Dz6FvCh0nw1c/9zFMFqLht8dVSf7oMKl7vyWNyYPsQEdOJnKwAn6mbf
Ei5aJlP6sZ5Kl4qdf6d9MMcGcdmgjjFNI7OcynWpHZlxcZSbyXFfG5iSaOeDEp3TqO0RWARMJmfh
ndy5t0YiVas6cvD8k6zbsvYwLlPUUzdXMT2yKZWLIgknjSxfJUN9LHfBsojCqyDw5mYTf+nk8hus
gwxxCgV3j6o9s8uomcE8pqKT07Vhs7iGLh23MZxfUxbsdWeIZqAfT+VCebCxHZxV9XCXayqENAWF
+Eo0GOoR3zA8uiJ3lBnBymdd3H3zWeu5qeXuNDWDgolEfq+l+doBsmTa2SKEDYY9lftQy+jglcwk
pLgrUNbIMmDzDaZfUTEdHBzl0sF4rAUStFDB6tvhaeGW6jTIE+DuqoqFUvXVDosTIKW3SjR+VjCg
4/MhuKcbE6dz1qVgjPKBZ97YdrgjRTht0PptRvmqcrSvQ+3k5xDAYiRkpP6Ywk86It8sZylsuTYq
rnVoZX4eXdlmasDrZ4IJmtKtjlyLp4ylb6wSYjC+k80s1EgVkkS9DGUSFxumH63zCnpCZkVT9NBp
GdhxCz3WOge6RWuoQ2ISUQIMlTzQCKoMQNmQH+wRvZD/X+LsixzITp/Zv7Hg4k+f7OFvsndmtP/W
X3qdw+1+0B8Z1yqIIf3USH36YE/Wub99TrzBYrd5RCGXEaKmikapznTx6fVff8UZDL7nP5YUpo+A
kRxFVZ4B/D+s0a9W4fdf8Gpb0fn//d/59Yf/cYoK7Qh40h9/f77gP1/f+qQaOpcnpNqnF23ad19f
sbDFQTPkZXl4w//HiyDmxm8sjOW3E+g/3wmMmRUYvdB7n78pw+SflkJVPsGfIH8S2sMHuQgMuf98
O7BwP+0HDbicI8btT68di/CEfaMjeKCLIETd/vhM/LwItiDawHi0uV5+3gLyJ+4KleV5Pi6HuhGE
/s9+awBnXhQzuq5SLfy8Bvon1KfZIHCGnl4HuQ/EGd53DTTrExBPvieF2tOLCPDzUqifVEKHJfCm
B3khKM+H9Flk/e94+0fxEUd38DMWY8TnACFOyo/xEcFHYDYKpLPnKvoAQ8PbaeufhwZbzFpVpqNA
jcTr3SIwcbVRnyBLPNCdILz69rsRNOeTQ58Ce9iXTODdaUBmA6IhhPGDDQ37L4L9CeURmii/ShJI
F+GkWzAWn1PTwzsO78AHf34cBFZPjPX1XySNqgDxI/XKeOxAj4O8f+HgoPjHiWcr/OJOEII0Npy3
g82UBDBkzzvB+KTaKoNl4fIhXiREP0cHLkYkfcmZn6Px4R0Hef8QiagFkFAEiTA4EK93ObMqOCiQ
tpXnBT/ARXgOW3vkCbryyTJoMKtiJcTrXXTQOS+6Rq50qMmSwBzveRw0LkYZJj5b/un19jiAcsaC
k66+MD0/yIxRfu5y7LETNPsTytcmecLzRhB5+Ns7gYPCYEOIffM61CJK2/tQUEBYXIwINrwcindL
gYiOKoPfe9FeP8CbYf8YAUgfMKKBMfXLhnizH0TKhLOTYb9UK4e3CMbeN4Mop+kzGggEPy/Cu+uR
MorWE2YJh3ochIzTntcjHTYh5O+87ykQIZk0WtoLkeTwtoD2HLX2uxehIDskAlBJxOvdFoDf6oj/
oQd5yPeisvdp0FRM41TboLHw9E0FePmnEKEYn1DS5sqgC3fIS/GSy+yzK8gIZNMxgUA+74p3yaMM
6xkoAEjvg14KZf8DguY5KnOqbL004N9GS0W0YRzTJJweaPak7p89UVaiZIdCwUtZ+fZoMIWQqbfo
Pxxqq0nZv99mkCY/TWJeEmlunJ/vB7qSFBpgbZ4X/PDihdDZ2jNaCq4GTgIM33ZfknReLWQQdBBC
B3ocBNJov0Ugb9LptQlL0l8sAg0GoW4GtupAF0FYAO23CJQR8CdIjrCKeHq9az9zJwiLCXQ4D3QR
Xobn+wRK/RPy50iKvg7q3wZKooNYAnTuns/LoebRwld3z/1AHg2mkMHUc0rwLn2i/8ofIoNtPweR
Q12Kl37YPrvC/MRghrLBegmXbyMFSwELjStSWJ6w7IcXKV5K/30WwSJFFOBOFNGfXlyFP4VLIoWq
IljjvAAEDm8RXn6d/RYBs2kKbMC2T6+39wOLAOOROCH6swe5E1565Pssgi0st0Vv7WUysyt7FHoI
CHE8vw51Kfaf1D0dCu4FuLFPr7c3A20nx9QtbAdf6vEDXQr9I/ouZMoq8+uXDty7owFKHdkN5nmH
WlO8QK72ORrwpUVdaSFIvnM/qBoDCgsxc9GYOcj7wdj7UJBO01LBlvV1J7wtsUWk0HQFlNvzqTnU
zOFlsLzHfmBgxfha6Lm8dGTZ+j8HTfkTRh/U2S/17OEFTcHe3zOTND+htQc9RP5VjcnNQIkJQeVQ
p3bq/uk0hQN4jb87cO8as0QK0icC60sL/AB3wt6FNlM7lVaDTox4vh7fZQ7cDNTZCCAe6k4QEhR7
HgfQPRbdR77l28uA8bZFaQny8UCDg9C+2vPb460kUkdMl55zw7dpAtNrpDdlePaHugj63hFS08VE
VlQJv55Wmg50ECZ1B51BC8v1PfcD/XiDtJDy+vmbvksWCKGyKoMSPtS08QV6tV+awPSaS+8VA/xu
EVR4nAyr6DIc6M2g7R8hgXwDZYOT+tKAfBscuBnAA8qUnoe6BvvHhqduO0I34qL9KVHkyyumZrM6
L+fkQNdA/4gJHT0WZBBfc+a3S0H5AGsCyMvBFpLa/nMZ0K+0mXSVOPH0ensYmNCpDoQyxzns7us7
0c4/BwJDntPQEuP3fl6KHT0WVPXRyn4BHR9e5qzvHSapqQF7cwFovyIH4NuDtCnypAcbJj+kfKCB
hBXbS4R4uxPEzaA7zCMONlcwPiJMiqmLhundLxJoCkns9GRTyMaTnB3ecRCyFntmjaLPpgDdoVx+
eu0YVhqQhWyOzL+/CP/GSv3NPZ76Qfz4RE0OttUT1+mZcvsv/8IrJ/f9A36gmz6Rbn/6mzdDvn1+
9jMpVfz//7N5TIJ0FlR1GTzU6tMv/cOfvv7yT+/08u9fvuL7N//pzV6/1+t/XAXbclM+IETwRIh9
+aBnmwRu8//G/K/HzVuyrKjuXv+beO///q+fP+wPO+D3T8+DXSKVQn7kn6/6f/vwZPOYla8POnr8
7/96Vs4UlefeD5+gZL99fc4Pz2an7v3s6SbetPwk1euzfng++33/56MNWr37SUk0uL0+4OFpXW7+
mmZVvestyKH3fovZNv7rLCt3rj93z97Pn8d/zbKSzfP6rB/Wn9Rv7+cvym21yzVV3Oh7P3wZb9P0
9Tk/fPCPOK6rJvmWxY/1+8cLsvDeH/0oybdlsIlfH/XPpxdw0f0fnw47flGBOdz70Sfbcseai6b/
/o8OUm/HRSBUK/Z+9ukm2nGHCQj9Bzy6qra71uQjDuhpVv31v6m3jbe7VuYjjuh688gF/LoOP2zE
jzii600Z7Fqajzii4tlIQO746OpHHNH1Nn3MHoJdt5cYr+69bdbb8mH7+Pqgf9ZdgKT3f3jGZ399
zg/P/ohjus52rslHnFIeXW/L7bDjk3/EST3b5Lt2y0ec07Ntu3mfO2Lq/RFH9LzccAXsWJSPOKIX
8eZhuyN3FPCavffhBaqVu5I7wa/f++FXAaljFTzuWBlBTtz7+debh5KSIK13xFJBcPmAN0j/mmzx
Z9j1Bh9xVK834g3KdFM+7rzIRK/7Q77FLNh6u77ER5xa8SUWnICHoHrY9R4fcXzFexxnm6LZFa1E
E/RDVum0Caq/zr8FVb7re3zEYRbfY72pt7ue/xHnmefXm78mm/LbZlfOIAaKH7FSvMcUE6Qdl7WA
ZH7UO5TN+Pqwf0KkaPvv/wb+ZmdNKNqn+z+cHsbOpfmQwxxUUTBkzevn/GFhPuQsZ/FmV/Yg2pz7
LwyJyS9d4Z/6PXv0b67/lSPn3m8g2iw74rAANO69NDdbf7NraQRGbv+Hk+MH9Y6kTRCB93/67+zQ
9l30m+a35jH7Pv4z377ZdVZF93zvlfmSxTvueYHr2f/Rv1Zx/v2a7GrL/t25f9+sfVV33PXPfu5F
i7/xEG835f/8HwAAAP//</cx:binary>
              </cx:geoCache>
            </cx:geography>
          </cx:layoutPr>
          <cx:valueColors>
            <cx:minColor>
              <a:schemeClr val="accent5">
                <a:lumMod val="20000"/>
                <a:lumOff val="80000"/>
              </a:schemeClr>
            </cx:minColor>
            <cx:maxColor>
              <a:schemeClr val="accent5">
                <a:lumMod val="75000"/>
              </a:schemeClr>
            </cx:maxColor>
          </cx:valueColors>
        </cx:series>
      </cx:plotAreaRegion>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4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5.xml"/><Relationship Id="rId3" Type="http://schemas.openxmlformats.org/officeDocument/2006/relationships/chart" Target="../charts/chart2.xml"/><Relationship Id="rId7" Type="http://schemas.microsoft.com/office/2014/relationships/chartEx" Target="../charts/chartEx2.xml"/><Relationship Id="rId2" Type="http://schemas.openxmlformats.org/officeDocument/2006/relationships/image" Target="../media/image1.emf"/><Relationship Id="rId1" Type="http://schemas.openxmlformats.org/officeDocument/2006/relationships/chart" Target="../charts/chart1.xml"/><Relationship Id="rId6" Type="http://schemas.microsoft.com/office/2014/relationships/chartEx" Target="../charts/chartEx1.xml"/><Relationship Id="rId11" Type="http://schemas.microsoft.com/office/2007/relationships/hdphoto" Target="../media/hdphoto1.wdp"/><Relationship Id="rId5" Type="http://schemas.openxmlformats.org/officeDocument/2006/relationships/chart" Target="../charts/chart4.xml"/><Relationship Id="rId10" Type="http://schemas.openxmlformats.org/officeDocument/2006/relationships/image" Target="../media/image2.png"/><Relationship Id="rId4" Type="http://schemas.openxmlformats.org/officeDocument/2006/relationships/chart" Target="../charts/chart3.xml"/><Relationship Id="rId9" Type="http://schemas.openxmlformats.org/officeDocument/2006/relationships/chart" Target="../charts/chart6.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3</xdr:col>
      <xdr:colOff>18517</xdr:colOff>
      <xdr:row>0</xdr:row>
      <xdr:rowOff>100516</xdr:rowOff>
    </xdr:from>
    <xdr:to>
      <xdr:col>26</xdr:col>
      <xdr:colOff>14883</xdr:colOff>
      <xdr:row>45</xdr:row>
      <xdr:rowOff>25018</xdr:rowOff>
    </xdr:to>
    <xdr:sp macro="" textlink="">
      <xdr:nvSpPr>
        <xdr:cNvPr id="4" name="Rectangle 3">
          <a:extLst>
            <a:ext uri="{FF2B5EF4-FFF2-40B4-BE49-F238E27FC236}">
              <a16:creationId xmlns:a16="http://schemas.microsoft.com/office/drawing/2014/main" id="{191CEA9F-917B-4F60-9C82-4187E2D86457}"/>
            </a:ext>
          </a:extLst>
        </xdr:cNvPr>
        <xdr:cNvSpPr/>
      </xdr:nvSpPr>
      <xdr:spPr>
        <a:xfrm>
          <a:off x="2310470" y="100516"/>
          <a:ext cx="15742382" cy="7961221"/>
        </a:xfrm>
        <a:prstGeom prst="rect">
          <a:avLst/>
        </a:prstGeom>
        <a:solidFill>
          <a:schemeClr val="tx2">
            <a:lumMod val="25000"/>
            <a:lumOff val="75000"/>
          </a:schemeClr>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0</xdr:colOff>
      <xdr:row>0</xdr:row>
      <xdr:rowOff>89297</xdr:rowOff>
    </xdr:from>
    <xdr:to>
      <xdr:col>3</xdr:col>
      <xdr:colOff>136464</xdr:colOff>
      <xdr:row>45</xdr:row>
      <xdr:rowOff>44777</xdr:rowOff>
    </xdr:to>
    <xdr:sp macro="" textlink="">
      <xdr:nvSpPr>
        <xdr:cNvPr id="3" name="Rectangle 2">
          <a:extLst>
            <a:ext uri="{FF2B5EF4-FFF2-40B4-BE49-F238E27FC236}">
              <a16:creationId xmlns:a16="http://schemas.microsoft.com/office/drawing/2014/main" id="{DAB86E15-0AF8-4CAA-BDF8-B5162B0B94AB}"/>
            </a:ext>
          </a:extLst>
        </xdr:cNvPr>
        <xdr:cNvSpPr/>
      </xdr:nvSpPr>
      <xdr:spPr>
        <a:xfrm>
          <a:off x="0" y="89297"/>
          <a:ext cx="2428417" cy="7992199"/>
        </a:xfrm>
        <a:prstGeom prst="rect">
          <a:avLst/>
        </a:prstGeom>
        <a:solidFill>
          <a:schemeClr val="tx1">
            <a:lumMod val="75000"/>
            <a:lumOff val="25000"/>
          </a:schemeClr>
        </a:solidFill>
        <a:ln>
          <a:noFill/>
        </a:ln>
        <a:effectLst>
          <a:outerShdw blurRad="50800" dist="63500" algn="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42130</xdr:colOff>
      <xdr:row>6</xdr:row>
      <xdr:rowOff>19226</xdr:rowOff>
    </xdr:from>
    <xdr:to>
      <xdr:col>1</xdr:col>
      <xdr:colOff>1256568</xdr:colOff>
      <xdr:row>8</xdr:row>
      <xdr:rowOff>126382</xdr:rowOff>
    </xdr:to>
    <xdr:sp macro="" textlink="Pivot!G4">
      <xdr:nvSpPr>
        <xdr:cNvPr id="5" name="TextBox 4">
          <a:extLst>
            <a:ext uri="{FF2B5EF4-FFF2-40B4-BE49-F238E27FC236}">
              <a16:creationId xmlns:a16="http://schemas.microsoft.com/office/drawing/2014/main" id="{2A977643-DEDF-4FB9-A36C-ADF19A77854F}"/>
            </a:ext>
          </a:extLst>
        </xdr:cNvPr>
        <xdr:cNvSpPr txBox="1"/>
      </xdr:nvSpPr>
      <xdr:spPr>
        <a:xfrm>
          <a:off x="42130" y="1074303"/>
          <a:ext cx="1360976" cy="458848"/>
        </a:xfrm>
        <a:prstGeom prst="rect">
          <a:avLst/>
        </a:prstGeom>
        <a:noFill/>
        <a:ln w="9525" cmpd="sng">
          <a:solidFill>
            <a:schemeClr val="lt1">
              <a:shade val="50000"/>
              <a:alpha val="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AB4733FD-D2DC-4088-B5B7-FC929F55DB84}" type="TxLink">
            <a:rPr lang="en-US" sz="1800" b="1" i="0" u="none" strike="noStrike">
              <a:ln>
                <a:noFill/>
              </a:ln>
              <a:gradFill flip="none" rotWithShape="1">
                <a:gsLst>
                  <a:gs pos="0">
                    <a:schemeClr val="bg1">
                      <a:lumMod val="85000"/>
                    </a:schemeClr>
                  </a:gs>
                  <a:gs pos="100000">
                    <a:schemeClr val="accent1">
                      <a:lumMod val="45000"/>
                      <a:lumOff val="55000"/>
                    </a:schemeClr>
                  </a:gs>
                  <a:gs pos="100000">
                    <a:schemeClr val="tx1">
                      <a:lumMod val="75000"/>
                      <a:lumOff val="25000"/>
                    </a:schemeClr>
                  </a:gs>
                  <a:gs pos="100000">
                    <a:schemeClr val="accent1">
                      <a:lumMod val="45000"/>
                      <a:lumOff val="55000"/>
                    </a:schemeClr>
                  </a:gs>
                </a:gsLst>
                <a:lin ang="16200000" scaled="1"/>
                <a:tileRect/>
              </a:gradFill>
              <a:effectLst>
                <a:outerShdw blurRad="63500" dist="38100" dir="8100000" algn="tr" rotWithShape="0">
                  <a:prstClr val="black">
                    <a:alpha val="40000"/>
                  </a:prstClr>
                </a:outerShdw>
              </a:effectLst>
              <a:latin typeface="Arial Black" panose="020B0A04020102020204" pitchFamily="34" charset="0"/>
              <a:ea typeface="+mn-ea"/>
              <a:cs typeface="+mn-cs"/>
            </a:rPr>
            <a:pPr marL="0" indent="0"/>
            <a:t>2,400</a:t>
          </a:fld>
          <a:endParaRPr lang="en-US" sz="1800" b="1" i="0" u="none" strike="noStrike">
            <a:ln>
              <a:noFill/>
            </a:ln>
            <a:gradFill flip="none" rotWithShape="1">
              <a:gsLst>
                <a:gs pos="0">
                  <a:schemeClr val="bg1">
                    <a:lumMod val="85000"/>
                  </a:schemeClr>
                </a:gs>
                <a:gs pos="100000">
                  <a:schemeClr val="accent1">
                    <a:lumMod val="45000"/>
                    <a:lumOff val="55000"/>
                  </a:schemeClr>
                </a:gs>
                <a:gs pos="100000">
                  <a:schemeClr val="tx1">
                    <a:lumMod val="75000"/>
                    <a:lumOff val="25000"/>
                  </a:schemeClr>
                </a:gs>
                <a:gs pos="100000">
                  <a:schemeClr val="accent1">
                    <a:lumMod val="45000"/>
                    <a:lumOff val="55000"/>
                  </a:schemeClr>
                </a:gs>
              </a:gsLst>
              <a:lin ang="16200000" scaled="1"/>
              <a:tileRect/>
            </a:gradFill>
            <a:effectLst>
              <a:outerShdw blurRad="63500" dist="38100" dir="8100000" algn="tr" rotWithShape="0">
                <a:prstClr val="black">
                  <a:alpha val="40000"/>
                </a:prstClr>
              </a:outerShdw>
            </a:effectLst>
            <a:latin typeface="Arial Black" panose="020B0A04020102020204" pitchFamily="34" charset="0"/>
            <a:ea typeface="+mn-ea"/>
            <a:cs typeface="+mn-cs"/>
          </a:endParaRPr>
        </a:p>
      </xdr:txBody>
    </xdr:sp>
    <xdr:clientData/>
  </xdr:twoCellAnchor>
  <xdr:twoCellAnchor>
    <xdr:from>
      <xdr:col>0</xdr:col>
      <xdr:colOff>42130</xdr:colOff>
      <xdr:row>10</xdr:row>
      <xdr:rowOff>7306</xdr:rowOff>
    </xdr:from>
    <xdr:to>
      <xdr:col>1</xdr:col>
      <xdr:colOff>1256568</xdr:colOff>
      <xdr:row>12</xdr:row>
      <xdr:rowOff>113418</xdr:rowOff>
    </xdr:to>
    <xdr:sp macro="" textlink="Pivot!H4">
      <xdr:nvSpPr>
        <xdr:cNvPr id="6" name="TextBox 5">
          <a:extLst>
            <a:ext uri="{FF2B5EF4-FFF2-40B4-BE49-F238E27FC236}">
              <a16:creationId xmlns:a16="http://schemas.microsoft.com/office/drawing/2014/main" id="{47D05FDB-D32F-49DB-9B42-C996444CE33D}"/>
            </a:ext>
          </a:extLst>
        </xdr:cNvPr>
        <xdr:cNvSpPr txBox="1"/>
      </xdr:nvSpPr>
      <xdr:spPr>
        <a:xfrm>
          <a:off x="42130" y="1793244"/>
          <a:ext cx="1363266" cy="463299"/>
        </a:xfrm>
        <a:prstGeom prst="rect">
          <a:avLst/>
        </a:prstGeom>
        <a:noFill/>
        <a:ln w="9525" cmpd="sng">
          <a:solidFill>
            <a:schemeClr val="lt1">
              <a:shade val="50000"/>
              <a:alpha val="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D383D45B-96DE-4F73-B9A9-5D4BA02C0481}" type="TxLink">
            <a:rPr lang="en-US" sz="1800" b="1" i="0" u="none" strike="noStrike">
              <a:ln>
                <a:noFill/>
              </a:ln>
              <a:gradFill flip="none" rotWithShape="1">
                <a:gsLst>
                  <a:gs pos="0">
                    <a:schemeClr val="bg1">
                      <a:lumMod val="85000"/>
                    </a:schemeClr>
                  </a:gs>
                  <a:gs pos="100000">
                    <a:schemeClr val="accent1">
                      <a:lumMod val="45000"/>
                      <a:lumOff val="55000"/>
                    </a:schemeClr>
                  </a:gs>
                  <a:gs pos="100000">
                    <a:schemeClr val="tx1">
                      <a:lumMod val="75000"/>
                      <a:lumOff val="25000"/>
                    </a:schemeClr>
                  </a:gs>
                  <a:gs pos="100000">
                    <a:schemeClr val="accent1">
                      <a:lumMod val="45000"/>
                      <a:lumOff val="55000"/>
                    </a:schemeClr>
                  </a:gs>
                </a:gsLst>
                <a:lin ang="16200000" scaled="1"/>
                <a:tileRect/>
              </a:gradFill>
              <a:effectLst>
                <a:outerShdw blurRad="63500" dist="38100" dir="8100000" algn="tr" rotWithShape="0">
                  <a:prstClr val="black">
                    <a:alpha val="40000"/>
                  </a:prstClr>
                </a:outerShdw>
              </a:effectLst>
              <a:latin typeface="Arial Black" panose="020B0A04020102020204" pitchFamily="34" charset="0"/>
              <a:ea typeface="+mn-ea"/>
              <a:cs typeface="+mn-cs"/>
            </a:rPr>
            <a:pPr marL="0" indent="0"/>
            <a:t>11,997</a:t>
          </a:fld>
          <a:endParaRPr lang="en-US" sz="1800" b="1" i="0" u="none" strike="noStrike">
            <a:ln>
              <a:noFill/>
            </a:ln>
            <a:gradFill flip="none" rotWithShape="1">
              <a:gsLst>
                <a:gs pos="0">
                  <a:schemeClr val="bg1">
                    <a:lumMod val="85000"/>
                  </a:schemeClr>
                </a:gs>
                <a:gs pos="100000">
                  <a:schemeClr val="accent1">
                    <a:lumMod val="45000"/>
                    <a:lumOff val="55000"/>
                  </a:schemeClr>
                </a:gs>
                <a:gs pos="100000">
                  <a:schemeClr val="tx1">
                    <a:lumMod val="75000"/>
                    <a:lumOff val="25000"/>
                  </a:schemeClr>
                </a:gs>
                <a:gs pos="100000">
                  <a:schemeClr val="accent1">
                    <a:lumMod val="45000"/>
                    <a:lumOff val="55000"/>
                  </a:schemeClr>
                </a:gs>
              </a:gsLst>
              <a:lin ang="16200000" scaled="1"/>
              <a:tileRect/>
            </a:gradFill>
            <a:effectLst>
              <a:outerShdw blurRad="63500" dist="38100" dir="8100000" algn="tr" rotWithShape="0">
                <a:prstClr val="black">
                  <a:alpha val="40000"/>
                </a:prstClr>
              </a:outerShdw>
            </a:effectLst>
            <a:latin typeface="Arial Black" panose="020B0A04020102020204" pitchFamily="34" charset="0"/>
            <a:ea typeface="+mn-ea"/>
            <a:cs typeface="+mn-cs"/>
          </a:endParaRPr>
        </a:p>
      </xdr:txBody>
    </xdr:sp>
    <xdr:clientData/>
  </xdr:twoCellAnchor>
  <xdr:twoCellAnchor>
    <xdr:from>
      <xdr:col>0</xdr:col>
      <xdr:colOff>42129</xdr:colOff>
      <xdr:row>14</xdr:row>
      <xdr:rowOff>40921</xdr:rowOff>
    </xdr:from>
    <xdr:to>
      <xdr:col>1</xdr:col>
      <xdr:colOff>1450730</xdr:colOff>
      <xdr:row>16</xdr:row>
      <xdr:rowOff>146376</xdr:rowOff>
    </xdr:to>
    <xdr:sp macro="" textlink="Pivot!I4">
      <xdr:nvSpPr>
        <xdr:cNvPr id="7" name="TextBox 6">
          <a:extLst>
            <a:ext uri="{FF2B5EF4-FFF2-40B4-BE49-F238E27FC236}">
              <a16:creationId xmlns:a16="http://schemas.microsoft.com/office/drawing/2014/main" id="{C908C3F8-7D42-4444-AF76-4272D50B8245}"/>
            </a:ext>
          </a:extLst>
        </xdr:cNvPr>
        <xdr:cNvSpPr txBox="1"/>
      </xdr:nvSpPr>
      <xdr:spPr>
        <a:xfrm>
          <a:off x="42129" y="2502767"/>
          <a:ext cx="1555139" cy="457147"/>
        </a:xfrm>
        <a:prstGeom prst="rect">
          <a:avLst/>
        </a:prstGeom>
        <a:solidFill>
          <a:schemeClr val="tx1">
            <a:lumMod val="75000"/>
            <a:lumOff val="25000"/>
          </a:schemeClr>
        </a:solidFill>
        <a:ln w="9525" cmpd="sng">
          <a:solidFill>
            <a:schemeClr val="bg2">
              <a:lumMod val="60000"/>
              <a:lumOff val="40000"/>
              <a:alpha val="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EC89DE97-2FDB-414C-8F64-F565AEA534D6}" type="TxLink">
            <a:rPr lang="en-US" sz="1800" b="1" i="0" u="none" strike="noStrike">
              <a:ln>
                <a:noFill/>
              </a:ln>
              <a:gradFill>
                <a:gsLst>
                  <a:gs pos="0">
                    <a:schemeClr val="bg2"/>
                  </a:gs>
                  <a:gs pos="100000">
                    <a:schemeClr val="accent1">
                      <a:lumMod val="45000"/>
                      <a:lumOff val="55000"/>
                    </a:schemeClr>
                  </a:gs>
                  <a:gs pos="56000">
                    <a:schemeClr val="bg2"/>
                  </a:gs>
                </a:gsLst>
                <a:lin ang="16200000" scaled="1"/>
              </a:gradFill>
              <a:effectLst>
                <a:outerShdw blurRad="63500" dist="38100" dir="8100000" algn="tr" rotWithShape="0">
                  <a:prstClr val="black">
                    <a:alpha val="40000"/>
                  </a:prstClr>
                </a:outerShdw>
              </a:effectLst>
              <a:latin typeface="Arial Black" panose="020B0A04020102020204" pitchFamily="34" charset="0"/>
              <a:ea typeface="+mn-ea"/>
              <a:cs typeface="+mn-cs"/>
            </a:rPr>
            <a:pPr marL="0" indent="0"/>
            <a:t>$ 649.0 K</a:t>
          </a:fld>
          <a:endParaRPr lang="en-US" sz="1800" b="1" i="0" u="none" strike="noStrike">
            <a:ln>
              <a:noFill/>
            </a:ln>
            <a:gradFill>
              <a:gsLst>
                <a:gs pos="0">
                  <a:schemeClr val="bg2"/>
                </a:gs>
                <a:gs pos="100000">
                  <a:schemeClr val="accent1">
                    <a:lumMod val="45000"/>
                    <a:lumOff val="55000"/>
                  </a:schemeClr>
                </a:gs>
                <a:gs pos="56000">
                  <a:schemeClr val="bg2"/>
                </a:gs>
              </a:gsLst>
              <a:lin ang="16200000" scaled="1"/>
            </a:gradFill>
            <a:effectLst>
              <a:outerShdw blurRad="63500" dist="38100" dir="8100000" algn="tr" rotWithShape="0">
                <a:prstClr val="black">
                  <a:alpha val="40000"/>
                </a:prstClr>
              </a:outerShdw>
            </a:effectLst>
            <a:latin typeface="Arial Black" panose="020B0A04020102020204" pitchFamily="34" charset="0"/>
            <a:ea typeface="+mn-ea"/>
            <a:cs typeface="+mn-cs"/>
          </a:endParaRPr>
        </a:p>
      </xdr:txBody>
    </xdr:sp>
    <xdr:clientData/>
  </xdr:twoCellAnchor>
  <xdr:twoCellAnchor>
    <xdr:from>
      <xdr:col>0</xdr:col>
      <xdr:colOff>42130</xdr:colOff>
      <xdr:row>18</xdr:row>
      <xdr:rowOff>39862</xdr:rowOff>
    </xdr:from>
    <xdr:to>
      <xdr:col>1</xdr:col>
      <xdr:colOff>1256568</xdr:colOff>
      <xdr:row>20</xdr:row>
      <xdr:rowOff>145318</xdr:rowOff>
    </xdr:to>
    <xdr:sp macro="" textlink="Pivot!J4">
      <xdr:nvSpPr>
        <xdr:cNvPr id="8" name="TextBox 7">
          <a:extLst>
            <a:ext uri="{FF2B5EF4-FFF2-40B4-BE49-F238E27FC236}">
              <a16:creationId xmlns:a16="http://schemas.microsoft.com/office/drawing/2014/main" id="{AC079EAB-9EFE-4D75-9DCE-4CA5A20B915D}"/>
            </a:ext>
          </a:extLst>
        </xdr:cNvPr>
        <xdr:cNvSpPr txBox="1"/>
      </xdr:nvSpPr>
      <xdr:spPr>
        <a:xfrm>
          <a:off x="42130" y="3205093"/>
          <a:ext cx="1360976" cy="457148"/>
        </a:xfrm>
        <a:prstGeom prst="rect">
          <a:avLst/>
        </a:prstGeom>
        <a:noFill/>
        <a:ln w="9525" cmpd="sng">
          <a:solidFill>
            <a:schemeClr val="lt1">
              <a:shade val="50000"/>
              <a:alpha val="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7382D6D5-E16B-40E7-99D1-8B29198FA2C7}" type="TxLink">
            <a:rPr lang="en-US" sz="1800" b="1" i="0" u="none" strike="noStrike">
              <a:ln>
                <a:noFill/>
              </a:ln>
              <a:gradFill flip="none" rotWithShape="1">
                <a:gsLst>
                  <a:gs pos="0">
                    <a:schemeClr val="bg1">
                      <a:lumMod val="85000"/>
                    </a:schemeClr>
                  </a:gs>
                  <a:gs pos="100000">
                    <a:schemeClr val="accent1">
                      <a:lumMod val="45000"/>
                      <a:lumOff val="55000"/>
                    </a:schemeClr>
                  </a:gs>
                  <a:gs pos="100000">
                    <a:schemeClr val="tx1">
                      <a:lumMod val="75000"/>
                      <a:lumOff val="25000"/>
                    </a:schemeClr>
                  </a:gs>
                  <a:gs pos="100000">
                    <a:schemeClr val="accent1">
                      <a:lumMod val="45000"/>
                      <a:lumOff val="55000"/>
                    </a:schemeClr>
                  </a:gs>
                </a:gsLst>
                <a:lin ang="16200000" scaled="1"/>
                <a:tileRect/>
              </a:gradFill>
              <a:effectLst>
                <a:outerShdw blurRad="63500" dist="38100" dir="8100000" algn="tr" rotWithShape="0">
                  <a:prstClr val="black">
                    <a:alpha val="40000"/>
                  </a:prstClr>
                </a:outerShdw>
              </a:effectLst>
              <a:latin typeface="Arial Black" panose="020B0A04020102020204" pitchFamily="34" charset="0"/>
              <a:ea typeface="+mn-ea"/>
              <a:cs typeface="+mn-cs"/>
            </a:rPr>
            <a:pPr marL="0" indent="0"/>
            <a:t>4.0</a:t>
          </a:fld>
          <a:endParaRPr lang="en-US" sz="1800" b="1" i="0" u="none" strike="noStrike">
            <a:ln>
              <a:noFill/>
            </a:ln>
            <a:gradFill flip="none" rotWithShape="1">
              <a:gsLst>
                <a:gs pos="0">
                  <a:schemeClr val="bg1">
                    <a:lumMod val="85000"/>
                  </a:schemeClr>
                </a:gs>
                <a:gs pos="100000">
                  <a:schemeClr val="accent1">
                    <a:lumMod val="45000"/>
                    <a:lumOff val="55000"/>
                  </a:schemeClr>
                </a:gs>
                <a:gs pos="100000">
                  <a:schemeClr val="tx1">
                    <a:lumMod val="75000"/>
                    <a:lumOff val="25000"/>
                  </a:schemeClr>
                </a:gs>
                <a:gs pos="100000">
                  <a:schemeClr val="accent1">
                    <a:lumMod val="45000"/>
                    <a:lumOff val="55000"/>
                  </a:schemeClr>
                </a:gs>
              </a:gsLst>
              <a:lin ang="16200000" scaled="1"/>
              <a:tileRect/>
            </a:gradFill>
            <a:effectLst>
              <a:outerShdw blurRad="63500" dist="38100" dir="8100000" algn="tr" rotWithShape="0">
                <a:prstClr val="black">
                  <a:alpha val="40000"/>
                </a:prstClr>
              </a:outerShdw>
            </a:effectLst>
            <a:latin typeface="Arial Black" panose="020B0A04020102020204" pitchFamily="34" charset="0"/>
            <a:ea typeface="+mn-ea"/>
            <a:cs typeface="+mn-cs"/>
          </a:endParaRPr>
        </a:p>
      </xdr:txBody>
    </xdr:sp>
    <xdr:clientData/>
  </xdr:twoCellAnchor>
  <xdr:twoCellAnchor>
    <xdr:from>
      <xdr:col>0</xdr:col>
      <xdr:colOff>42130</xdr:colOff>
      <xdr:row>22</xdr:row>
      <xdr:rowOff>26899</xdr:rowOff>
    </xdr:from>
    <xdr:to>
      <xdr:col>1</xdr:col>
      <xdr:colOff>1256568</xdr:colOff>
      <xdr:row>24</xdr:row>
      <xdr:rowOff>134056</xdr:rowOff>
    </xdr:to>
    <xdr:sp macro="" textlink="Pivot!K4">
      <xdr:nvSpPr>
        <xdr:cNvPr id="9" name="TextBox 8">
          <a:extLst>
            <a:ext uri="{FF2B5EF4-FFF2-40B4-BE49-F238E27FC236}">
              <a16:creationId xmlns:a16="http://schemas.microsoft.com/office/drawing/2014/main" id="{70B7B78B-9584-4DF1-951B-10BA81EA28A3}"/>
            </a:ext>
          </a:extLst>
        </xdr:cNvPr>
        <xdr:cNvSpPr txBox="1"/>
      </xdr:nvSpPr>
      <xdr:spPr>
        <a:xfrm>
          <a:off x="42130" y="3895514"/>
          <a:ext cx="1360976" cy="458850"/>
        </a:xfrm>
        <a:prstGeom prst="rect">
          <a:avLst/>
        </a:prstGeom>
        <a:noFill/>
        <a:ln w="9525" cmpd="sng">
          <a:solidFill>
            <a:schemeClr val="lt1">
              <a:shade val="50000"/>
              <a:alpha val="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C5B1AD07-3C31-4772-97AD-95BBA93E6697}" type="TxLink">
            <a:rPr lang="en-US" sz="1800" b="1" i="0" u="none" strike="noStrike">
              <a:ln>
                <a:noFill/>
              </a:ln>
              <a:gradFill flip="none" rotWithShape="1">
                <a:gsLst>
                  <a:gs pos="0">
                    <a:schemeClr val="bg1">
                      <a:lumMod val="85000"/>
                    </a:schemeClr>
                  </a:gs>
                  <a:gs pos="100000">
                    <a:schemeClr val="accent1">
                      <a:lumMod val="45000"/>
                      <a:lumOff val="55000"/>
                    </a:schemeClr>
                  </a:gs>
                  <a:gs pos="100000">
                    <a:schemeClr val="tx1">
                      <a:lumMod val="75000"/>
                      <a:lumOff val="25000"/>
                    </a:schemeClr>
                  </a:gs>
                  <a:gs pos="100000">
                    <a:schemeClr val="accent1">
                      <a:lumMod val="45000"/>
                      <a:lumOff val="55000"/>
                    </a:schemeClr>
                  </a:gs>
                </a:gsLst>
                <a:lin ang="16200000" scaled="1"/>
                <a:tileRect/>
              </a:gradFill>
              <a:effectLst>
                <a:outerShdw blurRad="63500" dist="38100" dir="8100000" algn="tr" rotWithShape="0">
                  <a:prstClr val="black">
                    <a:alpha val="40000"/>
                  </a:prstClr>
                </a:outerShdw>
              </a:effectLst>
              <a:latin typeface="Arial Black" panose="020B0A04020102020204" pitchFamily="34" charset="0"/>
              <a:ea typeface="+mn-ea"/>
              <a:cs typeface="+mn-cs"/>
            </a:rPr>
            <a:pPr marL="0" indent="0"/>
            <a:t>2.3</a:t>
          </a:fld>
          <a:endParaRPr lang="en-US" sz="1800" b="1" i="0" u="none" strike="noStrike">
            <a:ln>
              <a:noFill/>
            </a:ln>
            <a:gradFill flip="none" rotWithShape="1">
              <a:gsLst>
                <a:gs pos="0">
                  <a:schemeClr val="bg1">
                    <a:lumMod val="85000"/>
                  </a:schemeClr>
                </a:gs>
                <a:gs pos="100000">
                  <a:schemeClr val="accent1">
                    <a:lumMod val="45000"/>
                    <a:lumOff val="55000"/>
                  </a:schemeClr>
                </a:gs>
                <a:gs pos="100000">
                  <a:schemeClr val="tx1">
                    <a:lumMod val="75000"/>
                    <a:lumOff val="25000"/>
                  </a:schemeClr>
                </a:gs>
                <a:gs pos="100000">
                  <a:schemeClr val="accent1">
                    <a:lumMod val="45000"/>
                    <a:lumOff val="55000"/>
                  </a:schemeClr>
                </a:gs>
              </a:gsLst>
              <a:lin ang="16200000" scaled="1"/>
              <a:tileRect/>
            </a:gradFill>
            <a:effectLst>
              <a:outerShdw blurRad="63500" dist="38100" dir="8100000" algn="tr" rotWithShape="0">
                <a:prstClr val="black">
                  <a:alpha val="40000"/>
                </a:prstClr>
              </a:outerShdw>
            </a:effectLst>
            <a:latin typeface="Arial Black" panose="020B0A04020102020204" pitchFamily="34" charset="0"/>
            <a:ea typeface="+mn-ea"/>
            <a:cs typeface="+mn-cs"/>
          </a:endParaRPr>
        </a:p>
      </xdr:txBody>
    </xdr:sp>
    <xdr:clientData/>
  </xdr:twoCellAnchor>
  <xdr:twoCellAnchor>
    <xdr:from>
      <xdr:col>0</xdr:col>
      <xdr:colOff>42130</xdr:colOff>
      <xdr:row>4</xdr:row>
      <xdr:rowOff>79288</xdr:rowOff>
    </xdr:from>
    <xdr:to>
      <xdr:col>1</xdr:col>
      <xdr:colOff>1185130</xdr:colOff>
      <xdr:row>6</xdr:row>
      <xdr:rowOff>43568</xdr:rowOff>
    </xdr:to>
    <xdr:sp macro="" textlink="">
      <xdr:nvSpPr>
        <xdr:cNvPr id="10" name="TextBox 9">
          <a:extLst>
            <a:ext uri="{FF2B5EF4-FFF2-40B4-BE49-F238E27FC236}">
              <a16:creationId xmlns:a16="http://schemas.microsoft.com/office/drawing/2014/main" id="{5AFD8CDB-4E76-48F3-A8B3-76F0A2550DA2}"/>
            </a:ext>
          </a:extLst>
        </xdr:cNvPr>
        <xdr:cNvSpPr txBox="1"/>
      </xdr:nvSpPr>
      <xdr:spPr>
        <a:xfrm>
          <a:off x="42130" y="782673"/>
          <a:ext cx="1289538" cy="3159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solidFill>
                <a:schemeClr val="bg1"/>
              </a:solidFill>
              <a:latin typeface="+mn-lt"/>
              <a:ea typeface="+mn-ea"/>
              <a:cs typeface="+mn-cs"/>
            </a:rPr>
            <a:t>🛒 </a:t>
          </a:r>
          <a:r>
            <a:rPr lang="en-US" sz="1600">
              <a:solidFill>
                <a:schemeClr val="bg1"/>
              </a:solidFill>
              <a:latin typeface="+mn-lt"/>
              <a:ea typeface="+mn-ea"/>
              <a:cs typeface="+mn-cs"/>
            </a:rPr>
            <a:t>Orders</a:t>
          </a:r>
          <a:endParaRPr lang="en-US" sz="1400">
            <a:solidFill>
              <a:schemeClr val="bg1"/>
            </a:solidFill>
            <a:latin typeface="+mn-lt"/>
            <a:ea typeface="+mn-ea"/>
            <a:cs typeface="+mn-cs"/>
          </a:endParaRPr>
        </a:p>
        <a:p>
          <a:endParaRPr lang="en-US" sz="1100"/>
        </a:p>
      </xdr:txBody>
    </xdr:sp>
    <xdr:clientData/>
  </xdr:twoCellAnchor>
  <xdr:twoCellAnchor>
    <xdr:from>
      <xdr:col>0</xdr:col>
      <xdr:colOff>42130</xdr:colOff>
      <xdr:row>8</xdr:row>
      <xdr:rowOff>78228</xdr:rowOff>
    </xdr:from>
    <xdr:to>
      <xdr:col>1</xdr:col>
      <xdr:colOff>1185130</xdr:colOff>
      <xdr:row>10</xdr:row>
      <xdr:rowOff>42508</xdr:rowOff>
    </xdr:to>
    <xdr:sp macro="" textlink="">
      <xdr:nvSpPr>
        <xdr:cNvPr id="17" name="TextBox 16">
          <a:extLst>
            <a:ext uri="{FF2B5EF4-FFF2-40B4-BE49-F238E27FC236}">
              <a16:creationId xmlns:a16="http://schemas.microsoft.com/office/drawing/2014/main" id="{07F03A7A-1CF2-4B72-B1B4-4B0C01B8BBD9}"/>
            </a:ext>
          </a:extLst>
        </xdr:cNvPr>
        <xdr:cNvSpPr txBox="1"/>
      </xdr:nvSpPr>
      <xdr:spPr>
        <a:xfrm>
          <a:off x="42130" y="1484997"/>
          <a:ext cx="1289538" cy="3159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solidFill>
                <a:schemeClr val="bg1"/>
              </a:solidFill>
            </a:rPr>
            <a:t>🥼 </a:t>
          </a:r>
          <a:r>
            <a:rPr lang="en-US" sz="1600">
              <a:solidFill>
                <a:schemeClr val="bg1"/>
              </a:solidFill>
            </a:rPr>
            <a:t>Quantity</a:t>
          </a:r>
          <a:endParaRPr lang="en-US" sz="1400">
            <a:solidFill>
              <a:schemeClr val="bg1"/>
            </a:solidFill>
          </a:endParaRPr>
        </a:p>
        <a:p>
          <a:endParaRPr lang="en-US" sz="1100"/>
        </a:p>
      </xdr:txBody>
    </xdr:sp>
    <xdr:clientData/>
  </xdr:twoCellAnchor>
  <xdr:twoCellAnchor>
    <xdr:from>
      <xdr:col>0</xdr:col>
      <xdr:colOff>42130</xdr:colOff>
      <xdr:row>12</xdr:row>
      <xdr:rowOff>41451</xdr:rowOff>
    </xdr:from>
    <xdr:to>
      <xdr:col>1</xdr:col>
      <xdr:colOff>1185130</xdr:colOff>
      <xdr:row>14</xdr:row>
      <xdr:rowOff>6778</xdr:rowOff>
    </xdr:to>
    <xdr:sp macro="" textlink="">
      <xdr:nvSpPr>
        <xdr:cNvPr id="18" name="TextBox 17">
          <a:extLst>
            <a:ext uri="{FF2B5EF4-FFF2-40B4-BE49-F238E27FC236}">
              <a16:creationId xmlns:a16="http://schemas.microsoft.com/office/drawing/2014/main" id="{D8D6DF1B-0B6A-4FD1-966B-64A1986C9341}"/>
            </a:ext>
          </a:extLst>
        </xdr:cNvPr>
        <xdr:cNvSpPr txBox="1"/>
      </xdr:nvSpPr>
      <xdr:spPr>
        <a:xfrm>
          <a:off x="42130" y="2151605"/>
          <a:ext cx="1289538" cy="317019"/>
        </a:xfrm>
        <a:prstGeom prst="rect">
          <a:avLst/>
        </a:prstGeom>
        <a:solidFill>
          <a:schemeClr val="tx1">
            <a:lumMod val="75000"/>
            <a:lumOff val="25000"/>
          </a:schemeClr>
        </a:solidFill>
        <a:ln w="9525" cmpd="sng">
          <a:solidFill>
            <a:schemeClr val="bg2">
              <a:lumMod val="60000"/>
              <a:lumOff val="40000"/>
              <a:alpha val="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1400" b="1" i="0" u="none" strike="noStrike">
              <a:ln>
                <a:noFill/>
              </a:ln>
              <a:solidFill>
                <a:srgbClr val="FF0000"/>
              </a:solidFill>
              <a:effectLst>
                <a:outerShdw blurRad="63500" dist="38100" dir="8100000" algn="tr" rotWithShape="0">
                  <a:prstClr val="black">
                    <a:alpha val="40000"/>
                  </a:prstClr>
                </a:outerShdw>
              </a:effectLst>
              <a:latin typeface="+mj-lt"/>
              <a:ea typeface="+mn-ea"/>
              <a:cs typeface="+mn-cs"/>
            </a:rPr>
            <a:t>💰</a:t>
          </a:r>
          <a:r>
            <a:rPr lang="en-US" sz="1800" b="1" i="0" u="none" strike="noStrike">
              <a:ln>
                <a:noFill/>
              </a:ln>
              <a:gradFill>
                <a:gsLst>
                  <a:gs pos="0">
                    <a:schemeClr val="bg2"/>
                  </a:gs>
                  <a:gs pos="100000">
                    <a:schemeClr val="accent1">
                      <a:lumMod val="45000"/>
                      <a:lumOff val="55000"/>
                    </a:schemeClr>
                  </a:gs>
                  <a:gs pos="56000">
                    <a:schemeClr val="bg2"/>
                  </a:gs>
                </a:gsLst>
                <a:lin ang="16200000" scaled="1"/>
              </a:gradFill>
              <a:effectLst>
                <a:outerShdw blurRad="63500" dist="38100" dir="8100000" algn="tr" rotWithShape="0">
                  <a:prstClr val="black">
                    <a:alpha val="40000"/>
                  </a:prstClr>
                </a:outerShdw>
              </a:effectLst>
              <a:latin typeface="+mj-lt"/>
              <a:ea typeface="+mn-ea"/>
              <a:cs typeface="+mn-cs"/>
            </a:rPr>
            <a:t> </a:t>
          </a:r>
          <a:r>
            <a:rPr lang="en-US" sz="1600" b="1" i="0" u="none" strike="noStrike">
              <a:ln>
                <a:noFill/>
              </a:ln>
              <a:gradFill>
                <a:gsLst>
                  <a:gs pos="0">
                    <a:schemeClr val="bg2"/>
                  </a:gs>
                  <a:gs pos="100000">
                    <a:schemeClr val="accent1">
                      <a:lumMod val="45000"/>
                      <a:lumOff val="55000"/>
                    </a:schemeClr>
                  </a:gs>
                  <a:gs pos="56000">
                    <a:schemeClr val="bg2"/>
                  </a:gs>
                </a:gsLst>
                <a:lin ang="16200000" scaled="1"/>
              </a:gradFill>
              <a:effectLst>
                <a:outerShdw blurRad="63500" dist="38100" dir="8100000" algn="tr" rotWithShape="0">
                  <a:prstClr val="black">
                    <a:alpha val="40000"/>
                  </a:prstClr>
                </a:outerShdw>
              </a:effectLst>
              <a:latin typeface="+mn-lt"/>
              <a:ea typeface="+mn-ea"/>
              <a:cs typeface="+mn-cs"/>
            </a:rPr>
            <a:t>Amount</a:t>
          </a:r>
          <a:endParaRPr lang="en-US" sz="1800" b="1" i="0" u="none" strike="noStrike">
            <a:ln>
              <a:noFill/>
            </a:ln>
            <a:gradFill>
              <a:gsLst>
                <a:gs pos="0">
                  <a:schemeClr val="bg2"/>
                </a:gs>
                <a:gs pos="100000">
                  <a:schemeClr val="accent1">
                    <a:lumMod val="45000"/>
                    <a:lumOff val="55000"/>
                  </a:schemeClr>
                </a:gs>
                <a:gs pos="56000">
                  <a:schemeClr val="bg2"/>
                </a:gs>
              </a:gsLst>
              <a:lin ang="16200000" scaled="1"/>
            </a:gradFill>
            <a:effectLst>
              <a:outerShdw blurRad="63500" dist="38100" dir="8100000" algn="tr" rotWithShape="0">
                <a:prstClr val="black">
                  <a:alpha val="40000"/>
                </a:prstClr>
              </a:outerShdw>
            </a:effectLst>
            <a:latin typeface="+mn-lt"/>
            <a:ea typeface="+mn-ea"/>
            <a:cs typeface="+mn-cs"/>
          </a:endParaRPr>
        </a:p>
        <a:p>
          <a:pPr marL="0" indent="0"/>
          <a:endParaRPr lang="en-US" sz="1800" b="1" i="0" u="none" strike="noStrike">
            <a:ln>
              <a:noFill/>
            </a:ln>
            <a:gradFill>
              <a:gsLst>
                <a:gs pos="0">
                  <a:schemeClr val="bg2"/>
                </a:gs>
                <a:gs pos="100000">
                  <a:schemeClr val="accent1">
                    <a:lumMod val="45000"/>
                    <a:lumOff val="55000"/>
                  </a:schemeClr>
                </a:gs>
                <a:gs pos="56000">
                  <a:schemeClr val="bg2"/>
                </a:gs>
              </a:gsLst>
              <a:lin ang="16200000" scaled="1"/>
            </a:gradFill>
            <a:effectLst>
              <a:outerShdw blurRad="63500" dist="38100" dir="8100000" algn="tr" rotWithShape="0">
                <a:prstClr val="black">
                  <a:alpha val="40000"/>
                </a:prstClr>
              </a:outerShdw>
            </a:effectLst>
            <a:latin typeface="+mj-lt"/>
            <a:ea typeface="+mn-ea"/>
            <a:cs typeface="+mn-cs"/>
          </a:endParaRPr>
        </a:p>
      </xdr:txBody>
    </xdr:sp>
    <xdr:clientData/>
  </xdr:twoCellAnchor>
  <xdr:twoCellAnchor>
    <xdr:from>
      <xdr:col>0</xdr:col>
      <xdr:colOff>42130</xdr:colOff>
      <xdr:row>16</xdr:row>
      <xdr:rowOff>111829</xdr:rowOff>
    </xdr:from>
    <xdr:to>
      <xdr:col>1</xdr:col>
      <xdr:colOff>1185130</xdr:colOff>
      <xdr:row>18</xdr:row>
      <xdr:rowOff>76110</xdr:rowOff>
    </xdr:to>
    <xdr:sp macro="" textlink="">
      <xdr:nvSpPr>
        <xdr:cNvPr id="19" name="TextBox 18">
          <a:extLst>
            <a:ext uri="{FF2B5EF4-FFF2-40B4-BE49-F238E27FC236}">
              <a16:creationId xmlns:a16="http://schemas.microsoft.com/office/drawing/2014/main" id="{924AF362-6E9D-4498-828D-57254D703E96}"/>
            </a:ext>
          </a:extLst>
        </xdr:cNvPr>
        <xdr:cNvSpPr txBox="1"/>
      </xdr:nvSpPr>
      <xdr:spPr>
        <a:xfrm>
          <a:off x="42130" y="2925367"/>
          <a:ext cx="1289538" cy="3159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solidFill>
                <a:schemeClr val="bg1"/>
              </a:solidFill>
            </a:rPr>
            <a:t>⭐ Rating</a:t>
          </a:r>
        </a:p>
        <a:p>
          <a:endParaRPr lang="en-US" sz="1100"/>
        </a:p>
      </xdr:txBody>
    </xdr:sp>
    <xdr:clientData/>
  </xdr:twoCellAnchor>
  <xdr:twoCellAnchor>
    <xdr:from>
      <xdr:col>0</xdr:col>
      <xdr:colOff>42130</xdr:colOff>
      <xdr:row>20</xdr:row>
      <xdr:rowOff>51239</xdr:rowOff>
    </xdr:from>
    <xdr:to>
      <xdr:col>1</xdr:col>
      <xdr:colOff>1729154</xdr:colOff>
      <xdr:row>22</xdr:row>
      <xdr:rowOff>29308</xdr:rowOff>
    </xdr:to>
    <xdr:sp macro="" textlink="">
      <xdr:nvSpPr>
        <xdr:cNvPr id="20" name="TextBox 19">
          <a:extLst>
            <a:ext uri="{FF2B5EF4-FFF2-40B4-BE49-F238E27FC236}">
              <a16:creationId xmlns:a16="http://schemas.microsoft.com/office/drawing/2014/main" id="{E0677E2B-7096-4BD5-B42C-329DBD77CB61}"/>
            </a:ext>
          </a:extLst>
        </xdr:cNvPr>
        <xdr:cNvSpPr txBox="1"/>
      </xdr:nvSpPr>
      <xdr:spPr>
        <a:xfrm>
          <a:off x="42130" y="3568162"/>
          <a:ext cx="1833562" cy="32976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solidFill>
                <a:schemeClr val="bg1"/>
              </a:solidFill>
            </a:rPr>
            <a:t>📅 Days</a:t>
          </a:r>
          <a:r>
            <a:rPr lang="en-US" sz="1400" baseline="0">
              <a:solidFill>
                <a:schemeClr val="bg1"/>
              </a:solidFill>
            </a:rPr>
            <a:t> To Deliver</a:t>
          </a:r>
          <a:endParaRPr lang="en-US" sz="1400">
            <a:solidFill>
              <a:schemeClr val="bg1"/>
            </a:solidFill>
          </a:endParaRPr>
        </a:p>
        <a:p>
          <a:endParaRPr lang="en-US" sz="1100"/>
        </a:p>
      </xdr:txBody>
    </xdr:sp>
    <xdr:clientData/>
  </xdr:twoCellAnchor>
  <xdr:twoCellAnchor>
    <xdr:from>
      <xdr:col>3</xdr:col>
      <xdr:colOff>547020</xdr:colOff>
      <xdr:row>1</xdr:row>
      <xdr:rowOff>132833</xdr:rowOff>
    </xdr:from>
    <xdr:to>
      <xdr:col>10</xdr:col>
      <xdr:colOff>491361</xdr:colOff>
      <xdr:row>18</xdr:row>
      <xdr:rowOff>148141</xdr:rowOff>
    </xdr:to>
    <xdr:graphicFrame macro="">
      <xdr:nvGraphicFramePr>
        <xdr:cNvPr id="14" name="Chart 13">
          <a:extLst>
            <a:ext uri="{FF2B5EF4-FFF2-40B4-BE49-F238E27FC236}">
              <a16:creationId xmlns:a16="http://schemas.microsoft.com/office/drawing/2014/main" id="{AF2F9F79-E697-40A5-8A86-8FB1DF37DDF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148828</xdr:colOff>
      <xdr:row>1</xdr:row>
      <xdr:rowOff>162599</xdr:rowOff>
    </xdr:from>
    <xdr:to>
      <xdr:col>17</xdr:col>
      <xdr:colOff>669727</xdr:colOff>
      <xdr:row>19</xdr:row>
      <xdr:rowOff>15668</xdr:rowOff>
    </xdr:to>
    <xdr:sp macro="" textlink="">
      <xdr:nvSpPr>
        <xdr:cNvPr id="2" name="Rectangle 1">
          <a:extLst>
            <a:ext uri="{FF2B5EF4-FFF2-40B4-BE49-F238E27FC236}">
              <a16:creationId xmlns:a16="http://schemas.microsoft.com/office/drawing/2014/main" id="{BC15E1FA-4AF1-4B7C-923A-A69B01196A7F}"/>
            </a:ext>
          </a:extLst>
        </xdr:cNvPr>
        <xdr:cNvSpPr/>
      </xdr:nvSpPr>
      <xdr:spPr>
        <a:xfrm>
          <a:off x="7959328" y="338445"/>
          <a:ext cx="4653284" cy="3018300"/>
        </a:xfrm>
        <a:prstGeom prst="rect">
          <a:avLst/>
        </a:prstGeom>
        <a:solidFill>
          <a:schemeClr val="bg1"/>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mc:AlternateContent xmlns:mc="http://schemas.openxmlformats.org/markup-compatibility/2006">
    <mc:Choice xmlns:a14="http://schemas.microsoft.com/office/drawing/2010/main" Requires="a14">
      <xdr:twoCellAnchor editAs="oneCell">
        <xdr:from>
          <xdr:col>11</xdr:col>
          <xdr:colOff>510882</xdr:colOff>
          <xdr:row>5</xdr:row>
          <xdr:rowOff>104462</xdr:rowOff>
        </xdr:from>
        <xdr:to>
          <xdr:col>17</xdr:col>
          <xdr:colOff>59241</xdr:colOff>
          <xdr:row>16</xdr:row>
          <xdr:rowOff>119062</xdr:rowOff>
        </xdr:to>
        <xdr:pic>
          <xdr:nvPicPr>
            <xdr:cNvPr id="15" name="Picture 14">
              <a:extLst>
                <a:ext uri="{FF2B5EF4-FFF2-40B4-BE49-F238E27FC236}">
                  <a16:creationId xmlns:a16="http://schemas.microsoft.com/office/drawing/2014/main" id="{EE195885-A8B2-4247-897C-6AE4DF4CBE28}"/>
                </a:ext>
              </a:extLst>
            </xdr:cNvPr>
            <xdr:cNvPicPr>
              <a:picLocks noChangeAspect="1" noChangeArrowheads="1"/>
              <a:extLst>
                <a:ext uri="{84589F7E-364E-4C9E-8A38-B11213B215E9}">
                  <a14:cameraTool cellRange="'Pivot 2'!$H$4:$L$9" spid="_x0000_s2235"/>
                </a:ext>
              </a:extLst>
            </xdr:cNvPicPr>
          </xdr:nvPicPr>
          <xdr:blipFill>
            <a:blip xmlns:r="http://schemas.openxmlformats.org/officeDocument/2006/relationships" r:embed="rId2"/>
            <a:srcRect/>
            <a:stretch>
              <a:fillRect/>
            </a:stretch>
          </xdr:blipFill>
          <xdr:spPr bwMode="auto">
            <a:xfrm>
              <a:off x="8279710" y="997431"/>
              <a:ext cx="3656015" cy="1979131"/>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18</xdr:col>
      <xdr:colOff>306683</xdr:colOff>
      <xdr:row>1</xdr:row>
      <xdr:rowOff>147551</xdr:rowOff>
    </xdr:from>
    <xdr:to>
      <xdr:col>25</xdr:col>
      <xdr:colOff>133946</xdr:colOff>
      <xdr:row>18</xdr:row>
      <xdr:rowOff>133945</xdr:rowOff>
    </xdr:to>
    <xdr:graphicFrame macro="">
      <xdr:nvGraphicFramePr>
        <xdr:cNvPr id="22" name="Chart 21">
          <a:extLst>
            <a:ext uri="{FF2B5EF4-FFF2-40B4-BE49-F238E27FC236}">
              <a16:creationId xmlns:a16="http://schemas.microsoft.com/office/drawing/2014/main" id="{758836A6-5839-4FED-BDD9-2FD68323261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585532</xdr:colOff>
      <xdr:row>20</xdr:row>
      <xdr:rowOff>84194</xdr:rowOff>
    </xdr:from>
    <xdr:to>
      <xdr:col>10</xdr:col>
      <xdr:colOff>506015</xdr:colOff>
      <xdr:row>44</xdr:row>
      <xdr:rowOff>29765</xdr:rowOff>
    </xdr:to>
    <xdr:graphicFrame macro="">
      <xdr:nvGraphicFramePr>
        <xdr:cNvPr id="24" name="Chart 23">
          <a:extLst>
            <a:ext uri="{FF2B5EF4-FFF2-40B4-BE49-F238E27FC236}">
              <a16:creationId xmlns:a16="http://schemas.microsoft.com/office/drawing/2014/main" id="{852F4187-7A83-4491-B06A-6E62AA208F5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435806</xdr:colOff>
      <xdr:row>31</xdr:row>
      <xdr:rowOff>150952</xdr:rowOff>
    </xdr:from>
    <xdr:to>
      <xdr:col>9</xdr:col>
      <xdr:colOff>401410</xdr:colOff>
      <xdr:row>43</xdr:row>
      <xdr:rowOff>93121</xdr:rowOff>
    </xdr:to>
    <xdr:graphicFrame macro="">
      <xdr:nvGraphicFramePr>
        <xdr:cNvPr id="25" name="Chart 24">
          <a:extLst>
            <a:ext uri="{FF2B5EF4-FFF2-40B4-BE49-F238E27FC236}">
              <a16:creationId xmlns:a16="http://schemas.microsoft.com/office/drawing/2014/main" id="{FF240F60-F18E-4D36-AD66-44100FACB1E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11</xdr:col>
      <xdr:colOff>89298</xdr:colOff>
      <xdr:row>20</xdr:row>
      <xdr:rowOff>85470</xdr:rowOff>
    </xdr:from>
    <xdr:to>
      <xdr:col>17</xdr:col>
      <xdr:colOff>669728</xdr:colOff>
      <xdr:row>43</xdr:row>
      <xdr:rowOff>167113</xdr:rowOff>
    </xdr:to>
    <mc:AlternateContent xmlns:mc="http://schemas.openxmlformats.org/markup-compatibility/2006">
      <mc:Choice xmlns:cx4="http://schemas.microsoft.com/office/drawing/2016/5/10/chartex" Requires="cx4">
        <xdr:graphicFrame macro="">
          <xdr:nvGraphicFramePr>
            <xdr:cNvPr id="21" name="Chart 20">
              <a:extLst>
                <a:ext uri="{FF2B5EF4-FFF2-40B4-BE49-F238E27FC236}">
                  <a16:creationId xmlns:a16="http://schemas.microsoft.com/office/drawing/2014/main" id="{AD3FBDB1-C187-406F-8F28-710D5C358C8F}"/>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7871223" y="3704970"/>
              <a:ext cx="4695230" cy="4244068"/>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14</xdr:col>
      <xdr:colOff>517497</xdr:colOff>
      <xdr:row>26</xdr:row>
      <xdr:rowOff>154358</xdr:rowOff>
    </xdr:from>
    <xdr:to>
      <xdr:col>17</xdr:col>
      <xdr:colOff>312539</xdr:colOff>
      <xdr:row>35</xdr:row>
      <xdr:rowOff>133946</xdr:rowOff>
    </xdr:to>
    <mc:AlternateContent xmlns:mc="http://schemas.openxmlformats.org/markup-compatibility/2006">
      <mc:Choice xmlns:cx4="http://schemas.microsoft.com/office/drawing/2016/5/10/chartex" Requires="cx4">
        <xdr:graphicFrame macro="">
          <xdr:nvGraphicFramePr>
            <xdr:cNvPr id="23" name="Chart 22">
              <a:extLst>
                <a:ext uri="{FF2B5EF4-FFF2-40B4-BE49-F238E27FC236}">
                  <a16:creationId xmlns:a16="http://schemas.microsoft.com/office/drawing/2014/main" id="{C1D62CB4-21A2-4BBF-BDDE-06F1B36163A7}"/>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7"/>
            </a:graphicData>
          </a:graphic>
        </xdr:graphicFrame>
      </mc:Choice>
      <mc:Fallback>
        <xdr:sp macro="" textlink="">
          <xdr:nvSpPr>
            <xdr:cNvPr id="0" name=""/>
            <xdr:cNvSpPr>
              <a:spLocks noTextEdit="1"/>
            </xdr:cNvSpPr>
          </xdr:nvSpPr>
          <xdr:spPr>
            <a:xfrm>
              <a:off x="10356822" y="4859708"/>
              <a:ext cx="1852442" cy="1608363"/>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18</xdr:col>
      <xdr:colOff>344431</xdr:colOff>
      <xdr:row>20</xdr:row>
      <xdr:rowOff>115658</xdr:rowOff>
    </xdr:from>
    <xdr:to>
      <xdr:col>25</xdr:col>
      <xdr:colOff>133946</xdr:colOff>
      <xdr:row>31</xdr:row>
      <xdr:rowOff>154781</xdr:rowOff>
    </xdr:to>
    <xdr:graphicFrame macro="">
      <xdr:nvGraphicFramePr>
        <xdr:cNvPr id="26" name="Chart 25">
          <a:extLst>
            <a:ext uri="{FF2B5EF4-FFF2-40B4-BE49-F238E27FC236}">
              <a16:creationId xmlns:a16="http://schemas.microsoft.com/office/drawing/2014/main" id="{639307E0-4961-4810-A4DD-9B8644A7C7C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18</xdr:col>
      <xdr:colOff>355485</xdr:colOff>
      <xdr:row>32</xdr:row>
      <xdr:rowOff>130120</xdr:rowOff>
    </xdr:from>
    <xdr:to>
      <xdr:col>25</xdr:col>
      <xdr:colOff>133946</xdr:colOff>
      <xdr:row>44</xdr:row>
      <xdr:rowOff>19563</xdr:rowOff>
    </xdr:to>
    <xdr:graphicFrame macro="">
      <xdr:nvGraphicFramePr>
        <xdr:cNvPr id="27" name="Chart 26">
          <a:extLst>
            <a:ext uri="{FF2B5EF4-FFF2-40B4-BE49-F238E27FC236}">
              <a16:creationId xmlns:a16="http://schemas.microsoft.com/office/drawing/2014/main" id="{6DF5E89E-1B76-4025-851C-BAC79F1DD76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1</xdr:col>
      <xdr:colOff>171367</xdr:colOff>
      <xdr:row>24</xdr:row>
      <xdr:rowOff>139810</xdr:rowOff>
    </xdr:from>
    <xdr:to>
      <xdr:col>1</xdr:col>
      <xdr:colOff>1726406</xdr:colOff>
      <xdr:row>34</xdr:row>
      <xdr:rowOff>163710</xdr:rowOff>
    </xdr:to>
    <mc:AlternateContent xmlns:mc="http://schemas.openxmlformats.org/markup-compatibility/2006" xmlns:a14="http://schemas.microsoft.com/office/drawing/2010/main">
      <mc:Choice Requires="a14">
        <xdr:graphicFrame macro="">
          <xdr:nvGraphicFramePr>
            <xdr:cNvPr id="28" name="Order Mode">
              <a:extLst>
                <a:ext uri="{FF2B5EF4-FFF2-40B4-BE49-F238E27FC236}">
                  <a16:creationId xmlns:a16="http://schemas.microsoft.com/office/drawing/2014/main" id="{DFE38CB6-4180-4839-9698-E46E38FC1D4C}"/>
                </a:ext>
              </a:extLst>
            </xdr:cNvPr>
            <xdr:cNvGraphicFramePr/>
          </xdr:nvGraphicFramePr>
          <xdr:xfrm>
            <a:off x="0" y="0"/>
            <a:ext cx="0" cy="0"/>
          </xdr:xfrm>
          <a:graphic>
            <a:graphicData uri="http://schemas.microsoft.com/office/drawing/2010/slicer">
              <sle:slicer xmlns:sle="http://schemas.microsoft.com/office/drawing/2010/slicer" name="Order Mode"/>
            </a:graphicData>
          </a:graphic>
        </xdr:graphicFrame>
      </mc:Choice>
      <mc:Fallback xmlns="">
        <xdr:sp macro="" textlink="">
          <xdr:nvSpPr>
            <xdr:cNvPr id="0" name=""/>
            <xdr:cNvSpPr>
              <a:spLocks noTextEdit="1"/>
            </xdr:cNvSpPr>
          </xdr:nvSpPr>
          <xdr:spPr>
            <a:xfrm>
              <a:off x="330117" y="4330810"/>
              <a:ext cx="1555039" cy="17701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184974</xdr:colOff>
      <xdr:row>35</xdr:row>
      <xdr:rowOff>141515</xdr:rowOff>
    </xdr:from>
    <xdr:to>
      <xdr:col>1</xdr:col>
      <xdr:colOff>1741290</xdr:colOff>
      <xdr:row>44</xdr:row>
      <xdr:rowOff>89297</xdr:rowOff>
    </xdr:to>
    <mc:AlternateContent xmlns:mc="http://schemas.openxmlformats.org/markup-compatibility/2006" xmlns:a14="http://schemas.microsoft.com/office/drawing/2010/main">
      <mc:Choice Requires="a14">
        <xdr:graphicFrame macro="">
          <xdr:nvGraphicFramePr>
            <xdr:cNvPr id="29" name="Gender Value">
              <a:extLst>
                <a:ext uri="{FF2B5EF4-FFF2-40B4-BE49-F238E27FC236}">
                  <a16:creationId xmlns:a16="http://schemas.microsoft.com/office/drawing/2014/main" id="{C09036D6-32CD-4195-BCFC-B7D53A15C708}"/>
                </a:ext>
              </a:extLst>
            </xdr:cNvPr>
            <xdr:cNvGraphicFramePr/>
          </xdr:nvGraphicFramePr>
          <xdr:xfrm>
            <a:off x="0" y="0"/>
            <a:ext cx="0" cy="0"/>
          </xdr:xfrm>
          <a:graphic>
            <a:graphicData uri="http://schemas.microsoft.com/office/drawing/2010/slicer">
              <sle:slicer xmlns:sle="http://schemas.microsoft.com/office/drawing/2010/slicer" name="Gender Value"/>
            </a:graphicData>
          </a:graphic>
        </xdr:graphicFrame>
      </mc:Choice>
      <mc:Fallback xmlns="">
        <xdr:sp macro="" textlink="">
          <xdr:nvSpPr>
            <xdr:cNvPr id="0" name=""/>
            <xdr:cNvSpPr>
              <a:spLocks noTextEdit="1"/>
            </xdr:cNvSpPr>
          </xdr:nvSpPr>
          <xdr:spPr>
            <a:xfrm>
              <a:off x="343724" y="6253390"/>
              <a:ext cx="1556316" cy="151940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12</xdr:col>
      <xdr:colOff>575486</xdr:colOff>
      <xdr:row>1</xdr:row>
      <xdr:rowOff>161192</xdr:rowOff>
    </xdr:from>
    <xdr:to>
      <xdr:col>16</xdr:col>
      <xdr:colOff>571498</xdr:colOff>
      <xdr:row>5</xdr:row>
      <xdr:rowOff>146538</xdr:rowOff>
    </xdr:to>
    <xdr:sp macro="" textlink="">
      <xdr:nvSpPr>
        <xdr:cNvPr id="11" name="TextBox 10">
          <a:extLst>
            <a:ext uri="{FF2B5EF4-FFF2-40B4-BE49-F238E27FC236}">
              <a16:creationId xmlns:a16="http://schemas.microsoft.com/office/drawing/2014/main" id="{8D639939-92C5-49A6-8DD3-34860E88D13D}"/>
            </a:ext>
          </a:extLst>
        </xdr:cNvPr>
        <xdr:cNvSpPr txBox="1"/>
      </xdr:nvSpPr>
      <xdr:spPr>
        <a:xfrm>
          <a:off x="9074717" y="337038"/>
          <a:ext cx="2750935" cy="68873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latin typeface="+mn-lt"/>
            </a:rPr>
            <a:t>How They like to Buy  ?</a:t>
          </a:r>
        </a:p>
        <a:p>
          <a:pPr algn="ctr"/>
          <a:r>
            <a:rPr lang="en-US" sz="1300" b="1">
              <a:latin typeface="+mn-lt"/>
            </a:rPr>
            <a:t>Amount Gnerated Per mode</a:t>
          </a:r>
        </a:p>
      </xdr:txBody>
    </xdr:sp>
    <xdr:clientData/>
  </xdr:twoCellAnchor>
  <xdr:twoCellAnchor editAs="oneCell">
    <xdr:from>
      <xdr:col>1</xdr:col>
      <xdr:colOff>11251</xdr:colOff>
      <xdr:row>0</xdr:row>
      <xdr:rowOff>170218</xdr:rowOff>
    </xdr:from>
    <xdr:to>
      <xdr:col>2</xdr:col>
      <xdr:colOff>105675</xdr:colOff>
      <xdr:row>3</xdr:row>
      <xdr:rowOff>149678</xdr:rowOff>
    </xdr:to>
    <xdr:pic>
      <xdr:nvPicPr>
        <xdr:cNvPr id="30" name="Picture 29">
          <a:extLst>
            <a:ext uri="{FF2B5EF4-FFF2-40B4-BE49-F238E27FC236}">
              <a16:creationId xmlns:a16="http://schemas.microsoft.com/office/drawing/2014/main" id="{5BADA473-31ED-4492-98EF-B9AE9EDD3857}"/>
            </a:ext>
          </a:extLst>
        </xdr:cNvPr>
        <xdr:cNvPicPr>
          <a:picLocks noChangeAspect="1"/>
        </xdr:cNvPicPr>
      </xdr:nvPicPr>
      <xdr:blipFill>
        <a:blip xmlns:r="http://schemas.openxmlformats.org/officeDocument/2006/relationships" r:embed="rId10" cstate="print">
          <a:extLst>
            <a:ext uri="{BEBA8EAE-BF5A-486C-A8C5-ECC9F3942E4B}">
              <a14:imgProps xmlns:a14="http://schemas.microsoft.com/office/drawing/2010/main">
                <a14:imgLayer r:embed="rId11">
                  <a14:imgEffect>
                    <a14:artisticCrisscrossEtching/>
                  </a14:imgEffect>
                </a14:imgLayer>
              </a14:imgProps>
            </a:ext>
            <a:ext uri="{28A0092B-C50C-407E-A947-70E740481C1C}">
              <a14:useLocalDpi xmlns:a14="http://schemas.microsoft.com/office/drawing/2010/main" val="0"/>
            </a:ext>
          </a:extLst>
        </a:blip>
        <a:srcRect/>
        <a:stretch/>
      </xdr:blipFill>
      <xdr:spPr>
        <a:xfrm>
          <a:off x="160930" y="170218"/>
          <a:ext cx="2013031" cy="510139"/>
        </a:xfrm>
        <a:prstGeom prst="rect">
          <a:avLst/>
        </a:prstGeom>
      </xdr:spPr>
    </xdr:pic>
    <xdr:clientData/>
  </xdr:twoCellAnchor>
  <xdr:twoCellAnchor>
    <xdr:from>
      <xdr:col>0</xdr:col>
      <xdr:colOff>104180</xdr:colOff>
      <xdr:row>8</xdr:row>
      <xdr:rowOff>59531</xdr:rowOff>
    </xdr:from>
    <xdr:to>
      <xdr:col>2</xdr:col>
      <xdr:colOff>0</xdr:colOff>
      <xdr:row>8</xdr:row>
      <xdr:rowOff>59531</xdr:rowOff>
    </xdr:to>
    <xdr:cxnSp macro="">
      <xdr:nvCxnSpPr>
        <xdr:cNvPr id="13" name="Straight Connector 12">
          <a:extLst>
            <a:ext uri="{FF2B5EF4-FFF2-40B4-BE49-F238E27FC236}">
              <a16:creationId xmlns:a16="http://schemas.microsoft.com/office/drawing/2014/main" id="{47FD099F-E046-4519-AC7C-040554261EFB}"/>
            </a:ext>
          </a:extLst>
        </xdr:cNvPr>
        <xdr:cNvCxnSpPr/>
      </xdr:nvCxnSpPr>
      <xdr:spPr>
        <a:xfrm>
          <a:off x="104180" y="1488281"/>
          <a:ext cx="1964531" cy="0"/>
        </a:xfrm>
        <a:prstGeom prst="line">
          <a:avLst/>
        </a:prstGeom>
        <a:ln>
          <a:solidFill>
            <a:schemeClr val="tx2">
              <a:lumMod val="10000"/>
              <a:lumOff val="90000"/>
              <a:alpha val="25000"/>
            </a:schemeClr>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xdr:col>
      <xdr:colOff>0</xdr:colOff>
      <xdr:row>12</xdr:row>
      <xdr:rowOff>14883</xdr:rowOff>
    </xdr:from>
    <xdr:to>
      <xdr:col>1</xdr:col>
      <xdr:colOff>1875235</xdr:colOff>
      <xdr:row>12</xdr:row>
      <xdr:rowOff>44648</xdr:rowOff>
    </xdr:to>
    <xdr:cxnSp macro="">
      <xdr:nvCxnSpPr>
        <xdr:cNvPr id="41" name="Straight Connector 40">
          <a:extLst>
            <a:ext uri="{FF2B5EF4-FFF2-40B4-BE49-F238E27FC236}">
              <a16:creationId xmlns:a16="http://schemas.microsoft.com/office/drawing/2014/main" id="{DDE3669C-2F3E-4806-9A85-B521462CE2E1}"/>
            </a:ext>
          </a:extLst>
        </xdr:cNvPr>
        <xdr:cNvCxnSpPr/>
      </xdr:nvCxnSpPr>
      <xdr:spPr>
        <a:xfrm flipV="1">
          <a:off x="148828" y="2158008"/>
          <a:ext cx="1875235" cy="29765"/>
        </a:xfrm>
        <a:prstGeom prst="line">
          <a:avLst/>
        </a:prstGeom>
        <a:ln>
          <a:solidFill>
            <a:schemeClr val="tx2">
              <a:lumMod val="10000"/>
              <a:lumOff val="90000"/>
              <a:alpha val="25000"/>
            </a:schemeClr>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0</xdr:col>
      <xdr:colOff>89298</xdr:colOff>
      <xdr:row>16</xdr:row>
      <xdr:rowOff>89297</xdr:rowOff>
    </xdr:from>
    <xdr:to>
      <xdr:col>1</xdr:col>
      <xdr:colOff>1860353</xdr:colOff>
      <xdr:row>16</xdr:row>
      <xdr:rowOff>104180</xdr:rowOff>
    </xdr:to>
    <xdr:cxnSp macro="">
      <xdr:nvCxnSpPr>
        <xdr:cNvPr id="43" name="Straight Connector 42">
          <a:extLst>
            <a:ext uri="{FF2B5EF4-FFF2-40B4-BE49-F238E27FC236}">
              <a16:creationId xmlns:a16="http://schemas.microsoft.com/office/drawing/2014/main" id="{01B33561-EC5B-4C0A-A415-325DE4D35BEF}"/>
            </a:ext>
          </a:extLst>
        </xdr:cNvPr>
        <xdr:cNvCxnSpPr/>
      </xdr:nvCxnSpPr>
      <xdr:spPr>
        <a:xfrm flipV="1">
          <a:off x="89298" y="2946797"/>
          <a:ext cx="1919883" cy="14883"/>
        </a:xfrm>
        <a:prstGeom prst="line">
          <a:avLst/>
        </a:prstGeom>
        <a:ln>
          <a:solidFill>
            <a:schemeClr val="tx2">
              <a:lumMod val="10000"/>
              <a:lumOff val="90000"/>
              <a:alpha val="25000"/>
            </a:schemeClr>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0</xdr:col>
      <xdr:colOff>89297</xdr:colOff>
      <xdr:row>20</xdr:row>
      <xdr:rowOff>74414</xdr:rowOff>
    </xdr:from>
    <xdr:to>
      <xdr:col>2</xdr:col>
      <xdr:colOff>0</xdr:colOff>
      <xdr:row>20</xdr:row>
      <xdr:rowOff>74414</xdr:rowOff>
    </xdr:to>
    <xdr:cxnSp macro="">
      <xdr:nvCxnSpPr>
        <xdr:cNvPr id="46" name="Straight Connector 45">
          <a:extLst>
            <a:ext uri="{FF2B5EF4-FFF2-40B4-BE49-F238E27FC236}">
              <a16:creationId xmlns:a16="http://schemas.microsoft.com/office/drawing/2014/main" id="{DA63BFCC-CFB1-4234-A06E-C333904E97F2}"/>
            </a:ext>
          </a:extLst>
        </xdr:cNvPr>
        <xdr:cNvCxnSpPr/>
      </xdr:nvCxnSpPr>
      <xdr:spPr>
        <a:xfrm>
          <a:off x="89297" y="3646289"/>
          <a:ext cx="1979414" cy="0"/>
        </a:xfrm>
        <a:prstGeom prst="line">
          <a:avLst/>
        </a:prstGeom>
        <a:ln>
          <a:solidFill>
            <a:schemeClr val="tx2">
              <a:lumMod val="10000"/>
              <a:lumOff val="90000"/>
              <a:alpha val="25000"/>
            </a:schemeClr>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xdr:col>
      <xdr:colOff>1354337</xdr:colOff>
      <xdr:row>6</xdr:row>
      <xdr:rowOff>133946</xdr:rowOff>
    </xdr:from>
    <xdr:to>
      <xdr:col>2</xdr:col>
      <xdr:colOff>44648</xdr:colOff>
      <xdr:row>8</xdr:row>
      <xdr:rowOff>29766</xdr:rowOff>
    </xdr:to>
    <xdr:sp macro="" textlink="Pivot!L132">
      <xdr:nvSpPr>
        <xdr:cNvPr id="47" name="TextBox 46">
          <a:extLst>
            <a:ext uri="{FF2B5EF4-FFF2-40B4-BE49-F238E27FC236}">
              <a16:creationId xmlns:a16="http://schemas.microsoft.com/office/drawing/2014/main" id="{67530811-44CA-4DF8-9690-5C346FB29F3B}"/>
            </a:ext>
          </a:extLst>
        </xdr:cNvPr>
        <xdr:cNvSpPr txBox="1"/>
      </xdr:nvSpPr>
      <xdr:spPr>
        <a:xfrm>
          <a:off x="1503165" y="1205509"/>
          <a:ext cx="610194" cy="25300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DCC4922D-3D44-4EA1-83F7-B9AD78A9F26E}" type="TxLink">
            <a:rPr lang="en-US" sz="1400" b="0" i="0" u="none" strike="noStrike">
              <a:solidFill>
                <a:schemeClr val="tx2">
                  <a:lumMod val="25000"/>
                  <a:lumOff val="75000"/>
                </a:schemeClr>
              </a:solidFill>
              <a:latin typeface="Aptos Narrow"/>
              <a:ea typeface="+mn-ea"/>
              <a:cs typeface="+mn-cs"/>
            </a:rPr>
            <a:pPr marL="0" indent="0"/>
            <a:t> </a:t>
          </a:fld>
          <a:endParaRPr lang="en-US" sz="1400" b="0" i="0" u="none" strike="noStrike">
            <a:solidFill>
              <a:schemeClr val="tx2">
                <a:lumMod val="25000"/>
                <a:lumOff val="75000"/>
              </a:schemeClr>
            </a:solidFill>
            <a:latin typeface="Aptos Narrow"/>
            <a:ea typeface="+mn-ea"/>
            <a:cs typeface="+mn-cs"/>
          </a:endParaRPr>
        </a:p>
      </xdr:txBody>
    </xdr:sp>
    <xdr:clientData/>
  </xdr:twoCellAnchor>
  <xdr:twoCellAnchor>
    <xdr:from>
      <xdr:col>1</xdr:col>
      <xdr:colOff>1262520</xdr:colOff>
      <xdr:row>14</xdr:row>
      <xdr:rowOff>133946</xdr:rowOff>
    </xdr:from>
    <xdr:to>
      <xdr:col>3</xdr:col>
      <xdr:colOff>0</xdr:colOff>
      <xdr:row>16</xdr:row>
      <xdr:rowOff>74414</xdr:rowOff>
    </xdr:to>
    <xdr:sp macro="" textlink="Pivot!N132">
      <xdr:nvSpPr>
        <xdr:cNvPr id="51" name="TextBox 50">
          <a:extLst>
            <a:ext uri="{FF2B5EF4-FFF2-40B4-BE49-F238E27FC236}">
              <a16:creationId xmlns:a16="http://schemas.microsoft.com/office/drawing/2014/main" id="{5A97F43A-2394-4CDF-A7C3-6829F5C9CBB0}"/>
            </a:ext>
          </a:extLst>
        </xdr:cNvPr>
        <xdr:cNvSpPr txBox="1"/>
      </xdr:nvSpPr>
      <xdr:spPr>
        <a:xfrm>
          <a:off x="1411348" y="2634259"/>
          <a:ext cx="880605" cy="2976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E80D098A-CC12-471C-81A8-7B4FFD156096}" type="TxLink">
            <a:rPr lang="en-US" sz="1400" b="0" i="0" u="none" strike="noStrike">
              <a:solidFill>
                <a:schemeClr val="tx2">
                  <a:lumMod val="25000"/>
                  <a:lumOff val="75000"/>
                </a:schemeClr>
              </a:solidFill>
              <a:latin typeface="Aptos Narrow"/>
            </a:rPr>
            <a:pPr/>
            <a:t> </a:t>
          </a:fld>
          <a:endParaRPr lang="en-US" sz="1400">
            <a:solidFill>
              <a:schemeClr val="tx2">
                <a:lumMod val="25000"/>
                <a:lumOff val="75000"/>
              </a:schemeClr>
            </a:solidFill>
          </a:endParaRPr>
        </a:p>
      </xdr:txBody>
    </xdr:sp>
    <xdr:clientData/>
  </xdr:twoCellAnchor>
  <xdr:twoCellAnchor>
    <xdr:from>
      <xdr:col>1</xdr:col>
      <xdr:colOff>1381583</xdr:colOff>
      <xdr:row>18</xdr:row>
      <xdr:rowOff>133945</xdr:rowOff>
    </xdr:from>
    <xdr:to>
      <xdr:col>1</xdr:col>
      <xdr:colOff>1902481</xdr:colOff>
      <xdr:row>20</xdr:row>
      <xdr:rowOff>29766</xdr:rowOff>
    </xdr:to>
    <xdr:sp macro="" textlink="Pivot!O132">
      <xdr:nvSpPr>
        <xdr:cNvPr id="52" name="TextBox 51">
          <a:extLst>
            <a:ext uri="{FF2B5EF4-FFF2-40B4-BE49-F238E27FC236}">
              <a16:creationId xmlns:a16="http://schemas.microsoft.com/office/drawing/2014/main" id="{F58AABA2-9E6C-4E31-A02F-40CE6E47C409}"/>
            </a:ext>
          </a:extLst>
        </xdr:cNvPr>
        <xdr:cNvSpPr txBox="1"/>
      </xdr:nvSpPr>
      <xdr:spPr>
        <a:xfrm>
          <a:off x="1530411" y="3348633"/>
          <a:ext cx="520898" cy="25300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8D37E4BC-A9B0-405F-885D-AF89D38AC491}" type="TxLink">
            <a:rPr lang="en-US" sz="1400" b="0" i="0" u="none" strike="noStrike">
              <a:solidFill>
                <a:schemeClr val="tx2">
                  <a:lumMod val="25000"/>
                  <a:lumOff val="75000"/>
                </a:schemeClr>
              </a:solidFill>
              <a:latin typeface="Aptos Narrow"/>
            </a:rPr>
            <a:pPr/>
            <a:t> </a:t>
          </a:fld>
          <a:endParaRPr lang="en-US" sz="1400">
            <a:solidFill>
              <a:schemeClr val="tx2">
                <a:lumMod val="25000"/>
                <a:lumOff val="75000"/>
              </a:schemeClr>
            </a:solidFill>
          </a:endParaRPr>
        </a:p>
      </xdr:txBody>
    </xdr:sp>
    <xdr:clientData/>
  </xdr:twoCellAnchor>
  <xdr:twoCellAnchor>
    <xdr:from>
      <xdr:col>1</xdr:col>
      <xdr:colOff>1413868</xdr:colOff>
      <xdr:row>22</xdr:row>
      <xdr:rowOff>133947</xdr:rowOff>
    </xdr:from>
    <xdr:to>
      <xdr:col>2</xdr:col>
      <xdr:colOff>14883</xdr:colOff>
      <xdr:row>24</xdr:row>
      <xdr:rowOff>29768</xdr:rowOff>
    </xdr:to>
    <xdr:sp macro="" textlink="Pivot!P132">
      <xdr:nvSpPr>
        <xdr:cNvPr id="53" name="TextBox 52">
          <a:extLst>
            <a:ext uri="{FF2B5EF4-FFF2-40B4-BE49-F238E27FC236}">
              <a16:creationId xmlns:a16="http://schemas.microsoft.com/office/drawing/2014/main" id="{9DA02B3E-7F65-4783-A02C-5940B4EB0887}"/>
            </a:ext>
          </a:extLst>
        </xdr:cNvPr>
        <xdr:cNvSpPr txBox="1"/>
      </xdr:nvSpPr>
      <xdr:spPr>
        <a:xfrm>
          <a:off x="1562696" y="4063010"/>
          <a:ext cx="520898" cy="25300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05BA7ED0-9471-4A83-91B3-057090884837}" type="TxLink">
            <a:rPr lang="en-US" sz="1400" b="0" i="0" u="none" strike="noStrike">
              <a:solidFill>
                <a:schemeClr val="tx2">
                  <a:lumMod val="25000"/>
                  <a:lumOff val="75000"/>
                </a:schemeClr>
              </a:solidFill>
              <a:latin typeface="Aptos Narrow"/>
            </a:rPr>
            <a:pPr/>
            <a:t> </a:t>
          </a:fld>
          <a:endParaRPr lang="en-US" sz="1400">
            <a:solidFill>
              <a:schemeClr val="tx2">
                <a:lumMod val="25000"/>
                <a:lumOff val="75000"/>
              </a:schemeClr>
            </a:solidFill>
          </a:endParaRPr>
        </a:p>
      </xdr:txBody>
    </xdr:sp>
    <xdr:clientData/>
  </xdr:twoCellAnchor>
  <xdr:twoCellAnchor>
    <xdr:from>
      <xdr:col>1</xdr:col>
      <xdr:colOff>1336934</xdr:colOff>
      <xdr:row>10</xdr:row>
      <xdr:rowOff>89296</xdr:rowOff>
    </xdr:from>
    <xdr:to>
      <xdr:col>2</xdr:col>
      <xdr:colOff>119063</xdr:colOff>
      <xdr:row>12</xdr:row>
      <xdr:rowOff>29765</xdr:rowOff>
    </xdr:to>
    <xdr:sp macro="" textlink="Pivot!M132">
      <xdr:nvSpPr>
        <xdr:cNvPr id="54" name="TextBox 53">
          <a:extLst>
            <a:ext uri="{FF2B5EF4-FFF2-40B4-BE49-F238E27FC236}">
              <a16:creationId xmlns:a16="http://schemas.microsoft.com/office/drawing/2014/main" id="{891CA140-EA1F-42DF-B6AB-419D39AAD633}"/>
            </a:ext>
          </a:extLst>
        </xdr:cNvPr>
        <xdr:cNvSpPr txBox="1"/>
      </xdr:nvSpPr>
      <xdr:spPr>
        <a:xfrm>
          <a:off x="1485762" y="1875234"/>
          <a:ext cx="702012" cy="2976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C86AD746-6A38-4A5B-B4E5-16BE301BF627}" type="TxLink">
            <a:rPr lang="en-US" sz="1400" b="0" i="0" u="none" strike="noStrike">
              <a:solidFill>
                <a:schemeClr val="tx2">
                  <a:lumMod val="25000"/>
                  <a:lumOff val="75000"/>
                </a:schemeClr>
              </a:solidFill>
              <a:latin typeface="Aptos Narrow"/>
              <a:ea typeface="+mn-ea"/>
              <a:cs typeface="+mn-cs"/>
            </a:rPr>
            <a:pPr marL="0" indent="0"/>
            <a:t> </a:t>
          </a:fld>
          <a:endParaRPr lang="en-US" sz="1400" b="0" i="0" u="none" strike="noStrike">
            <a:solidFill>
              <a:schemeClr val="tx2">
                <a:lumMod val="25000"/>
                <a:lumOff val="75000"/>
              </a:schemeClr>
            </a:solidFill>
            <a:latin typeface="Aptos Narrow"/>
            <a:ea typeface="+mn-ea"/>
            <a:cs typeface="+mn-cs"/>
          </a:endParaRP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180975</xdr:colOff>
      <xdr:row>133</xdr:row>
      <xdr:rowOff>1</xdr:rowOff>
    </xdr:from>
    <xdr:to>
      <xdr:col>2</xdr:col>
      <xdr:colOff>942975</xdr:colOff>
      <xdr:row>141</xdr:row>
      <xdr:rowOff>95251</xdr:rowOff>
    </xdr:to>
    <mc:AlternateContent xmlns:mc="http://schemas.openxmlformats.org/markup-compatibility/2006" xmlns:a14="http://schemas.microsoft.com/office/drawing/2010/main">
      <mc:Choice Requires="a14">
        <xdr:graphicFrame macro="">
          <xdr:nvGraphicFramePr>
            <xdr:cNvPr id="11" name="Gender Value 1">
              <a:extLst>
                <a:ext uri="{FF2B5EF4-FFF2-40B4-BE49-F238E27FC236}">
                  <a16:creationId xmlns:a16="http://schemas.microsoft.com/office/drawing/2014/main" id="{3D694531-C4FB-486E-A844-A6259CF37D5E}"/>
                </a:ext>
              </a:extLst>
            </xdr:cNvPr>
            <xdr:cNvGraphicFramePr/>
          </xdr:nvGraphicFramePr>
          <xdr:xfrm>
            <a:off x="0" y="0"/>
            <a:ext cx="0" cy="0"/>
          </xdr:xfrm>
          <a:graphic>
            <a:graphicData uri="http://schemas.microsoft.com/office/drawing/2010/slicer">
              <sle:slicer xmlns:sle="http://schemas.microsoft.com/office/drawing/2010/slicer" name="Gender Value 1"/>
            </a:graphicData>
          </a:graphic>
        </xdr:graphicFrame>
      </mc:Choice>
      <mc:Fallback xmlns="">
        <xdr:sp macro="" textlink="">
          <xdr:nvSpPr>
            <xdr:cNvPr id="0" name=""/>
            <xdr:cNvSpPr>
              <a:spLocks noTextEdit="1"/>
            </xdr:cNvSpPr>
          </xdr:nvSpPr>
          <xdr:spPr>
            <a:xfrm>
              <a:off x="1047750" y="24079201"/>
              <a:ext cx="1828800" cy="15430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152400</xdr:colOff>
      <xdr:row>133</xdr:row>
      <xdr:rowOff>9525</xdr:rowOff>
    </xdr:from>
    <xdr:to>
      <xdr:col>4</xdr:col>
      <xdr:colOff>952500</xdr:colOff>
      <xdr:row>143</xdr:row>
      <xdr:rowOff>95250</xdr:rowOff>
    </xdr:to>
    <mc:AlternateContent xmlns:mc="http://schemas.openxmlformats.org/markup-compatibility/2006" xmlns:a14="http://schemas.microsoft.com/office/drawing/2010/main">
      <mc:Choice Requires="a14">
        <xdr:graphicFrame macro="">
          <xdr:nvGraphicFramePr>
            <xdr:cNvPr id="12" name="Order Mode 1">
              <a:extLst>
                <a:ext uri="{FF2B5EF4-FFF2-40B4-BE49-F238E27FC236}">
                  <a16:creationId xmlns:a16="http://schemas.microsoft.com/office/drawing/2014/main" id="{9533D207-0145-4BBF-8316-C771DF7D331C}"/>
                </a:ext>
              </a:extLst>
            </xdr:cNvPr>
            <xdr:cNvGraphicFramePr/>
          </xdr:nvGraphicFramePr>
          <xdr:xfrm>
            <a:off x="0" y="0"/>
            <a:ext cx="0" cy="0"/>
          </xdr:xfrm>
          <a:graphic>
            <a:graphicData uri="http://schemas.microsoft.com/office/drawing/2010/slicer">
              <sle:slicer xmlns:sle="http://schemas.microsoft.com/office/drawing/2010/slicer" name="Order Mode 1"/>
            </a:graphicData>
          </a:graphic>
        </xdr:graphicFrame>
      </mc:Choice>
      <mc:Fallback xmlns="">
        <xdr:sp macro="" textlink="">
          <xdr:nvSpPr>
            <xdr:cNvPr id="0" name=""/>
            <xdr:cNvSpPr>
              <a:spLocks noTextEdit="1"/>
            </xdr:cNvSpPr>
          </xdr:nvSpPr>
          <xdr:spPr>
            <a:xfrm>
              <a:off x="3009900" y="24088725"/>
              <a:ext cx="1943100" cy="18954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rathamesh" refreshedDate="46027.538082754632" createdVersion="7" refreshedVersion="7" minRefreshableVersion="3" recordCount="2400" xr:uid="{BF7794B9-0FA1-4EE4-9B31-D94B69BC4C97}">
  <cacheSource type="worksheet">
    <worksheetSource name="orders"/>
  </cacheSource>
  <cacheFields count="19">
    <cacheField name="TX ID" numFmtId="0">
      <sharedItems/>
    </cacheField>
    <cacheField name="Product" numFmtId="0">
      <sharedItems count="20">
        <s v="Shorts"/>
        <s v="Tank Tops"/>
        <s v="Sneakers"/>
        <s v="Workout Tops"/>
        <s v="Graphic Tees"/>
        <s v="Sandals"/>
        <s v="Jeans"/>
        <s v="Hoodies &amp; Sweatshirts"/>
        <s v="T-Shirts"/>
        <s v="Sundresses"/>
        <s v="Bikinis"/>
        <s v="Maxi Dresses"/>
        <s v="Casual Dresses"/>
        <s v="Tote Bags"/>
        <s v="Baseball Caps"/>
        <s v="Crop Tops"/>
        <s v="Sunglasses"/>
        <s v="Pajama Sets"/>
        <s v="Leggings"/>
        <s v="Jewelry"/>
      </sharedItems>
    </cacheField>
    <cacheField name="Quantity" numFmtId="0">
      <sharedItems containsSemiMixedTypes="0" containsString="0" containsNumber="1" containsInteger="1" minValue="1" maxValue="87" count="48">
        <n v="1"/>
        <n v="2"/>
        <n v="3"/>
        <n v="7"/>
        <n v="12"/>
        <n v="11"/>
        <n v="27"/>
        <n v="10"/>
        <n v="8"/>
        <n v="5"/>
        <n v="19"/>
        <n v="9"/>
        <n v="4"/>
        <n v="6"/>
        <n v="17"/>
        <n v="13"/>
        <n v="18"/>
        <n v="30"/>
        <n v="26"/>
        <n v="29"/>
        <n v="15"/>
        <n v="14"/>
        <n v="62"/>
        <n v="43"/>
        <n v="41"/>
        <n v="24"/>
        <n v="49"/>
        <n v="16"/>
        <n v="20"/>
        <n v="40"/>
        <n v="25"/>
        <n v="28"/>
        <n v="22"/>
        <n v="34"/>
        <n v="36"/>
        <n v="47"/>
        <n v="35"/>
        <n v="31"/>
        <n v="21"/>
        <n v="42"/>
        <n v="33"/>
        <n v="45"/>
        <n v="63"/>
        <n v="38"/>
        <n v="23"/>
        <n v="87"/>
        <n v="32"/>
        <n v="70"/>
      </sharedItems>
      <fieldGroup par="15"/>
    </cacheField>
    <cacheField name="Unit Price" numFmtId="0">
      <sharedItems containsSemiMixedTypes="0" containsString="0" containsNumber="1" minValue="10.199999999999999" maxValue="234.7" count="934">
        <n v="10.9"/>
        <n v="30.6"/>
        <n v="109.4"/>
        <n v="37.700000000000003"/>
        <n v="56.7"/>
        <n v="83.5"/>
        <n v="55.3"/>
        <n v="40.299999999999997"/>
        <n v="35.700000000000003"/>
        <n v="22.4"/>
        <n v="54.4"/>
        <n v="49"/>
        <n v="118.6"/>
        <n v="88.4"/>
        <n v="66.7"/>
        <n v="30.9"/>
        <n v="31.1"/>
        <n v="36.6"/>
        <n v="51.1"/>
        <n v="25.2"/>
        <n v="43.8"/>
        <n v="46.7"/>
        <n v="79.900000000000006"/>
        <n v="26.4"/>
        <n v="88.8"/>
        <n v="17.5"/>
        <n v="38.700000000000003"/>
        <n v="57.2"/>
        <n v="50.9"/>
        <n v="41"/>
        <n v="19.100000000000001"/>
        <n v="166.1"/>
        <n v="29.9"/>
        <n v="21.7"/>
        <n v="32"/>
        <n v="15.8"/>
        <n v="203.1"/>
        <n v="39"/>
        <n v="26.5"/>
        <n v="43.1"/>
        <n v="139"/>
        <n v="80.7"/>
        <n v="54.5"/>
        <n v="68.599999999999994"/>
        <n v="135.9"/>
        <n v="70.900000000000006"/>
        <n v="63.7"/>
        <n v="29.7"/>
        <n v="26.8"/>
        <n v="27"/>
        <n v="41.4"/>
        <n v="24.3"/>
        <n v="41.7"/>
        <n v="18"/>
        <n v="91.3"/>
        <n v="19.3"/>
        <n v="63.2"/>
        <n v="33.299999999999997"/>
        <n v="64.2"/>
        <n v="23.1"/>
        <n v="71.099999999999994"/>
        <n v="11.5"/>
        <n v="69.2"/>
        <n v="31.2"/>
        <n v="113.2"/>
        <n v="21"/>
        <n v="89.1"/>
        <n v="97.7"/>
        <n v="47.4"/>
        <n v="89.6"/>
        <n v="28.4"/>
        <n v="17.899999999999999"/>
        <n v="48.4"/>
        <n v="44.4"/>
        <n v="103.7"/>
        <n v="58.6"/>
        <n v="54.8"/>
        <n v="78.8"/>
        <n v="36.799999999999997"/>
        <n v="50.6"/>
        <n v="41.8"/>
        <n v="77.3"/>
        <n v="19.8"/>
        <n v="15.5"/>
        <n v="46.8"/>
        <n v="28.6"/>
        <n v="54.7"/>
        <n v="130.5"/>
        <n v="50.4"/>
        <n v="61.5"/>
        <n v="30.1"/>
        <n v="74.8"/>
        <n v="64.900000000000006"/>
        <n v="50.5"/>
        <n v="63"/>
        <n v="93.6"/>
        <n v="160"/>
        <n v="10.5"/>
        <n v="53"/>
        <n v="18.5"/>
        <n v="84.5"/>
        <n v="32.6"/>
        <n v="45.4"/>
        <n v="120"/>
        <n v="18.899999999999999"/>
        <n v="37.299999999999997"/>
        <n v="119.8"/>
        <n v="76.5"/>
        <n v="45.7"/>
        <n v="92.6"/>
        <n v="60.1"/>
        <n v="73"/>
        <n v="44.3"/>
        <n v="63.3"/>
        <n v="66.8"/>
        <n v="59.7"/>
        <n v="92"/>
        <n v="87.6"/>
        <n v="116.3"/>
        <n v="52.7"/>
        <n v="34.200000000000003"/>
        <n v="23.3"/>
        <n v="25.9"/>
        <n v="54.9"/>
        <n v="75.8"/>
        <n v="44.9"/>
        <n v="48.8"/>
        <n v="20.3"/>
        <n v="36.4"/>
        <n v="19"/>
        <n v="17.8"/>
        <n v="139.6"/>
        <n v="31.7"/>
        <n v="26.3"/>
        <n v="47.8"/>
        <n v="69.400000000000006"/>
        <n v="25.8"/>
        <n v="15.7"/>
        <n v="39.700000000000003"/>
        <n v="23.4"/>
        <n v="57.1"/>
        <n v="89.9"/>
        <n v="48.1"/>
        <n v="29.3"/>
        <n v="28.8"/>
        <n v="40.5"/>
        <n v="65.099999999999994"/>
        <n v="51.8"/>
        <n v="61.3"/>
        <n v="122.5"/>
        <n v="12.5"/>
        <n v="37.5"/>
        <n v="40"/>
        <n v="38.5"/>
        <n v="86.4"/>
        <n v="50.7"/>
        <n v="61"/>
        <n v="19.899999999999999"/>
        <n v="78.3"/>
        <n v="10.4"/>
        <n v="36.1"/>
        <n v="17.3"/>
        <n v="30.5"/>
        <n v="70.099999999999994"/>
        <n v="76.099999999999994"/>
        <n v="30.3"/>
        <n v="52.5"/>
        <n v="28.7"/>
        <n v="52"/>
        <n v="13.3"/>
        <n v="25.6"/>
        <n v="43.4"/>
        <n v="33.4"/>
        <n v="55"/>
        <n v="23.6"/>
        <n v="104"/>
        <n v="34.5"/>
        <n v="131.5"/>
        <n v="10.199999999999999"/>
        <n v="50.8"/>
        <n v="39.6"/>
        <n v="69.5"/>
        <n v="49.1"/>
        <n v="49.4"/>
        <n v="52.1"/>
        <n v="129.19999999999999"/>
        <n v="81.8"/>
        <n v="24.9"/>
        <n v="22.7"/>
        <n v="109.1"/>
        <n v="53.9"/>
        <n v="21.2"/>
        <n v="69"/>
        <n v="46.2"/>
        <n v="97.4"/>
        <n v="32.700000000000003"/>
        <n v="48"/>
        <n v="68.2"/>
        <n v="62.1"/>
        <n v="33.1"/>
        <n v="35.200000000000003"/>
        <n v="32.1"/>
        <n v="38.1"/>
        <n v="65.2"/>
        <n v="55.2"/>
        <n v="62"/>
        <n v="45.9"/>
        <n v="58.3"/>
        <n v="22.3"/>
        <n v="24"/>
        <n v="21.3"/>
        <n v="57.8"/>
        <n v="67.599999999999994"/>
        <n v="53.1"/>
        <n v="57.4"/>
        <n v="58.1"/>
        <n v="31.8"/>
        <n v="31.5"/>
        <n v="55.9"/>
        <n v="47.3"/>
        <n v="82.5"/>
        <n v="14.3"/>
        <n v="57.6"/>
        <n v="142.4"/>
        <n v="30.2"/>
        <n v="65.3"/>
        <n v="45.1"/>
        <n v="61.7"/>
        <n v="17.600000000000001"/>
        <n v="11.3"/>
        <n v="53.4"/>
        <n v="27.5"/>
        <n v="33.5"/>
        <n v="59.5"/>
        <n v="23.5"/>
        <n v="49.7"/>
        <n v="44.2"/>
        <n v="22.1"/>
        <n v="90.9"/>
        <n v="44.5"/>
        <n v="32.299999999999997"/>
        <n v="87.5"/>
        <n v="48.7"/>
        <n v="22.5"/>
        <n v="65.900000000000006"/>
        <n v="41.9"/>
        <n v="67.5"/>
        <n v="60.4"/>
        <n v="30.4"/>
        <n v="24.5"/>
        <n v="105.9"/>
        <n v="112.3"/>
        <n v="94.1"/>
        <n v="40.700000000000003"/>
        <n v="71.400000000000006"/>
        <n v="15.6"/>
        <n v="37.799999999999997"/>
        <n v="28.1"/>
        <n v="51.4"/>
        <n v="63.8"/>
        <n v="20.100000000000001"/>
        <n v="16.2"/>
        <n v="80.900000000000006"/>
        <n v="95.2"/>
        <n v="70.400000000000006"/>
        <n v="10.7"/>
        <n v="19.600000000000001"/>
        <n v="34.700000000000003"/>
        <n v="34.1"/>
        <n v="26"/>
        <n v="14.2"/>
        <n v="34.9"/>
        <n v="42.7"/>
        <n v="23.9"/>
        <n v="124.3"/>
        <n v="35.9"/>
        <n v="69.099999999999994"/>
        <n v="58.4"/>
        <n v="24.4"/>
        <n v="100"/>
        <n v="43"/>
        <n v="64.400000000000006"/>
        <n v="55.1"/>
        <n v="93.3"/>
        <n v="158.19999999999999"/>
        <n v="74.900000000000006"/>
        <n v="48.5"/>
        <n v="98.9"/>
        <n v="84.7"/>
        <n v="20.7"/>
        <n v="106.9"/>
        <n v="45.2"/>
        <n v="34.6"/>
        <n v="20.399999999999999"/>
        <n v="36.700000000000003"/>
        <n v="27.2"/>
        <n v="58.2"/>
        <n v="48.2"/>
        <n v="83.4"/>
        <n v="45.3"/>
        <n v="42"/>
        <n v="21.8"/>
        <n v="21.4"/>
        <n v="45"/>
        <n v="79.8"/>
        <n v="63.6"/>
        <n v="92.7"/>
        <n v="36"/>
        <n v="49.9"/>
        <n v="51.7"/>
        <n v="36.200000000000003"/>
        <n v="150.9"/>
        <n v="77.599999999999994"/>
        <n v="65.5"/>
        <n v="90.1"/>
        <n v="108.3"/>
        <n v="59.9"/>
        <n v="87.3"/>
        <n v="42.3"/>
        <n v="103.6"/>
        <n v="100.9"/>
        <n v="83.3"/>
        <n v="60.3"/>
        <n v="120.3"/>
        <n v="34"/>
        <n v="42.6"/>
        <n v="74"/>
        <n v="69.3"/>
        <n v="81"/>
        <n v="41.5"/>
        <n v="69.7"/>
        <n v="83.6"/>
        <n v="21.5"/>
        <n v="18.8"/>
        <n v="35.1"/>
        <n v="12.7"/>
        <n v="27.4"/>
        <n v="64.7"/>
        <n v="91.4"/>
        <n v="105.6"/>
        <n v="46.4"/>
        <n v="35.299999999999997"/>
        <n v="16.100000000000001"/>
        <n v="27.9"/>
        <n v="47.1"/>
        <n v="85"/>
        <n v="89"/>
        <n v="43.5"/>
        <n v="107.7"/>
        <n v="111.7"/>
        <n v="95.8"/>
        <n v="22.6"/>
        <n v="54.3"/>
        <n v="51.3"/>
        <n v="46.1"/>
        <n v="36.5"/>
        <n v="47.5"/>
        <n v="45.6"/>
        <n v="99.8"/>
        <n v="19.2"/>
        <n v="126.9"/>
        <n v="100.3"/>
        <n v="24.6"/>
        <n v="40.799999999999997"/>
        <n v="49.2"/>
        <n v="28.5"/>
        <n v="62.5"/>
        <n v="47.9"/>
        <n v="92.9"/>
        <n v="44.1"/>
        <n v="11.4"/>
        <n v="83.7"/>
        <n v="23.2"/>
        <n v="162.1"/>
        <n v="75.3"/>
        <n v="31.3"/>
        <n v="85.4"/>
        <n v="114.8"/>
        <n v="73.2"/>
        <n v="48.6"/>
        <n v="32.200000000000003"/>
        <n v="94.8"/>
        <n v="56.8"/>
        <n v="18.3"/>
        <n v="16.8"/>
        <n v="35.799999999999997"/>
        <n v="103.5"/>
        <n v="41.2"/>
        <n v="15.2"/>
        <n v="27.7"/>
        <n v="20.8"/>
        <n v="72.7"/>
        <n v="38.6"/>
        <n v="69.599999999999994"/>
        <n v="42.4"/>
        <n v="58.9"/>
        <n v="59.8"/>
        <n v="41.3"/>
        <n v="16"/>
        <n v="27.1"/>
        <n v="38.9"/>
        <n v="10.8"/>
        <n v="29.2"/>
        <n v="25.1"/>
        <n v="65.599999999999994"/>
        <n v="57.3"/>
        <n v="39.200000000000003"/>
        <n v="62.7"/>
        <n v="11.2"/>
        <n v="22.9"/>
        <n v="37.6"/>
        <n v="90.5"/>
        <n v="33.9"/>
        <n v="32.799999999999997"/>
        <n v="79.2"/>
        <n v="19.5"/>
        <n v="167.2"/>
        <n v="74.5"/>
        <n v="39.299999999999997"/>
        <n v="68.5"/>
        <n v="94"/>
        <n v="21.9"/>
        <n v="52.9"/>
        <n v="25.5"/>
        <n v="51.9"/>
        <n v="46.3"/>
        <n v="11.9"/>
        <n v="63.5"/>
        <n v="82.1"/>
        <n v="42.9"/>
        <n v="37.9"/>
        <n v="70.599999999999994"/>
        <n v="49.5"/>
        <n v="96.6"/>
        <n v="52.8"/>
        <n v="101.7"/>
        <n v="26.9"/>
        <n v="211"/>
        <n v="21.1"/>
        <n v="26.6"/>
        <n v="51.2"/>
        <n v="10.6"/>
        <n v="80"/>
        <n v="42.8"/>
        <n v="64.099999999999994"/>
        <n v="83.1"/>
        <n v="40.9"/>
        <n v="125.7"/>
        <n v="56.5"/>
        <n v="85.8"/>
        <n v="66.599999999999994"/>
        <n v="70.3"/>
        <n v="31"/>
        <n v="81.599999999999994"/>
        <n v="80.2"/>
        <n v="15.4"/>
        <n v="65.400000000000006"/>
        <n v="26.2"/>
        <n v="43.6"/>
        <n v="53.2"/>
        <n v="105.4"/>
        <n v="57.7"/>
        <n v="72.400000000000006"/>
        <n v="11.6"/>
        <n v="40.1"/>
        <n v="18.600000000000001"/>
        <n v="58.8"/>
        <n v="114.9"/>
        <n v="20.6"/>
        <n v="67.900000000000006"/>
        <n v="62.4"/>
        <n v="70.8"/>
        <n v="56.6"/>
        <n v="78.400000000000006"/>
        <n v="122.1"/>
        <n v="97.9"/>
        <n v="15"/>
        <n v="94.6"/>
        <n v="19.7"/>
        <n v="86.8"/>
        <n v="61.6"/>
        <n v="130.69999999999999"/>
        <n v="94.4"/>
        <n v="23.7"/>
        <n v="37.4"/>
        <n v="105"/>
        <n v="24.8"/>
        <n v="75"/>
        <n v="169.9"/>
        <n v="72.2"/>
        <n v="20"/>
        <n v="58"/>
        <n v="74.7"/>
        <n v="128.19999999999999"/>
        <n v="26.7"/>
        <n v="55.6"/>
        <n v="15.9"/>
        <n v="64.8"/>
        <n v="32.4"/>
        <n v="177.4"/>
        <n v="30"/>
        <n v="61.1"/>
        <n v="55.8"/>
        <n v="14.6"/>
        <n v="32.5"/>
        <n v="78.099999999999994"/>
        <n v="110.2"/>
        <n v="86.3"/>
        <n v="73.599999999999994"/>
        <n v="67.7"/>
        <n v="142.19999999999999"/>
        <n v="45.8"/>
        <n v="24.2"/>
        <n v="144.9"/>
        <n v="54.6"/>
        <n v="52.4"/>
        <n v="144.4"/>
        <n v="117.5"/>
        <n v="105.7"/>
        <n v="133.69999999999999"/>
        <n v="92.3"/>
        <n v="81.7"/>
        <n v="43.2"/>
        <n v="59.1"/>
        <n v="72.8"/>
        <n v="137.30000000000001"/>
        <n v="53.7"/>
        <n v="88.9"/>
        <n v="46.9"/>
        <n v="118.7"/>
        <n v="60.5"/>
        <n v="112"/>
        <n v="33.700000000000003"/>
        <n v="35.6"/>
        <n v="50.2"/>
        <n v="43.7"/>
        <n v="15.1"/>
        <n v="118.2"/>
        <n v="28.9"/>
        <n v="99.4"/>
        <n v="102.5"/>
        <n v="31.4"/>
        <n v="59.3"/>
        <n v="98.6"/>
        <n v="46"/>
        <n v="38"/>
        <n v="79.7"/>
        <n v="61.8"/>
        <n v="44"/>
        <n v="95.7"/>
        <n v="47.2"/>
        <n v="57"/>
        <n v="60.7"/>
        <n v="60.8"/>
        <n v="64.599999999999994"/>
        <n v="84.9"/>
        <n v="62.3"/>
        <n v="39.5"/>
        <n v="96"/>
        <n v="72.599999999999994"/>
        <n v="115.1"/>
        <n v="79"/>
        <n v="107.9"/>
        <n v="66.5"/>
        <n v="84.8"/>
        <n v="63.9"/>
        <n v="116.2"/>
        <n v="42.2"/>
        <n v="94.7"/>
        <n v="16.7"/>
        <n v="33.6"/>
        <n v="37"/>
        <n v="55.5"/>
        <n v="95.3"/>
        <n v="52.3"/>
        <n v="112.2"/>
        <n v="56.4"/>
        <n v="75.5"/>
        <n v="70.7"/>
        <n v="70"/>
        <n v="20.5"/>
        <n v="29.1"/>
        <n v="53.6"/>
        <n v="72.3"/>
        <n v="133.80000000000001"/>
        <n v="18.7"/>
        <n v="108.8"/>
        <n v="46.5"/>
        <n v="20.9"/>
        <n v="53.8"/>
        <n v="31.9"/>
        <n v="48.3"/>
        <n v="21.6"/>
        <n v="103"/>
        <n v="46.6"/>
        <n v="22"/>
        <n v="68.7"/>
        <n v="22.2"/>
        <n v="71.599999999999994"/>
        <n v="51.5"/>
        <n v="45.5"/>
        <n v="33.799999999999997"/>
        <n v="85.3"/>
        <n v="74.400000000000006"/>
        <n v="11.8"/>
        <n v="24.7"/>
        <n v="18.100000000000001"/>
        <n v="30.8"/>
        <n v="12"/>
        <n v="13.6"/>
        <n v="111.4"/>
        <n v="80.3"/>
        <n v="50.3"/>
        <n v="44.7"/>
        <n v="33"/>
        <n v="26.1"/>
        <n v="167.9"/>
        <n v="104.5"/>
        <n v="67.3"/>
        <n v="32.9"/>
        <n v="100.8"/>
        <n v="166.2"/>
        <n v="116.6"/>
        <n v="56.2"/>
        <n v="42.1"/>
        <n v="22.8"/>
        <n v="171.1"/>
        <n v="28"/>
        <n v="56"/>
        <n v="38.299999999999997"/>
        <n v="30.7"/>
        <n v="25.3"/>
        <n v="39.4"/>
        <n v="66.400000000000006"/>
        <n v="56.1"/>
        <n v="58.5"/>
        <n v="84.2"/>
        <n v="135"/>
        <n v="92.2"/>
        <n v="16.600000000000001"/>
        <n v="176.7"/>
        <n v="54"/>
        <n v="47"/>
        <n v="110.9"/>
        <n v="39.1"/>
        <n v="208.6"/>
        <n v="27.8"/>
        <n v="29.4"/>
        <n v="174.1"/>
        <n v="106.6"/>
        <n v="119.7"/>
        <n v="73.3"/>
        <n v="139.19999999999999"/>
        <n v="104.4"/>
        <n v="41.6"/>
        <n v="16.399999999999999"/>
        <n v="122.7"/>
        <n v="68.400000000000006"/>
        <n v="117"/>
        <n v="49.6"/>
        <n v="49.3"/>
        <n v="24.1"/>
        <n v="149.6"/>
        <n v="129.1"/>
        <n v="40.4"/>
        <n v="38.799999999999997"/>
        <n v="68"/>
        <n v="66.2"/>
        <n v="66.900000000000006"/>
        <n v="29.5"/>
        <n v="115"/>
        <n v="109.3"/>
        <n v="47.7"/>
        <n v="70.2"/>
        <n v="71.5"/>
        <n v="112.9"/>
        <n v="159.69999999999999"/>
        <n v="91.1"/>
        <n v="15.3"/>
        <n v="25.7"/>
        <n v="31.6"/>
        <n v="106.1"/>
        <n v="82.9"/>
        <n v="107.1"/>
        <n v="59.6"/>
        <n v="78.7"/>
        <n v="29.6"/>
        <n v="42.5"/>
        <n v="154.80000000000001"/>
        <n v="88.6"/>
        <n v="29"/>
        <n v="87.4"/>
        <n v="141"/>
        <n v="77.5"/>
        <n v="163"/>
        <n v="34.299999999999997"/>
        <n v="117.2"/>
        <n v="80.5"/>
        <n v="106.2"/>
        <n v="52.6"/>
        <n v="134.9"/>
        <n v="60.6"/>
        <n v="187.1"/>
        <n v="110.8"/>
        <n v="68.3"/>
        <n v="43.3"/>
        <n v="54.2"/>
        <n v="51"/>
        <n v="220.3"/>
        <n v="97.8"/>
        <n v="77.900000000000006"/>
        <n v="36.9"/>
        <n v="190.4"/>
        <n v="121.9"/>
        <n v="149.19999999999999"/>
        <n v="54.1"/>
        <n v="78.599999999999994"/>
        <n v="134.80000000000001"/>
        <n v="215.6"/>
        <n v="37.1"/>
        <n v="104.8"/>
        <n v="59"/>
        <n v="40.6"/>
        <n v="88.7"/>
        <n v="86.9"/>
        <n v="68.900000000000006"/>
        <n v="84"/>
        <n v="17.2"/>
        <n v="51.6"/>
        <n v="98"/>
        <n v="66.3"/>
        <n v="127.6"/>
        <n v="95.9"/>
        <n v="105.3"/>
        <n v="63.4"/>
        <n v="68.099999999999994"/>
        <n v="20.2"/>
        <n v="59.2"/>
        <n v="60.2"/>
        <n v="91.5"/>
        <n v="55.7"/>
        <n v="76.7"/>
        <n v="28.2"/>
        <n v="93.2"/>
        <n v="85.2"/>
        <n v="88"/>
        <n v="74.099999999999994"/>
        <n v="161.9"/>
        <n v="67.400000000000006"/>
        <n v="115.2"/>
        <n v="61.2"/>
        <n v="38.200000000000003"/>
        <n v="74.599999999999994"/>
        <n v="85.7"/>
        <n v="92.1"/>
        <n v="29.8"/>
        <n v="108.9"/>
        <n v="66.099999999999994"/>
        <n v="41.1"/>
        <n v="39.799999999999997"/>
        <n v="71.3"/>
        <n v="64"/>
        <n v="18.2"/>
        <n v="90.4"/>
        <n v="125.9"/>
        <n v="99.5"/>
        <n v="34.4"/>
        <n v="76.2"/>
        <n v="85.6"/>
        <n v="25"/>
        <n v="150.69999999999999"/>
        <n v="17"/>
        <n v="103.2"/>
        <n v="73.8"/>
        <n v="71.900000000000006"/>
        <n v="35"/>
        <n v="121"/>
        <n v="77.7"/>
        <n v="124.1"/>
        <n v="66"/>
        <n v="64.3"/>
        <n v="158.5"/>
        <n v="107.8"/>
        <n v="67.099999999999994"/>
        <n v="132.1"/>
        <n v="58.7"/>
        <n v="144.69999999999999"/>
        <n v="57.9"/>
        <n v="44.8"/>
        <n v="53.5"/>
        <n v="37.200000000000003"/>
        <n v="36.299999999999997"/>
        <n v="110.5"/>
        <n v="52.2"/>
        <n v="68.8"/>
        <n v="128.80000000000001"/>
        <n v="115.9"/>
        <n v="86"/>
        <n v="84.6"/>
        <n v="123.9"/>
        <n v="118.3"/>
        <n v="121.6"/>
        <n v="115.7"/>
        <n v="35.5"/>
        <n v="85.9"/>
        <n v="28.3"/>
        <n v="163.30000000000001"/>
        <n v="27.3"/>
        <n v="87.2"/>
        <n v="125.5"/>
        <n v="124.6"/>
        <n v="39.9"/>
        <n v="96.5"/>
        <n v="86.1"/>
        <n v="115.4"/>
        <n v="176.5"/>
        <n v="48.9"/>
        <n v="118.5"/>
        <n v="97.5"/>
        <n v="133"/>
        <n v="91.2"/>
        <n v="62.9"/>
        <n v="12.4"/>
        <n v="76"/>
        <n v="93.4"/>
        <n v="143.19999999999999"/>
        <n v="13.7"/>
        <n v="80.8"/>
        <n v="76.8"/>
        <n v="62.6"/>
        <n v="81.2"/>
        <n v="95"/>
        <n v="172.1"/>
        <n v="233"/>
        <n v="65.8"/>
        <n v="102.4"/>
        <n v="75.900000000000006"/>
        <n v="136.5"/>
        <n v="140.69999999999999"/>
        <n v="135.1"/>
        <n v="95.5"/>
        <n v="60"/>
        <n v="55.4"/>
        <n v="27.6"/>
        <n v="82.4"/>
        <n v="84.4"/>
        <n v="33.200000000000003"/>
        <n v="124.2"/>
        <n v="217"/>
        <n v="97.3"/>
        <n v="49.8"/>
        <n v="111.1"/>
        <n v="104.7"/>
        <n v="80.599999999999994"/>
        <n v="61.4"/>
        <n v="25.4"/>
        <n v="18.399999999999999"/>
        <n v="16.3"/>
        <n v="73.900000000000006"/>
        <n v="75.599999999999994"/>
        <n v="11.7"/>
        <n v="83.8"/>
        <n v="14"/>
        <n v="76.900000000000006"/>
        <n v="94.5"/>
        <n v="152.19999999999999"/>
        <n v="72"/>
        <n v="107.5"/>
        <n v="123.1"/>
        <n v="50.1"/>
        <n v="81.400000000000006"/>
        <n v="97.6"/>
        <n v="84.3"/>
        <n v="117.9"/>
        <n v="85.1"/>
        <n v="100.7"/>
        <n v="97"/>
        <n v="12.2"/>
        <n v="151"/>
        <n v="16.5"/>
        <n v="176"/>
        <n v="56.9"/>
        <n v="105.2"/>
        <n v="84.1"/>
        <n v="57.5"/>
        <n v="12.8"/>
        <n v="115.3"/>
        <n v="23"/>
        <n v="13.2"/>
        <n v="80.099999999999994"/>
        <n v="83.2"/>
        <n v="157"/>
        <n v="107.4"/>
        <n v="17.399999999999999"/>
        <n v="234.7"/>
        <n v="93.9"/>
        <n v="187"/>
        <n v="76.599999999999994"/>
        <n v="78.5"/>
        <n v="72.900000000000006"/>
        <n v="96.7"/>
        <n v="106"/>
        <n v="80.400000000000006"/>
        <n v="76.400000000000006"/>
        <n v="102.3"/>
        <n v="13.8"/>
        <n v="121.3"/>
        <n v="145.69999999999999"/>
        <n v="35.4"/>
        <n v="85.5"/>
        <n v="43.9"/>
        <n v="70.5"/>
        <n v="154.4"/>
        <n v="75.400000000000006"/>
        <n v="208.2"/>
        <n v="118.4"/>
        <n v="125.3"/>
        <n v="182.3"/>
        <n v="19.399999999999999"/>
        <n v="101.4"/>
        <n v="109.2"/>
        <n v="82.8"/>
        <n v="83.9"/>
        <n v="92.4"/>
        <n v="152.6"/>
        <n v="71.7"/>
        <n v="44.6"/>
        <n v="153.6"/>
        <n v="71.8"/>
        <n v="16.899999999999999"/>
        <n v="121.4"/>
        <n v="40.200000000000003"/>
        <n v="12.3"/>
        <n v="117.8"/>
      </sharedItems>
      <fieldGroup par="18"/>
    </cacheField>
    <cacheField name="Amount" numFmtId="0">
      <sharedItems containsSemiMixedTypes="0" containsString="0" containsNumber="1" minValue="10.9" maxValue="7446.6" count="1764">
        <n v="10.9"/>
        <n v="61.2"/>
        <n v="328.20000000000005"/>
        <n v="263.90000000000003"/>
        <n v="170.10000000000002"/>
        <n v="1002"/>
        <n v="55.3"/>
        <n v="80.599999999999994"/>
        <n v="392.70000000000005"/>
        <n v="156.79999999999998"/>
        <n v="108.8"/>
        <n v="98"/>
        <n v="830.19999999999993"/>
        <n v="2386.8000000000002"/>
        <n v="66.7"/>
        <n v="309"/>
        <n v="93.300000000000011"/>
        <n v="109.80000000000001"/>
        <n v="408.8"/>
        <n v="25.2"/>
        <n v="219"/>
        <n v="560.40000000000009"/>
        <n v="1518.1000000000001"/>
        <n v="211.2"/>
        <n v="710.4"/>
        <n v="175"/>
        <n v="348.3"/>
        <n v="228.8"/>
        <n v="254.5"/>
        <n v="287"/>
        <n v="133.70000000000002"/>
        <n v="830.5"/>
        <n v="89.699999999999989"/>
        <n v="130.19999999999999"/>
        <n v="64"/>
        <n v="31.6"/>
        <n v="3452.7"/>
        <n v="507"/>
        <n v="26.5"/>
        <n v="43.1"/>
        <n v="417"/>
        <n v="80.7"/>
        <n v="109"/>
        <n v="205.79999999999998"/>
        <n v="543.6"/>
        <n v="283.60000000000002"/>
        <n v="318.5"/>
        <n v="29.7"/>
        <n v="80.400000000000006"/>
        <n v="27"/>
        <n v="41.4"/>
        <n v="48.6"/>
        <n v="125.10000000000001"/>
        <n v="36"/>
        <n v="273.89999999999998"/>
        <n v="154.4"/>
        <n v="821.6"/>
        <n v="299.7"/>
        <n v="128.4"/>
        <n v="69.300000000000011"/>
        <n v="142.19999999999999"/>
        <n v="23"/>
        <n v="1314.8"/>
        <n v="26.8"/>
        <n v="93.6"/>
        <n v="226.4"/>
        <n v="168"/>
        <n v="178.2"/>
        <n v="97.7"/>
        <n v="390.8"/>
        <n v="89.6"/>
        <n v="511.2"/>
        <n v="35.799999999999997"/>
        <n v="96.8"/>
        <n v="177.6"/>
        <n v="829.6"/>
        <n v="234.4"/>
        <n v="219.2"/>
        <n v="236.39999999999998"/>
        <n v="184"/>
        <n v="303.60000000000002"/>
        <n v="110.39999999999999"/>
        <n v="376.2"/>
        <n v="77.3"/>
        <n v="79.2"/>
        <n v="62"/>
        <n v="46.8"/>
        <n v="257.40000000000003"/>
        <n v="273.5"/>
        <n v="783"/>
        <n v="100.8"/>
        <n v="799.5"/>
        <n v="120.4"/>
        <n v="374"/>
        <n v="194.70000000000002"/>
        <n v="101"/>
        <n v="441"/>
        <n v="280.79999999999995"/>
        <n v="1242"/>
        <n v="320"/>
        <n v="115.5"/>
        <n v="106"/>
        <n v="55.5"/>
        <n v="253.5"/>
        <n v="218.4"/>
        <n v="586.80000000000007"/>
        <n v="181.6"/>
        <n v="1440"/>
        <n v="75.599999999999994"/>
        <n v="32"/>
        <n v="74.599999999999994"/>
        <n v="119.8"/>
        <n v="52.8"/>
        <n v="459"/>
        <n v="457"/>
        <n v="1111.1999999999998"/>
        <n v="360.6"/>
        <n v="132.89999999999998"/>
        <n v="189.89999999999998"/>
        <n v="66.8"/>
        <n v="119.4"/>
        <n v="552"/>
        <n v="175.2"/>
        <n v="232.6"/>
        <n v="263.5"/>
        <n v="102.60000000000001"/>
        <n v="23.3"/>
        <n v="673.4"/>
        <n v="1592.1"/>
        <n v="227.39999999999998"/>
        <n v="404.09999999999997"/>
        <n v="97.6"/>
        <n v="20.3"/>
        <n v="254.79999999999998"/>
        <n v="19"/>
        <n v="17.8"/>
        <n v="837.59999999999991"/>
        <n v="31.7"/>
        <n v="210.4"/>
        <n v="95.6"/>
        <n v="208.20000000000002"/>
        <n v="309.60000000000002"/>
        <n v="105.6"/>
        <n v="62.8"/>
        <n v="39.700000000000003"/>
        <n v="124.4"/>
        <n v="351"/>
        <n v="228.4"/>
        <n v="449.5"/>
        <n v="336.7"/>
        <n v="58.6"/>
        <n v="115.2"/>
        <n v="202.5"/>
        <n v="911.39999999999986"/>
        <n v="161.19999999999999"/>
        <n v="259"/>
        <n v="183.89999999999998"/>
        <n v="490"/>
        <n v="112.5"/>
        <n v="300"/>
        <n v="120"/>
        <n v="308"/>
        <n v="172.8"/>
        <n v="50.7"/>
        <n v="122"/>
        <n v="39.799999999999997"/>
        <n v="78.3"/>
        <n v="197.6"/>
        <n v="36.1"/>
        <n v="34.6"/>
        <n v="61"/>
        <n v="4346.2"/>
        <n v="76.099999999999994"/>
        <n v="444.6"/>
        <n v="151.5"/>
        <n v="262.5"/>
        <n v="315.7"/>
        <n v="364"/>
        <n v="13.3"/>
        <n v="47.099999999999994"/>
        <n v="51.2"/>
        <n v="43.4"/>
        <n v="300.59999999999997"/>
        <n v="1045"/>
        <n v="70.800000000000011"/>
        <n v="936"/>
        <n v="103.6"/>
        <n v="172.5"/>
        <n v="5654.5"/>
        <n v="334.59999999999997"/>
        <n v="20.399999999999999"/>
        <n v="328"/>
        <n v="355.59999999999997"/>
        <n v="118.80000000000001"/>
        <n v="139"/>
        <n v="260.8"/>
        <n v="98.2"/>
        <n v="98.8"/>
        <n v="455.69999999999993"/>
        <n v="104.2"/>
        <n v="516.79999999999995"/>
        <n v="1554.2"/>
        <n v="24.9"/>
        <n v="148.19999999999999"/>
        <n v="45.4"/>
        <n v="545.5"/>
        <n v="215.6"/>
        <n v="551.19999999999993"/>
        <n v="276"/>
        <n v="138.60000000000002"/>
        <n v="487"/>
        <n v="105"/>
        <n v="65.400000000000006"/>
        <n v="192"/>
        <n v="204.60000000000002"/>
        <n v="107.8"/>
        <n v="248.4"/>
        <n v="231.70000000000002"/>
        <n v="176"/>
        <n v="96.300000000000011"/>
        <n v="38.1"/>
        <n v="65.2"/>
        <n v="386.40000000000003"/>
        <n v="137.69999999999999"/>
        <n v="174.89999999999998"/>
        <n v="44.6"/>
        <n v="213"/>
        <n v="2369.7999999999997"/>
        <n v="202.79999999999998"/>
        <n v="400.20000000000005"/>
        <n v="212.4"/>
        <n v="172.2"/>
        <n v="290.5"/>
        <n v="95.4"/>
        <n v="94.5"/>
        <n v="391.3"/>
        <n v="72.8"/>
        <n v="236.5"/>
        <n v="247.5"/>
        <n v="14.3"/>
        <n v="345.6"/>
        <n v="427.20000000000005"/>
        <n v="30.2"/>
        <n v="195.89999999999998"/>
        <n v="90.2"/>
        <n v="431.90000000000003"/>
        <n v="135.30000000000001"/>
        <n v="113.5"/>
        <n v="17.600000000000001"/>
        <n v="22.6"/>
        <n v="160.19999999999999"/>
        <n v="562.1"/>
        <n v="55"/>
        <n v="33.5"/>
        <n v="59.5"/>
        <n v="94"/>
        <n v="49.7"/>
        <n v="176.8"/>
        <n v="22.1"/>
        <n v="272.70000000000005"/>
        <n v="133.5"/>
        <n v="193.79999999999998"/>
        <n v="243.5"/>
        <n v="527.20000000000005"/>
        <n v="209.5"/>
        <n v="337.5"/>
        <n v="60.4"/>
        <n v="212.79999999999998"/>
        <n v="49"/>
        <n v="317.70000000000005"/>
        <n v="621.59999999999991"/>
        <n v="200.39999999999998"/>
        <n v="336.9"/>
        <n v="564.59999999999991"/>
        <n v="40.700000000000003"/>
        <n v="142.80000000000001"/>
        <n v="280.8"/>
        <n v="151.19999999999999"/>
        <n v="84.300000000000011"/>
        <n v="308.39999999999998"/>
        <n v="195.4"/>
        <n v="255.2"/>
        <n v="40.200000000000003"/>
        <n v="16.2"/>
        <n v="566.30000000000007"/>
        <n v="571.20000000000005"/>
        <n v="563.20000000000005"/>
        <n v="53.5"/>
        <n v="381.70000000000005"/>
        <n v="306.90000000000003"/>
        <n v="1435.7"/>
        <n v="55.2"/>
        <n v="78"/>
        <n v="28.4"/>
        <n v="204.29999999999998"/>
        <n v="297"/>
        <n v="95.1"/>
        <n v="121.6"/>
        <n v="102.4"/>
        <n v="69.8"/>
        <n v="256.20000000000005"/>
        <n v="23.9"/>
        <n v="124.3"/>
        <n v="215.39999999999998"/>
        <n v="138.19999999999999"/>
        <n v="58.4"/>
        <n v="555.90000000000009"/>
        <n v="170.79999999999998"/>
        <n v="200"/>
        <n v="129"/>
        <n v="322"/>
        <n v="114.8"/>
        <n v="165.3"/>
        <n v="279.89999999999998"/>
        <n v="3005.7999999999997"/>
        <n v="149.80000000000001"/>
        <n v="182"/>
        <n v="225"/>
        <n v="151.6"/>
        <n v="48.5"/>
        <n v="296.70000000000005"/>
        <n v="610.79999999999995"/>
        <n v="508.20000000000005"/>
        <n v="20.7"/>
        <n v="520.19999999999993"/>
        <n v="213.8"/>
        <n v="226"/>
        <n v="449.8"/>
        <n v="43.8"/>
        <n v="36.700000000000003"/>
        <n v="81.599999999999994"/>
        <n v="58.2"/>
        <n v="76.800000000000011"/>
        <n v="21.2"/>
        <n v="96.4"/>
        <n v="333.6"/>
        <n v="135.89999999999998"/>
        <n v="42"/>
        <n v="196.20000000000002"/>
        <n v="385.2"/>
        <n v="135"/>
        <n v="39.6"/>
        <n v="239.39999999999998"/>
        <n v="254.4"/>
        <n v="927"/>
        <n v="193.6"/>
        <n v="288"/>
        <n v="324"/>
        <n v="431.2"/>
        <n v="435.59999999999997"/>
        <n v="99.8"/>
        <n v="155.10000000000002"/>
        <n v="125.39999999999999"/>
        <n v="144.80000000000001"/>
        <n v="150.9"/>
        <n v="310.39999999999998"/>
        <n v="327.5"/>
        <n v="270.29999999999995"/>
        <n v="216.6"/>
        <n v="179.7"/>
        <n v="2363"/>
        <n v="261.89999999999998"/>
        <n v="169.2"/>
        <n v="828.8"/>
        <n v="181.8"/>
        <n v="1614.4"/>
        <n v="180"/>
        <n v="499.79999999999995"/>
        <n v="1025.0999999999999"/>
        <n v="721.8"/>
        <n v="340"/>
        <n v="948"/>
        <n v="74"/>
        <n v="302"/>
        <n v="138.6"/>
        <n v="405"/>
        <n v="124.5"/>
        <n v="139.4"/>
        <n v="418"/>
        <n v="150.5"/>
        <n v="112.80000000000001"/>
        <n v="140.4"/>
        <n v="25.4"/>
        <n v="137"/>
        <n v="122.6"/>
        <n v="129.4"/>
        <n v="365.6"/>
        <n v="66.2"/>
        <n v="139.19999999999999"/>
        <n v="494.19999999999993"/>
        <n v="32.200000000000003"/>
        <n v="55.8"/>
        <n v="47.1"/>
        <n v="170"/>
        <n v="178"/>
        <n v="304.5"/>
        <n v="579.5"/>
        <n v="215.4"/>
        <n v="1484.6000000000001"/>
        <n v="1117"/>
        <n v="310.09999999999997"/>
        <n v="766.4"/>
        <n v="158.20000000000002"/>
        <n v="204.8"/>
        <n v="868.8"/>
        <n v="666.9"/>
        <n v="31.2"/>
        <n v="90.9"/>
        <n v="60.6"/>
        <n v="159"/>
        <n v="1078.2"/>
        <n v="91.4"/>
        <n v="184.4"/>
        <n v="52.5"/>
        <n v="109.5"/>
        <n v="95"/>
        <n v="228"/>
        <n v="998"/>
        <n v="67.800000000000011"/>
        <n v="1903.5"/>
        <n v="200.6"/>
        <n v="442.8"/>
        <n v="94.6"/>
        <n v="285.59999999999997"/>
        <n v="393.6"/>
        <n v="28.5"/>
        <n v="73.599999999999994"/>
        <n v="100.5"/>
        <n v="375"/>
        <n v="1916"/>
        <n v="557.40000000000009"/>
        <n v="132.30000000000001"/>
        <n v="11.4"/>
        <n v="83.7"/>
        <n v="46.4"/>
        <n v="162.1"/>
        <n v="196.8"/>
        <n v="531"/>
        <n v="44.8"/>
        <n v="376.5"/>
        <n v="42.6"/>
        <n v="245"/>
        <n v="93.9"/>
        <n v="170.8"/>
        <n v="160"/>
        <n v="77"/>
        <n v="115.6"/>
        <n v="19.2"/>
        <n v="688.8"/>
        <n v="338.8"/>
        <n v="366"/>
        <n v="97.2"/>
        <n v="292.20000000000005"/>
        <n v="64.400000000000006"/>
        <n v="206.4"/>
        <n v="189.6"/>
        <n v="1420"/>
        <n v="292.8"/>
        <n v="50.400000000000006"/>
        <n v="393.79999999999995"/>
        <n v="64.900000000000006"/>
        <n v="207"/>
        <n v="82.4"/>
        <n v="37.799999999999997"/>
        <n v="85.2"/>
        <n v="152"/>
        <n v="55.4"/>
        <n v="249.60000000000002"/>
        <n v="145.4"/>
        <n v="42.4"/>
        <n v="83"/>
        <n v="530.1"/>
        <n v="57.1"/>
        <n v="57.2"/>
        <n v="70.2"/>
        <n v="52.1"/>
        <n v="179.39999999999998"/>
        <n v="333.2"/>
        <n v="495.59999999999997"/>
        <n v="80"/>
        <n v="41.6"/>
        <n v="758.80000000000007"/>
        <n v="77.8"/>
        <n v="21.6"/>
        <n v="629.19999999999993"/>
        <n v="87.6"/>
        <n v="50.2"/>
        <n v="196.79999999999998"/>
        <n v="114.6"/>
        <n v="411.3"/>
        <n v="1628"/>
        <n v="78.400000000000006"/>
        <n v="1065.9000000000001"/>
        <n v="120.2"/>
        <n v="45.8"/>
        <n v="75.2"/>
        <n v="39.200000000000003"/>
        <n v="90.5"/>
        <n v="372.9"/>
        <n v="65.599999999999994"/>
        <n v="49.9"/>
        <n v="396"/>
        <n v="312"/>
        <n v="72"/>
        <n v="41.2"/>
        <n v="1672"/>
        <n v="2235"/>
        <n v="157.19999999999999"/>
        <n v="68.5"/>
        <n v="67.5"/>
        <n v="48"/>
        <n v="65.699999999999989"/>
        <n v="454.30000000000007"/>
        <n v="52.9"/>
        <n v="76.5"/>
        <n v="155.69999999999999"/>
        <n v="46.3"/>
        <n v="136.4"/>
        <n v="40.299999999999997"/>
        <n v="35.700000000000003"/>
        <n v="127"/>
        <n v="54.2"/>
        <n v="164.2"/>
        <n v="214.5"/>
        <n v="416.9"/>
        <n v="22.4"/>
        <n v="1038.7"/>
        <n v="70.599999999999994"/>
        <n v="49.5"/>
        <n v="193.2"/>
        <n v="101.7"/>
        <n v="134.5"/>
        <n v="844"/>
        <n v="84.4"/>
        <n v="26.6"/>
        <n v="53"/>
        <n v="258.8"/>
        <n v="289.3"/>
        <n v="47.8"/>
        <n v="128.39999999999998"/>
        <n v="234"/>
        <n v="641"/>
        <n v="89.1"/>
        <n v="249.29999999999998"/>
        <n v="122.69999999999999"/>
        <n v="251.4"/>
        <n v="61.8"/>
        <n v="36.6"/>
        <n v="113"/>
        <n v="209.29999999999998"/>
        <n v="85.8"/>
        <n v="1065.5999999999999"/>
        <n v="281.2"/>
        <n v="124"/>
        <n v="489.59999999999997"/>
        <n v="1457.5"/>
        <n v="80.2"/>
        <n v="117.60000000000001"/>
        <n v="30.8"/>
        <n v="505.6"/>
        <n v="214.20000000000002"/>
        <n v="524"/>
        <n v="150.80000000000001"/>
        <n v="1482.4"/>
        <n v="69.2"/>
        <n v="116.4"/>
        <n v="532"/>
        <n v="306.60000000000002"/>
        <n v="105.4"/>
        <n v="57.7"/>
        <n v="125"/>
        <n v="55.800000000000004"/>
        <n v="58.8"/>
        <n v="44.2"/>
        <n v="114.9"/>
        <n v="379"/>
        <n v="103"/>
        <n v="203.70000000000002"/>
        <n v="50.6"/>
        <n v="110.5"/>
        <n v="128.69999999999999"/>
        <n v="686.4"/>
        <n v="327.59999999999997"/>
        <n v="45"/>
        <n v="283.2"/>
        <n v="283"/>
        <n v="95.8"/>
        <n v="627.20000000000005"/>
        <n v="1709.3999999999999"/>
        <n v="167.4"/>
        <n v="391.6"/>
        <n v="15"/>
        <n v="283.79999999999995"/>
        <n v="118.19999999999999"/>
        <n v="46.7"/>
        <n v="172"/>
        <n v="243"/>
        <n v="173.6"/>
        <n v="246.4"/>
        <n v="146.10000000000002"/>
        <n v="261.39999999999998"/>
        <n v="26"/>
        <n v="472"/>
        <n v="448.79999999999995"/>
        <n v="1987.2"/>
        <n v="513.9"/>
        <n v="167.29999999999998"/>
        <n v="34.1"/>
        <n v="154"/>
        <n v="210"/>
        <n v="74.400000000000006"/>
        <n v="75"/>
        <n v="169.9"/>
        <n v="144.4"/>
        <n v="20"/>
        <n v="232"/>
        <n v="86.2"/>
        <n v="672.30000000000007"/>
        <n v="128.19999999999999"/>
        <n v="106.8"/>
        <n v="189"/>
        <n v="452.90000000000003"/>
        <n v="111.2"/>
        <n v="72.400000000000006"/>
        <n v="126"/>
        <n v="144.30000000000001"/>
        <n v="86.8"/>
        <n v="31.8"/>
        <n v="126.4"/>
        <n v="259.2"/>
        <n v="54.4"/>
        <n v="87.3"/>
        <n v="129.6"/>
        <n v="177.4"/>
        <n v="140.19999999999999"/>
        <n v="399.5"/>
        <n v="57.6"/>
        <n v="597"/>
        <n v="150"/>
        <n v="138.4"/>
        <n v="87.2"/>
        <n v="122.2"/>
        <n v="223.2"/>
        <n v="99.2"/>
        <n v="359.70000000000005"/>
        <n v="90"/>
        <n v="102.2"/>
        <n v="97.5"/>
        <n v="78.099999999999994"/>
        <n v="661.2"/>
        <n v="258.89999999999998"/>
        <n v="441.59999999999997"/>
        <n v="880.1"/>
        <n v="853.19999999999993"/>
        <n v="412.2"/>
        <n v="48.4"/>
        <n v="434.70000000000005"/>
        <n v="164"/>
        <n v="357"/>
        <n v="109.2"/>
        <n v="71.400000000000006"/>
        <n v="104.8"/>
        <n v="226.79999999999998"/>
        <n v="2011.6"/>
        <n v="1299.6000000000001"/>
        <n v="1101.6000000000001"/>
        <n v="235"/>
        <n v="211.4"/>
        <n v="401.09999999999997"/>
        <n v="585.9"/>
        <n v="18.600000000000001"/>
        <n v="1015.3"/>
        <n v="245.10000000000002"/>
        <n v="81.8"/>
        <n v="283.8"/>
        <n v="145.6"/>
        <n v="59.1"/>
        <n v="1266.5"/>
        <n v="549.20000000000005"/>
        <n v="214.8"/>
        <n v="706.30000000000007"/>
        <n v="83.6"/>
        <n v="355.6"/>
        <n v="62.5"/>
        <n v="140.69999999999999"/>
        <n v="135.60000000000002"/>
        <n v="474.8"/>
        <n v="57.8"/>
        <n v="19.5"/>
        <n v="149.6"/>
        <n v="181.5"/>
        <n v="400.40000000000003"/>
        <n v="224"/>
        <n v="67.400000000000006"/>
        <n v="106.80000000000001"/>
        <n v="1064"/>
        <n v="602.40000000000009"/>
        <n v="87.4"/>
        <n v="33.299999999999997"/>
        <n v="591"/>
        <n v="86.699999999999989"/>
        <n v="166.8"/>
        <n v="66.300000000000011"/>
        <n v="1391.6000000000001"/>
        <n v="399.59999999999997"/>
        <n v="45.2"/>
        <n v="1202.3999999999999"/>
        <n v="83.2"/>
        <n v="717.5"/>
        <n v="446.40000000000003"/>
        <n v="973.4"/>
        <n v="296.5"/>
        <n v="591.59999999999991"/>
        <n v="389.2"/>
        <n v="76.8"/>
        <n v="379.79999999999995"/>
        <n v="46"/>
        <n v="114"/>
        <n v="797"/>
        <n v="244"/>
        <n v="339.5"/>
        <n v="247.2"/>
        <n v="46.1"/>
        <n v="264"/>
        <n v="191.4"/>
        <n v="94.4"/>
        <n v="117.2"/>
        <n v="171"/>
        <n v="303.5"/>
        <n v="304"/>
        <n v="323"/>
        <n v="21.9"/>
        <n v="400.79999999999995"/>
        <n v="51.7"/>
        <n v="339.6"/>
        <n v="685.3"/>
        <n v="39.5"/>
        <n v="92.699999999999989"/>
        <n v="844.8"/>
        <n v="157.80000000000001"/>
        <n v="1632"/>
        <n v="1382"/>
        <n v="90.6"/>
        <n v="230.2"/>
        <n v="316"/>
        <n v="68.2"/>
        <n v="539.5"/>
        <n v="630.5"/>
        <n v="104.10000000000001"/>
        <n v="16.8"/>
        <n v="167.7"/>
        <n v="266"/>
        <n v="312.60000000000002"/>
        <n v="38"/>
        <n v="254.39999999999998"/>
        <n v="255.6"/>
        <n v="196.5"/>
        <n v="232.4"/>
        <n v="91.6"/>
        <n v="161.10000000000002"/>
        <n v="216"/>
        <n v="568.20000000000005"/>
        <n v="167.2"/>
        <n v="201.60000000000002"/>
        <n v="296.39999999999998"/>
        <n v="222"/>
        <n v="175.5"/>
        <n v="592"/>
        <n v="1332"/>
        <n v="129.19999999999999"/>
        <n v="285.89999999999998"/>
        <n v="77.400000000000006"/>
        <n v="23.2"/>
        <n v="52.3"/>
        <n v="1122"/>
        <n v="173"/>
        <n v="225.6"/>
        <n v="497.7"/>
        <n v="2114"/>
        <n v="23.6"/>
        <n v="141.4"/>
        <n v="86.4"/>
        <n v="630"/>
        <n v="41"/>
        <n v="482.40000000000003"/>
        <n v="361.5"/>
        <n v="90.4"/>
        <n v="88.4"/>
        <n v="282.29999999999995"/>
        <n v="53.699999999999996"/>
        <n v="368.90000000000003"/>
        <n v="36.799999999999997"/>
        <n v="267.60000000000002"/>
        <n v="106.4"/>
        <n v="112.19999999999999"/>
        <n v="435.2"/>
        <n v="192.5"/>
        <n v="465"/>
        <n v="20.9"/>
        <n v="107.6"/>
        <n v="73.800000000000011"/>
        <n v="212.70000000000002"/>
        <n v="95.699999999999989"/>
        <n v="40.799999999999997"/>
        <n v="37.200000000000003"/>
        <n v="241.5"/>
        <n v="110.8"/>
        <n v="108"/>
        <n v="184.1"/>
        <n v="721"/>
        <n v="699"/>
        <n v="161"/>
        <n v="66"/>
        <n v="50.4"/>
        <n v="412.20000000000005"/>
        <n v="66.599999999999994"/>
        <n v="252"/>
        <n v="89.8"/>
        <n v="214.79999999999998"/>
        <n v="277.5"/>
        <n v="955.5"/>
        <n v="67.599999999999994"/>
        <n v="229.5"/>
        <n v="127.80000000000001"/>
        <n v="147.30000000000001"/>
        <n v="85.3"/>
        <n v="172.4"/>
        <n v="184.8"/>
        <n v="47.2"/>
        <n v="1101.5999999999999"/>
        <n v="24.7"/>
        <n v="154.70000000000002"/>
        <n v="18.100000000000001"/>
        <n v="117.6"/>
        <n v="61.6"/>
        <n v="24"/>
        <n v="17.899999999999999"/>
        <n v="77.2"/>
        <n v="163.5"/>
        <n v="222.8"/>
        <n v="481.79999999999995"/>
        <n v="117.8"/>
        <n v="150.89999999999998"/>
        <n v="270"/>
        <n v="268.20000000000005"/>
        <n v="495"/>
        <n v="224.5"/>
        <n v="329.7"/>
        <n v="130.5"/>
        <n v="334"/>
        <n v="335.8"/>
        <n v="311.40000000000003"/>
        <n v="105.30000000000001"/>
        <n v="37.9"/>
        <n v="96"/>
        <n v="101.2"/>
        <n v="408.5"/>
        <n v="101.4"/>
        <n v="1278.7"/>
        <n v="1348.6"/>
        <n v="32.9"/>
        <n v="201.6"/>
        <n v="100.4"/>
        <n v="67.2"/>
        <n v="39.299999999999997"/>
        <n v="488"/>
        <n v="582.4"/>
        <n v="369.6"/>
        <n v="2659.2"/>
        <n v="343.2"/>
        <n v="1515.8"/>
        <n v="377.3"/>
        <n v="106.2"/>
        <n v="224.8"/>
        <n v="773"/>
        <n v="751.4"/>
        <n v="631.5"/>
        <n v="205.20000000000002"/>
        <n v="513.29999999999995"/>
        <n v="28"/>
        <n v="351.40000000000003"/>
        <n v="112"/>
        <n v="76.599999999999994"/>
        <n v="111.5"/>
        <n v="66.900000000000006"/>
        <n v="188"/>
        <n v="61.4"/>
        <n v="452.5"/>
        <n v="126.5"/>
        <n v="174.3"/>
        <n v="224.70000000000002"/>
        <n v="65"/>
        <n v="310"/>
        <n v="173.39999999999998"/>
        <n v="342.4"/>
        <n v="315.2"/>
        <n v="199.20000000000002"/>
        <n v="143.6"/>
        <n v="55.1"/>
        <n v="274.3"/>
        <n v="169"/>
        <n v="224.4"/>
        <n v="58.5"/>
        <n v="84.2"/>
        <n v="208"/>
        <n v="157.5"/>
        <n v="810"/>
        <n v="276.60000000000002"/>
        <n v="396.90000000000003"/>
        <n v="297.7"/>
        <n v="1018.4"/>
        <n v="500.40000000000003"/>
        <n v="372.29999999999995"/>
        <n v="946.39999999999986"/>
        <n v="353.4"/>
        <n v="162"/>
        <n v="445"/>
        <n v="282"/>
        <n v="110.4"/>
        <n v="1398.6"/>
        <n v="443.6"/>
        <n v="403.79999999999995"/>
        <n v="209.10000000000002"/>
        <n v="39.1"/>
        <n v="625.79999999999995"/>
        <n v="83.4"/>
        <n v="147"/>
        <n v="132.5"/>
        <n v="30.3"/>
        <n v="476.40000000000003"/>
        <n v="589"/>
        <n v="348.2"/>
        <n v="141.6"/>
        <n v="57"/>
        <n v="2132"/>
        <n v="359.1"/>
        <n v="73.3"/>
        <n v="51.6"/>
        <n v="44.9"/>
        <n v="108.6"/>
        <n v="33"/>
        <n v="481.20000000000005"/>
        <n v="392"/>
        <n v="417.6"/>
        <n v="32.799999999999997"/>
        <n v="44"/>
        <n v="258"/>
        <n v="544"/>
        <n v="263.7"/>
        <n v="122.7"/>
        <n v="160.29999999999998"/>
        <n v="255"/>
        <n v="70.199999999999989"/>
        <n v="342"/>
        <n v="51.9"/>
        <n v="132"/>
        <n v="148.80000000000001"/>
        <n v="61.800000000000004"/>
        <n v="197.2"/>
        <n v="48.2"/>
        <n v="261.60000000000002"/>
        <n v="223.20000000000002"/>
        <n v="45.6"/>
        <n v="156.80000000000001"/>
        <n v="51.8"/>
        <n v="74.7"/>
        <n v="67.199999999999989"/>
        <n v="125.6"/>
        <n v="22.3"/>
        <n v="81"/>
        <n v="598.4"/>
        <n v="516.4"/>
        <n v="484.79999999999995"/>
        <n v="145.5"/>
        <n v="92.5"/>
        <n v="189.4"/>
        <n v="232.79999999999998"/>
        <n v="204"/>
        <n v="445.90000000000003"/>
        <n v="132.4"/>
        <n v="96.899999999999991"/>
        <n v="133.80000000000001"/>
        <n v="302.39999999999998"/>
        <n v="177"/>
        <n v="230"/>
        <n v="218.6"/>
        <n v="133.19999999999999"/>
        <n v="238.5"/>
        <n v="92"/>
        <n v="235.79999999999998"/>
        <n v="286"/>
        <n v="217"/>
        <n v="341"/>
        <n v="1129"/>
        <n v="303.3"/>
        <n v="353"/>
        <n v="136.80000000000001"/>
        <n v="319.39999999999998"/>
        <n v="76"/>
        <n v="546.59999999999991"/>
        <n v="470.5"/>
        <n v="189.9"/>
        <n v="107.10000000000001"/>
        <n v="77.099999999999994"/>
        <n v="284.40000000000003"/>
        <n v="64.2"/>
        <n v="111.6"/>
        <n v="56.2"/>
        <n v="289.79999999999995"/>
        <n v="225.40000000000003"/>
        <n v="1358"/>
        <n v="318.29999999999995"/>
        <n v="70.5"/>
        <n v="71.2"/>
        <n v="580.30000000000007"/>
        <n v="321.29999999999995"/>
        <n v="62.7"/>
        <n v="242.39999999999998"/>
        <n v="357.6"/>
        <n v="765.59999999999991"/>
        <n v="178.8"/>
        <n v="15.9"/>
        <n v="157.4"/>
        <n v="355.20000000000005"/>
        <n v="86"/>
        <n v="1288.5999999999999"/>
        <n v="169.8"/>
        <n v="1098.5"/>
        <n v="527"/>
        <n v="275.8"/>
        <n v="62.3"/>
        <n v="245.5"/>
        <n v="974.59999999999991"/>
        <n v="99.4"/>
        <n v="29"/>
        <n v="60.7"/>
        <n v="349.6"/>
        <n v="311.5"/>
        <n v="141"/>
        <n v="50.099999999999994"/>
        <n v="155"/>
        <n v="326"/>
        <n v="192.6"/>
        <n v="68.599999999999994"/>
        <n v="241"/>
        <n v="51.4"/>
        <n v="586"/>
        <n v="88.2"/>
        <n v="134.4"/>
        <n v="105.2"/>
        <n v="479.5"/>
        <n v="404.70000000000005"/>
        <n v="303"/>
        <n v="87"/>
        <n v="374.2"/>
        <n v="221.6"/>
        <n v="469.3"/>
        <n v="24.1"/>
        <n v="91.5"/>
        <n v="409.79999999999995"/>
        <n v="129.89999999999998"/>
        <n v="108.4"/>
        <n v="102"/>
        <n v="46.2"/>
        <n v="612.5"/>
        <n v="153"/>
        <n v="212"/>
        <n v="440.6"/>
        <n v="137.10000000000002"/>
        <n v="235.5"/>
        <n v="978"/>
        <n v="127.19999999999999"/>
        <n v="745"/>
        <n v="284.39999999999998"/>
        <n v="51.900000000000006"/>
        <n v="311.60000000000002"/>
        <n v="29.1"/>
        <n v="126.60000000000001"/>
        <n v="701.1"/>
        <n v="926"/>
        <n v="164.39999999999998"/>
        <n v="681.59999999999991"/>
        <n v="1557.6000000000001"/>
        <n v="270.60000000000002"/>
        <n v="22"/>
        <n v="61.5"/>
        <n v="190.4"/>
        <n v="121.9"/>
        <n v="895.19999999999993"/>
        <n v="54.1"/>
        <n v="54.8"/>
        <n v="395.2"/>
        <n v="628.79999999999995"/>
        <n v="134.80000000000001"/>
        <n v="215.5"/>
        <n v="161.4"/>
        <n v="144.20000000000002"/>
        <n v="111.30000000000001"/>
        <n v="118"/>
        <n v="64.599999999999994"/>
        <n v="59.2"/>
        <n v="81.2"/>
        <n v="26.2"/>
        <n v="1320"/>
        <n v="262.39999999999998"/>
        <n v="391.20000000000005"/>
        <n v="1824.9"/>
        <n v="54.5"/>
        <n v="344.5"/>
        <n v="124.8"/>
        <n v="488.40000000000003"/>
        <n v="49.6"/>
        <n v="2996.9999999999995"/>
        <n v="79.199999999999989"/>
        <n v="34.4"/>
        <n v="464.8"/>
        <n v="27.1"/>
        <n v="40.5"/>
        <n v="233.70000000000002"/>
        <n v="148.4"/>
        <n v="154.80000000000001"/>
        <n v="294"/>
        <n v="289.8"/>
        <n v="272"/>
        <n v="66.3"/>
        <n v="287.70000000000005"/>
        <n v="156.19999999999999"/>
        <n v="113.6"/>
        <n v="163.4"/>
        <n v="113.4"/>
        <n v="210.6"/>
        <n v="190.2"/>
        <n v="345.2"/>
        <n v="80.099999999999994"/>
        <n v="136.19999999999999"/>
        <n v="81.7"/>
        <n v="251"/>
        <n v="20.2"/>
        <n v="624"/>
        <n v="38.4"/>
        <n v="292.59999999999997"/>
        <n v="224.39999999999998"/>
        <n v="180.60000000000002"/>
        <n v="183"/>
        <n v="278.5"/>
        <n v="153.4"/>
        <n v="592.19999999999993"/>
        <n v="466"/>
        <n v="78.2"/>
        <n v="543.59999999999991"/>
        <n v="237.29999999999998"/>
        <n v="41.9"/>
        <n v="92.4"/>
        <n v="340.8"/>
        <n v="70"/>
        <n v="88"/>
        <n v="222.29999999999998"/>
        <n v="161.9"/>
        <n v="32.1"/>
        <n v="419.2"/>
        <n v="404.40000000000003"/>
        <n v="230.4"/>
        <n v="730.40000000000009"/>
        <n v="817.19999999999993"/>
        <n v="162.5"/>
        <n v="183.60000000000002"/>
        <n v="229.6"/>
        <n v="229.20000000000002"/>
        <n v="211.20000000000002"/>
        <n v="223.79999999999998"/>
        <n v="1089"/>
        <n v="101.39999999999999"/>
        <n v="85.7"/>
        <n v="184.2"/>
        <n v="195.29999999999998"/>
        <n v="142.1"/>
        <n v="59.6"/>
        <n v="57.3"/>
        <n v="108.9"/>
        <n v="594.9"/>
        <n v="183.5"/>
        <n v="328.1"/>
        <n v="82.8"/>
        <n v="164.10000000000002"/>
        <n v="41.1"/>
        <n v="348"/>
        <n v="205.6"/>
        <n v="79.599999999999994"/>
        <n v="305"/>
        <n v="166.1"/>
        <n v="499.09999999999997"/>
        <n v="25.8"/>
        <n v="198"/>
        <n v="128"/>
        <n v="1457.6"/>
        <n v="43.6"/>
        <n v="92.6"/>
        <n v="62.2"/>
        <n v="321.3"/>
        <n v="219.6"/>
        <n v="18.2"/>
        <n v="59.7"/>
        <n v="210.89999999999998"/>
        <n v="413.6"/>
        <n v="246"/>
        <n v="87.9"/>
        <n v="251.8"/>
        <n v="146.5"/>
        <n v="126.8"/>
        <n v="131.5"/>
        <n v="199"/>
        <n v="412.5"/>
        <n v="45.1"/>
        <n v="344"/>
        <n v="453.59999999999997"/>
        <n v="533.4"/>
        <n v="85.6"/>
        <n v="100"/>
        <n v="753.5"/>
        <n v="19.600000000000001"/>
        <n v="63.599999999999994"/>
        <n v="297.5"/>
        <n v="34"/>
        <n v="103.2"/>
        <n v="147.6"/>
        <n v="812.40000000000009"/>
        <n v="306.59999999999997"/>
        <n v="431.40000000000003"/>
        <n v="52.6"/>
        <n v="32.700000000000003"/>
        <n v="155.6"/>
        <n v="242"/>
        <n v="1339.8"/>
        <n v="77.7"/>
        <n v="241.2"/>
        <n v="248.2"/>
        <n v="462"/>
        <n v="7446.6"/>
        <n v="321.5"/>
        <n v="109.6"/>
        <n v="792.5"/>
        <n v="287.60000000000002"/>
        <n v="59"/>
        <n v="167.6"/>
        <n v="323.39999999999998"/>
        <n v="718.19999999999993"/>
        <n v="22.9"/>
        <n v="48.599999999999994"/>
        <n v="238"/>
        <n v="131"/>
        <n v="118.4"/>
        <n v="166"/>
        <n v="805.19999999999993"/>
        <n v="57.4"/>
        <n v="528.4"/>
        <n v="657.4"/>
        <n v="166.5"/>
        <n v="800.40000000000009"/>
        <n v="378.90000000000003"/>
        <n v="410.90000000000003"/>
        <n v="54"/>
        <n v="93.4"/>
        <n v="144.69999999999999"/>
        <n v="818.1"/>
        <n v="289.5"/>
        <n v="132.60000000000002"/>
        <n v="267.5"/>
        <n v="249.6"/>
        <n v="123.5"/>
        <n v="308.5"/>
        <n v="91"/>
        <n v="160.5"/>
        <n v="130.80000000000001"/>
        <n v="1350"/>
        <n v="84.6"/>
        <n v="181"/>
        <n v="63.900000000000006"/>
        <n v="36.299999999999997"/>
        <n v="331.5"/>
        <n v="228.20000000000002"/>
        <n v="626.40000000000009"/>
        <n v="57.300000000000004"/>
        <n v="218.2"/>
        <n v="42.2"/>
        <n v="170.4"/>
        <n v="72.900000000000006"/>
        <n v="43.3"/>
        <n v="123"/>
        <n v="162.30000000000001"/>
        <n v="72.300000000000011"/>
        <n v="261.5"/>
        <n v="275.2"/>
        <n v="257.60000000000002"/>
        <n v="48.3"/>
        <n v="136.5"/>
        <n v="1377"/>
        <n v="122.39999999999999"/>
        <n v="60.8"/>
        <n v="143"/>
        <n v="501.6"/>
        <n v="99.5"/>
        <n v="468.90000000000003"/>
        <n v="1159"/>
        <n v="774"/>
        <n v="515.19999999999993"/>
        <n v="326.2"/>
        <n v="253.79999999999998"/>
        <n v="581"/>
        <n v="326.90000000000003"/>
        <n v="53.7"/>
        <n v="247.8"/>
        <n v="107.69999999999999"/>
        <n v="1599.5"/>
        <n v="1301.3"/>
        <n v="74.2"/>
        <n v="606.4"/>
        <n v="243.2"/>
        <n v="267.40000000000003"/>
        <n v="462.8"/>
        <n v="596.40000000000009"/>
        <n v="38.700000000000003"/>
        <n v="71"/>
        <n v="373.2"/>
        <n v="31.4"/>
        <n v="85.9"/>
        <n v="72.599999999999994"/>
        <n v="100.19999999999999"/>
        <n v="195.60000000000002"/>
        <n v="589.5"/>
        <n v="158.39999999999998"/>
        <n v="153.60000000000002"/>
        <n v="84.9"/>
        <n v="126.89999999999999"/>
        <n v="1306.4000000000001"/>
        <n v="331.09999999999997"/>
        <n v="436.8"/>
        <n v="209.39999999999998"/>
        <n v="174.4"/>
        <n v="878.5"/>
        <n v="498.4"/>
        <n v="279.3"/>
        <n v="299.2"/>
        <n v="52.2"/>
        <n v="193"/>
        <n v="159.6"/>
        <n v="165.89999999999998"/>
        <n v="731.5"/>
        <n v="306.39999999999998"/>
        <n v="191.39999999999998"/>
        <n v="21.4"/>
        <n v="176.4"/>
        <n v="460.8"/>
        <n v="40.6"/>
        <n v="423.6"/>
        <n v="336.59999999999997"/>
        <n v="158"/>
        <n v="57.900000000000006"/>
        <n v="356.5"/>
        <n v="332.4"/>
        <n v="231"/>
        <n v="86.1"/>
        <n v="577"/>
        <n v="706"/>
        <n v="146.69999999999999"/>
        <n v="54.300000000000004"/>
        <n v="237"/>
        <n v="413.7"/>
        <n v="137.6"/>
        <n v="292.5"/>
        <n v="798"/>
        <n v="266.39999999999998"/>
        <n v="257.5"/>
        <n v="190.8"/>
        <n v="368"/>
        <n v="638.4"/>
        <n v="289.60000000000002"/>
        <n v="784"/>
        <n v="348.8"/>
        <n v="378"/>
        <n v="566.1"/>
        <n v="511"/>
        <n v="295.79999999999995"/>
        <n v="338.4"/>
        <n v="344.8"/>
        <n v="154.6"/>
        <n v="189.60000000000002"/>
        <n v="913.1"/>
        <n v="137.39999999999998"/>
        <n v="152.39999999999998"/>
        <n v="103.8"/>
        <n v="186.8"/>
        <n v="143.19999999999999"/>
        <n v="444.4"/>
        <n v="2498.5"/>
        <n v="64.3"/>
        <n v="174.60000000000002"/>
        <n v="236.8"/>
        <n v="296"/>
        <n v="1050.3999999999999"/>
        <n v="154.19999999999999"/>
        <n v="40.4"/>
        <n v="145.19999999999999"/>
        <n v="119.39999999999999"/>
        <n v="128.80000000000001"/>
        <n v="230.39999999999998"/>
        <n v="83.8"/>
        <n v="429.09999999999997"/>
        <n v="54.7"/>
        <n v="847"/>
        <n v="280.20000000000005"/>
        <n v="144"/>
        <n v="135.80000000000001"/>
        <n v="233.09999999999997"/>
        <n v="113.39999999999999"/>
        <n v="537.70000000000005"/>
        <n v="125.2"/>
        <n v="208.5"/>
        <n v="33.4"/>
        <n v="310.8"/>
        <n v="142.4"/>
        <n v="285"/>
        <n v="688.4"/>
        <n v="43.5"/>
        <n v="131.6"/>
        <n v="425.70000000000005"/>
        <n v="7264.5"/>
        <n v="15.5"/>
        <n v="140.80000000000001"/>
        <n v="207.60000000000002"/>
        <n v="21.3"/>
        <n v="273"/>
        <n v="214.9"/>
        <n v="123.2"/>
        <n v="217.2"/>
        <n v="174"/>
        <n v="144.60000000000002"/>
        <n v="13.7"/>
        <n v="221"/>
        <n v="1407"/>
        <n v="270.2"/>
        <n v="2101"/>
        <n v="25.5"/>
        <n v="486"/>
        <n v="80.8"/>
        <n v="299.5"/>
        <n v="165"/>
        <n v="543.9"/>
        <n v="46.6"/>
        <n v="62.099999999999994"/>
        <n v="114.60000000000001"/>
        <n v="1390"/>
        <n v="192.4"/>
        <n v="181.2"/>
        <n v="741.6"/>
        <n v="103.7"/>
        <n v="31.5"/>
        <n v="44.7"/>
        <n v="139.6"/>
        <n v="186.89999999999998"/>
        <n v="99.600000000000009"/>
        <n v="298"/>
        <n v="823.19999999999993"/>
        <n v="509.59999999999997"/>
        <n v="338"/>
        <n v="372.6"/>
        <n v="41.8"/>
        <n v="114.4"/>
        <n v="94.2"/>
        <n v="259.20000000000005"/>
        <n v="525"/>
        <n v="533"/>
        <n v="857.6"/>
        <n v="651"/>
        <n v="194.6"/>
        <n v="49.8"/>
        <n v="163"/>
        <n v="67.3"/>
        <n v="1222.0999999999999"/>
        <n v="59.099999999999994"/>
        <n v="217.6"/>
        <n v="314.10000000000002"/>
        <n v="65.5"/>
        <n v="12.5"/>
        <n v="111.4"/>
        <n v="115.4"/>
        <n v="514.20000000000005"/>
        <n v="260.70000000000005"/>
        <n v="92.8"/>
        <n v="76.199999999999989"/>
        <n v="143.39999999999998"/>
        <n v="349.59999999999997"/>
        <n v="345"/>
        <n v="18.7"/>
        <n v="30.1"/>
        <n v="16.3"/>
        <n v="517.30000000000007"/>
        <n v="324.5"/>
        <n v="265.3"/>
        <n v="56.5"/>
        <n v="259.5"/>
        <n v="20.6"/>
        <n v="149.10000000000002"/>
        <n v="480"/>
        <n v="693"/>
        <n v="502.79999999999995"/>
        <n v="309.2"/>
        <n v="153.80000000000001"/>
        <n v="548.6"/>
        <n v="304.39999999999998"/>
        <n v="1728"/>
        <n v="1630.7"/>
        <n v="107.4"/>
        <n v="171.6"/>
        <n v="752.5"/>
        <n v="426.5"/>
        <n v="404"/>
        <n v="369.29999999999995"/>
        <n v="73.8"/>
        <n v="82"/>
        <n v="200.4"/>
        <n v="35.9"/>
        <n v="360"/>
        <n v="171.89999999999998"/>
        <n v="81.400000000000006"/>
        <n v="73.400000000000006"/>
        <n v="176.39999999999998"/>
        <n v="292.79999999999995"/>
        <n v="117.4"/>
        <n v="359.5"/>
        <n v="860.8"/>
        <n v="160.80000000000001"/>
        <n v="168.6"/>
        <n v="1061.1000000000001"/>
        <n v="240"/>
        <n v="111.89999999999999"/>
        <n v="225.9"/>
        <n v="604.80000000000007"/>
        <n v="165.2"/>
        <n v="30.6"/>
        <n v="54.6"/>
        <n v="340.4"/>
        <n v="228.90000000000003"/>
        <n v="302.10000000000002"/>
        <n v="98.6"/>
        <n v="582"/>
        <n v="134.19999999999999"/>
        <n v="271.59999999999997"/>
        <n v="212.8"/>
        <n v="1057"/>
        <n v="70.400000000000006"/>
        <n v="455.40000000000003"/>
        <n v="236.10000000000002"/>
        <n v="429.8"/>
        <n v="35"/>
        <n v="75.900000000000006"/>
        <n v="126.30000000000001"/>
        <n v="362"/>
        <n v="53.2"/>
        <n v="2464"/>
        <n v="52.4"/>
        <n v="363"/>
        <n v="23.4"/>
        <n v="452.8"/>
        <n v="53.6"/>
        <n v="33.900000000000006"/>
        <n v="180.3"/>
        <n v="304.7"/>
        <n v="133.4"/>
        <n v="195.5"/>
        <n v="99.6"/>
        <n v="146"/>
        <n v="396.2"/>
        <n v="196.70000000000002"/>
        <n v="179.10000000000002"/>
        <n v="71.900000000000006"/>
        <n v="113.8"/>
        <n v="246.8"/>
        <n v="1052"/>
        <n v="252.29999999999998"/>
        <n v="115"/>
        <n v="34.299999999999997"/>
        <n v="55.6"/>
        <n v="190"/>
        <n v="130.4"/>
        <n v="345.9"/>
        <n v="1250.0999999999999"/>
        <n v="252.60000000000002"/>
        <n v="401.8"/>
        <n v="156.89999999999998"/>
        <n v="79.800000000000011"/>
        <n v="383.2"/>
        <n v="303.09999999999997"/>
        <n v="322.40000000000003"/>
        <n v="771.30000000000007"/>
        <n v="832"/>
        <n v="471"/>
        <n v="182.39999999999998"/>
        <n v="134.39999999999998"/>
        <n v="77.599999999999994"/>
        <n v="1216.6000000000001"/>
        <n v="18.3"/>
        <n v="47.5"/>
        <n v="349.2"/>
        <n v="168.5"/>
        <n v="322.20000000000005"/>
        <n v="88.8"/>
        <n v="828"/>
        <n v="355.2"/>
        <n v="78.599999999999994"/>
        <n v="17.399999999999999"/>
        <n v="433.79999999999995"/>
        <n v="267.3"/>
        <n v="2347"/>
        <n v="380.5"/>
        <n v="281.70000000000005"/>
        <n v="748"/>
        <n v="24.4"/>
        <n v="337.6"/>
        <n v="153.19999999999999"/>
        <n v="174.6"/>
        <n v="63"/>
        <n v="152.19999999999999"/>
        <n v="117"/>
        <n v="78.5"/>
        <n v="248.5"/>
        <n v="273.60000000000002"/>
        <n v="145.80000000000001"/>
        <n v="393.90000000000003"/>
        <n v="636.9"/>
        <n v="96.7"/>
        <n v="331.20000000000005"/>
        <n v="7420"/>
        <n v="384"/>
        <n v="276.39999999999998"/>
        <n v="152.80000000000001"/>
        <n v="58"/>
        <n v="818.4"/>
        <n v="27.6"/>
        <n v="99.899999999999991"/>
        <n v="27.4"/>
        <n v="56.8"/>
        <n v="136"/>
        <n v="30.7"/>
        <n v="670.80000000000007"/>
        <n v="24.8"/>
        <n v="78.399999999999991"/>
        <n v="543"/>
        <n v="84.8"/>
        <n v="76.400000000000006"/>
        <n v="1091.7"/>
        <n v="93.8"/>
        <n v="211.79999999999998"/>
        <n v="104.4"/>
        <n v="379.5"/>
        <n v="582.79999999999995"/>
        <n v="157"/>
        <n v="34.200000000000003"/>
        <n v="35.4"/>
        <n v="1282.5"/>
        <n v="824.19999999999993"/>
        <n v="156.6"/>
        <n v="43.9"/>
        <n v="380"/>
        <n v="555.5"/>
        <n v="70.8"/>
        <n v="412"/>
        <n v="636"/>
        <n v="41.3"/>
        <n v="35.299999999999997"/>
        <n v="173.5"/>
        <n v="78.300000000000011"/>
        <n v="308.8"/>
        <n v="25"/>
        <n v="633.59999999999991"/>
        <n v="476.8"/>
        <n v="226.20000000000002"/>
        <n v="2082"/>
        <n v="283.20000000000005"/>
        <n v="29.6"/>
        <n v="250.6"/>
        <n v="33.799999999999997"/>
        <n v="101.69999999999999"/>
        <n v="1099.5"/>
        <n v="140"/>
        <n v="32.4"/>
        <n v="265.20000000000005"/>
        <n v="228.60000000000002"/>
        <n v="80.699999999999989"/>
        <n v="352.79999999999995"/>
        <n v="729.2"/>
        <n v="785"/>
        <n v="170.5"/>
        <n v="52"/>
        <n v="135.79999999999998"/>
        <n v="304.20000000000005"/>
        <n v="23.1"/>
        <n v="1046.7"/>
        <n v="576.9"/>
        <n v="655.20000000000005"/>
        <n v="116"/>
        <n v="487.20000000000005"/>
        <n v="499.80000000000007"/>
        <n v="89"/>
        <n v="25.7"/>
        <n v="208.4"/>
        <n v="31"/>
        <n v="233.2"/>
        <n v="93"/>
        <n v="141.89999999999998"/>
        <n v="18.5"/>
        <n v="120.8"/>
        <n v="401"/>
        <n v="41.5"/>
        <n v="167.8"/>
        <n v="68.400000000000006"/>
        <n v="215.8"/>
        <n v="670.5"/>
        <n v="556.20000000000005"/>
        <n v="146.39999999999998"/>
        <n v="641.29999999999995"/>
        <n v="3509.7999999999997"/>
        <n v="76.900000000000006"/>
        <n v="216.60000000000002"/>
        <n v="240.79999999999998"/>
        <n v="1495.2"/>
        <n v="215.10000000000002"/>
        <n v="241.79999999999998"/>
        <n v="1050"/>
        <n v="163.80000000000001"/>
        <n v="526.4"/>
        <n v="137.4"/>
        <n v="362.59999999999997"/>
        <n v="38.799999999999997"/>
        <n v="156.30000000000001"/>
        <n v="74.900000000000006"/>
        <n v="347.2"/>
        <n v="331.2"/>
        <n v="117.5"/>
        <n v="60.300000000000004"/>
        <n v="768"/>
        <n v="64.7"/>
        <n v="483.2"/>
        <n v="459.90000000000003"/>
        <n v="295.2"/>
        <n v="658.69999999999993"/>
        <n v="36.9"/>
        <n v="381.6"/>
        <n v="314.39999999999998"/>
        <n v="786.5"/>
        <n v="485.6"/>
        <n v="159.5"/>
        <n v="79"/>
        <n v="876.30000000000007"/>
        <n v="148.5"/>
        <n v="263.2"/>
        <n v="313.60000000000002"/>
        <n v="414.4"/>
        <n v="97.199999999999989"/>
        <n v="53.8"/>
        <n v="164.8"/>
        <n v="235.6"/>
        <n v="146.80000000000001"/>
        <n v="140.39999999999998"/>
        <n v="168.4"/>
      </sharedItems>
    </cacheField>
    <cacheField name="Order Date" numFmtId="15">
      <sharedItems containsSemiMixedTypes="0" containsNonDate="0" containsDate="1" containsString="0" minDate="2025-01-01T00:00:00" maxDate="2025-03-30T00:00:00" count="88">
        <d v="2025-01-01T00:00:00"/>
        <d v="2025-01-02T00:00:00"/>
        <d v="2025-01-03T00:00:00"/>
        <d v="2025-01-04T00:00:00"/>
        <d v="2025-01-05T00:00:00"/>
        <d v="2025-01-06T00:00:00"/>
        <d v="2025-01-07T00:00:00"/>
        <d v="2025-01-08T00:00:00"/>
        <d v="2025-01-09T00:00:00"/>
        <d v="2025-01-10T00:00:00"/>
        <d v="2025-01-11T00:00:00"/>
        <d v="2025-01-12T00:00:00"/>
        <d v="2025-01-13T00:00:00"/>
        <d v="2025-01-14T00:00:00"/>
        <d v="2025-01-15T00:00:00"/>
        <d v="2025-01-16T00:00:00"/>
        <d v="2025-01-17T00:00:00"/>
        <d v="2025-01-18T00:00:00"/>
        <d v="2025-01-19T00:00:00"/>
        <d v="2025-01-20T00:00:00"/>
        <d v="2025-01-21T00:00:00"/>
        <d v="2025-01-22T00:00:00"/>
        <d v="2025-01-23T00:00:00"/>
        <d v="2025-01-24T00:00:00"/>
        <d v="2025-01-25T00:00:00"/>
        <d v="2025-01-26T00:00:00"/>
        <d v="2025-01-27T00:00:00"/>
        <d v="2025-01-28T00:00:00"/>
        <d v="2025-01-29T00:00:00"/>
        <d v="2025-01-30T00:00:00"/>
        <d v="2025-01-31T00:00:00"/>
        <d v="2025-02-01T00:00:00"/>
        <d v="2025-02-02T00:00:00"/>
        <d v="2025-02-03T00:00:00"/>
        <d v="2025-02-04T00:00:00"/>
        <d v="2025-02-05T00:00:00"/>
        <d v="2025-02-06T00:00:00"/>
        <d v="2025-02-07T00:00:00"/>
        <d v="2025-02-08T00:00:00"/>
        <d v="2025-02-09T00:00:00"/>
        <d v="2025-02-10T00:00:00"/>
        <d v="2025-02-11T00:00:00"/>
        <d v="2025-02-12T00:00:00"/>
        <d v="2025-02-13T00:00:00"/>
        <d v="2025-02-14T00:00:00"/>
        <d v="2025-02-15T00:00:00"/>
        <d v="2025-02-16T00:00:00"/>
        <d v="2025-02-17T00:00:00"/>
        <d v="2025-02-18T00:00:00"/>
        <d v="2025-02-19T00:00:00"/>
        <d v="2025-02-20T00:00:00"/>
        <d v="2025-02-21T00:00:00"/>
        <d v="2025-02-22T00:00:00"/>
        <d v="2025-02-23T00:00:00"/>
        <d v="2025-02-24T00:00:00"/>
        <d v="2025-02-25T00:00:00"/>
        <d v="2025-02-26T00:00:00"/>
        <d v="2025-02-27T00:00:00"/>
        <d v="2025-02-28T00:00:00"/>
        <d v="2025-03-01T00:00:00"/>
        <d v="2025-03-02T00:00:00"/>
        <d v="2025-03-03T00:00:00"/>
        <d v="2025-03-04T00:00:00"/>
        <d v="2025-03-05T00:00:00"/>
        <d v="2025-03-06T00:00:00"/>
        <d v="2025-03-07T00:00:00"/>
        <d v="2025-03-08T00:00:00"/>
        <d v="2025-03-09T00:00:00"/>
        <d v="2025-03-10T00:00:00"/>
        <d v="2025-03-11T00:00:00"/>
        <d v="2025-03-12T00:00:00"/>
        <d v="2025-03-13T00:00:00"/>
        <d v="2025-03-14T00:00:00"/>
        <d v="2025-03-15T00:00:00"/>
        <d v="2025-03-16T00:00:00"/>
        <d v="2025-03-17T00:00:00"/>
        <d v="2025-03-18T00:00:00"/>
        <d v="2025-03-19T00:00:00"/>
        <d v="2025-03-20T00:00:00"/>
        <d v="2025-03-21T00:00:00"/>
        <d v="2025-03-22T00:00:00"/>
        <d v="2025-03-23T00:00:00"/>
        <d v="2025-03-24T00:00:00"/>
        <d v="2025-03-25T00:00:00"/>
        <d v="2025-03-26T00:00:00"/>
        <d v="2025-03-27T00:00:00"/>
        <d v="2025-03-28T00:00:00"/>
        <d v="2025-03-29T00:00:00"/>
      </sharedItems>
      <fieldGroup par="17" base="5">
        <rangePr groupBy="days" startDate="2025-01-01T00:00:00" endDate="2025-03-30T00:00:00"/>
        <groupItems count="368">
          <s v="&lt;01-01-2025"/>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30-03-2025"/>
        </groupItems>
      </fieldGroup>
    </cacheField>
    <cacheField name="Ship Date" numFmtId="15">
      <sharedItems containsSemiMixedTypes="0" containsNonDate="0" containsDate="1" containsString="0" minDate="2025-01-02T00:00:00" maxDate="2025-04-11T00:00:00"/>
    </cacheField>
    <cacheField name="Customer Gender" numFmtId="0">
      <sharedItems count="4">
        <s v=""/>
        <s v="M"/>
        <s v="F"/>
        <s v="O"/>
      </sharedItems>
    </cacheField>
    <cacheField name="Order Mode" numFmtId="0">
      <sharedItems count="5">
        <s v="App"/>
        <s v="Website"/>
        <s v="Target.com"/>
        <s v="Instagram"/>
        <s v="Partner App"/>
      </sharedItems>
    </cacheField>
    <cacheField name="Rating C" numFmtId="0">
      <sharedItems containsSemiMixedTypes="0" containsString="0" containsNumber="1" containsInteger="1" minValue="1" maxValue="5" count="5">
        <n v="4"/>
        <n v="3"/>
        <n v="5"/>
        <n v="1"/>
        <n v="2"/>
      </sharedItems>
    </cacheField>
    <cacheField name="State" numFmtId="0">
      <sharedItems count="1">
        <s v="California"/>
      </sharedItems>
    </cacheField>
    <cacheField name="County" numFmtId="0">
      <sharedItems count="58">
        <s v="Alpine County"/>
        <s v="Contra Costa County"/>
        <s v="Fresno County"/>
        <s v="Los Angeles County"/>
        <s v="Nevada County"/>
        <s v="Placer County"/>
        <s v="Sacramento County"/>
        <s v="San Bernardino County"/>
        <s v="San Diego County"/>
        <s v="San Mateo County"/>
        <s v="Santa Barbara County"/>
        <s v="Santa Clara County"/>
        <s v="Tehama County"/>
        <s v="Ventura County"/>
        <s v="Calaveras County"/>
        <s v="Inyo County"/>
        <s v="Napa County"/>
        <s v="San Francisco"/>
        <s v="Sonoma County"/>
        <s v="Stanislaus County"/>
        <s v="Tulare County"/>
        <s v="Alameda County"/>
        <s v="Kern County"/>
        <s v="Riverside County"/>
        <s v="Merced County"/>
        <s v="Orange County"/>
        <s v="San Joaquin County"/>
        <s v="Glenn County"/>
        <s v="Yolo County"/>
        <s v="Mendocino County"/>
        <s v="Siskiyou County"/>
        <s v="Sutter County"/>
        <s v="Santa Cruz County"/>
        <s v="Imperial County"/>
        <s v="Kings County"/>
        <s v="Plumas County"/>
        <s v="San Benito County"/>
        <s v="Madera County"/>
        <s v="Solano County"/>
        <s v="Modoc County"/>
        <s v="Mariposa County"/>
        <s v="San Luis Obispo County"/>
        <s v="El Dorado County"/>
        <s v="Marin County"/>
        <s v="Humboldt County"/>
        <s v="Trinity County"/>
        <s v="Amador County"/>
        <s v="Mono County"/>
        <s v="Sierra County"/>
        <s v="Monterey County"/>
        <s v="Lake County"/>
        <s v="Butte County"/>
        <s v="Tuolumne County"/>
        <s v="Shasta County"/>
        <s v="Colusa County"/>
        <s v="Lassen County"/>
        <s v="Yuba County"/>
        <s v="Del Norte County"/>
      </sharedItems>
    </cacheField>
    <cacheField name="Days to Deliver" numFmtId="0">
      <sharedItems containsSemiMixedTypes="0" containsString="0" containsNumber="1" containsInteger="1" minValue="0" maxValue="14" count="15">
        <n v="5"/>
        <n v="2"/>
        <n v="3"/>
        <n v="1"/>
        <n v="6"/>
        <n v="4"/>
        <n v="7"/>
        <n v="0"/>
        <n v="9"/>
        <n v="8"/>
        <n v="13"/>
        <n v="11"/>
        <n v="14"/>
        <n v="12"/>
        <n v="10"/>
      </sharedItems>
      <fieldGroup par="16"/>
    </cacheField>
    <cacheField name="Weeknum" numFmtId="0">
      <sharedItems containsSemiMixedTypes="0" containsString="0" containsNumber="1" containsInteger="1" minValue="1" maxValue="13" count="13">
        <n v="1"/>
        <n v="2"/>
        <n v="3"/>
        <n v="4"/>
        <n v="5"/>
        <n v="6"/>
        <n v="7"/>
        <n v="8"/>
        <n v="9"/>
        <n v="10"/>
        <n v="11"/>
        <n v="12"/>
        <n v="13"/>
      </sharedItems>
    </cacheField>
    <cacheField name="Gender Value" numFmtId="0">
      <sharedItems count="4">
        <s v="Unknown"/>
        <s v="Male"/>
        <s v="Female"/>
        <s v="Other"/>
      </sharedItems>
    </cacheField>
    <cacheField name="Quantity2" numFmtId="0" databaseField="0">
      <fieldGroup base="2">
        <discretePr count="48">
          <x v="0"/>
          <x v="1"/>
          <x v="2"/>
          <x v="5"/>
          <x v="6"/>
          <x v="6"/>
          <x v="6"/>
          <x v="5"/>
          <x v="5"/>
          <x v="3"/>
          <x v="6"/>
          <x v="5"/>
          <x v="4"/>
          <x v="5"/>
          <x v="6"/>
          <x v="6"/>
          <x v="6"/>
          <x v="6"/>
          <x v="6"/>
          <x v="6"/>
          <x v="6"/>
          <x v="6"/>
          <x v="6"/>
          <x v="6"/>
          <x v="6"/>
          <x v="6"/>
          <x v="6"/>
          <x v="6"/>
          <x v="6"/>
          <x v="6"/>
          <x v="6"/>
          <x v="6"/>
          <x v="6"/>
          <x v="6"/>
          <x v="6"/>
          <x v="6"/>
          <x v="6"/>
          <x v="6"/>
          <x v="6"/>
          <x v="6"/>
          <x v="6"/>
          <x v="6"/>
          <x v="6"/>
          <x v="6"/>
          <x v="6"/>
          <x v="6"/>
          <x v="6"/>
          <x v="6"/>
        </discretePr>
        <groupItems count="7">
          <n v="1"/>
          <n v="2"/>
          <n v="3"/>
          <n v="5"/>
          <n v="4"/>
          <s v="Group1"/>
          <s v="Group2"/>
        </groupItems>
      </fieldGroup>
    </cacheField>
    <cacheField name="Days to Deliver2" numFmtId="0" databaseField="0">
      <fieldGroup base="12">
        <discretePr count="15">
          <x v="0"/>
          <x v="1"/>
          <x v="2"/>
          <x v="3"/>
          <x v="8"/>
          <x v="4"/>
          <x v="8"/>
          <x v="5"/>
          <x v="6"/>
          <x v="6"/>
          <x v="7"/>
          <x v="7"/>
          <x v="7"/>
          <x v="7"/>
          <x v="6"/>
        </discretePr>
        <groupItems count="9">
          <n v="5"/>
          <n v="2"/>
          <n v="3"/>
          <n v="1"/>
          <n v="4"/>
          <n v="0"/>
          <s v="Group2"/>
          <s v="Group3"/>
          <s v="Group1"/>
        </groupItems>
      </fieldGroup>
    </cacheField>
    <cacheField name="Months" numFmtId="0" databaseField="0">
      <fieldGroup base="5">
        <rangePr groupBy="months" startDate="2025-01-01T00:00:00" endDate="2025-03-30T00:00:00"/>
        <groupItems count="14">
          <s v="&lt;01-01-2025"/>
          <s v="Jan"/>
          <s v="Feb"/>
          <s v="Mar"/>
          <s v="Apr"/>
          <s v="May"/>
          <s v="Jun"/>
          <s v="Jul"/>
          <s v="Aug"/>
          <s v="Sep"/>
          <s v="Oct"/>
          <s v="Nov"/>
          <s v="Dec"/>
          <s v="&gt;30-03-2025"/>
        </groupItems>
      </fieldGroup>
    </cacheField>
    <cacheField name="Unit Price2" numFmtId="0" databaseField="0">
      <fieldGroup base="3">
        <discretePr count="934">
          <x v="8"/>
          <x v="199"/>
          <x v="1"/>
          <x v="175"/>
          <x v="0"/>
          <x v="1"/>
          <x v="0"/>
          <x v="194"/>
          <x v="199"/>
          <x v="80"/>
          <x v="0"/>
          <x v="0"/>
          <x v="1"/>
          <x v="1"/>
          <x v="0"/>
          <x v="136"/>
          <x v="137"/>
          <x v="168"/>
          <x v="0"/>
          <x v="199"/>
          <x v="0"/>
          <x v="0"/>
          <x v="0"/>
          <x v="109"/>
          <x v="1"/>
          <x v="198"/>
          <x v="199"/>
          <x v="0"/>
          <x v="0"/>
          <x v="0"/>
          <x v="58"/>
          <x v="3"/>
          <x v="130"/>
          <x v="74"/>
          <x v="199"/>
          <x v="36"/>
          <x v="3"/>
          <x v="199"/>
          <x v="110"/>
          <x v="0"/>
          <x v="2"/>
          <x v="0"/>
          <x v="0"/>
          <x v="0"/>
          <x v="2"/>
          <x v="0"/>
          <x v="0"/>
          <x v="128"/>
          <x v="199"/>
          <x v="199"/>
          <x v="0"/>
          <x v="199"/>
          <x v="0"/>
          <x v="50"/>
          <x v="1"/>
          <x v="198"/>
          <x v="0"/>
          <x v="199"/>
          <x v="0"/>
          <x v="86"/>
          <x v="0"/>
          <x v="12"/>
          <x v="0"/>
          <x v="138"/>
          <x v="1"/>
          <x v="72"/>
          <x v="1"/>
          <x v="1"/>
          <x v="0"/>
          <x v="1"/>
          <x v="199"/>
          <x v="49"/>
          <x v="0"/>
          <x v="0"/>
          <x v="1"/>
          <x v="0"/>
          <x v="0"/>
          <x v="0"/>
          <x v="170"/>
          <x v="0"/>
          <x v="0"/>
          <x v="0"/>
          <x v="198"/>
          <x v="198"/>
          <x v="0"/>
          <x v="122"/>
          <x v="0"/>
          <x v="2"/>
          <x v="0"/>
          <x v="0"/>
          <x v="132"/>
          <x v="0"/>
          <x v="0"/>
          <x v="0"/>
          <x v="0"/>
          <x v="1"/>
          <x v="2"/>
          <x v="198"/>
          <x v="0"/>
          <x v="53"/>
          <x v="1"/>
          <x v="199"/>
          <x v="0"/>
          <x v="1"/>
          <x v="57"/>
          <x v="174"/>
          <x v="1"/>
          <x v="0"/>
          <x v="0"/>
          <x v="1"/>
          <x v="0"/>
          <x v="0"/>
          <x v="0"/>
          <x v="0"/>
          <x v="0"/>
          <x v="0"/>
          <x v="1"/>
          <x v="1"/>
          <x v="1"/>
          <x v="0"/>
          <x v="199"/>
          <x v="88"/>
          <x v="199"/>
          <x v="0"/>
          <x v="0"/>
          <x v="0"/>
          <x v="0"/>
          <x v="66"/>
          <x v="199"/>
          <x v="198"/>
          <x v="48"/>
          <x v="2"/>
          <x v="199"/>
          <x v="199"/>
          <x v="0"/>
          <x v="0"/>
          <x v="199"/>
          <x v="35"/>
          <x v="199"/>
          <x v="199"/>
          <x v="0"/>
          <x v="1"/>
          <x v="0"/>
          <x v="199"/>
          <x v="123"/>
          <x v="195"/>
          <x v="0"/>
          <x v="0"/>
          <x v="0"/>
          <x v="2"/>
          <x v="19"/>
          <x v="199"/>
          <x v="191"/>
          <x v="199"/>
          <x v="1"/>
          <x v="0"/>
          <x v="0"/>
          <x v="62"/>
          <x v="0"/>
          <x v="198"/>
          <x v="199"/>
          <x v="198"/>
          <x v="199"/>
          <x v="0"/>
          <x v="0"/>
          <x v="199"/>
          <x v="0"/>
          <x v="199"/>
          <x v="0"/>
          <x v="23"/>
          <x v="105"/>
          <x v="0"/>
          <x v="199"/>
          <x v="0"/>
          <x v="90"/>
          <x v="1"/>
          <x v="199"/>
          <x v="2"/>
          <x v="4"/>
          <x v="0"/>
          <x v="188"/>
          <x v="0"/>
          <x v="0"/>
          <x v="0"/>
          <x v="0"/>
          <x v="2"/>
          <x v="1"/>
          <x v="99"/>
          <x v="83"/>
          <x v="1"/>
          <x v="0"/>
          <x v="199"/>
          <x v="0"/>
          <x v="0"/>
          <x v="1"/>
          <x v="199"/>
          <x v="0"/>
          <x v="0"/>
          <x v="0"/>
          <x v="150"/>
          <x v="162"/>
          <x v="144"/>
          <x v="199"/>
          <x v="0"/>
          <x v="0"/>
          <x v="0"/>
          <x v="0"/>
          <x v="0"/>
          <x v="79"/>
          <x v="93"/>
          <x v="199"/>
          <x v="0"/>
          <x v="0"/>
          <x v="0"/>
          <x v="0"/>
          <x v="0"/>
          <x v="142"/>
          <x v="140"/>
          <x v="0"/>
          <x v="0"/>
          <x v="1"/>
          <x v="29"/>
          <x v="0"/>
          <x v="2"/>
          <x v="133"/>
          <x v="0"/>
          <x v="0"/>
          <x v="0"/>
          <x v="198"/>
          <x v="10"/>
          <x v="0"/>
          <x v="116"/>
          <x v="152"/>
          <x v="0"/>
          <x v="89"/>
          <x v="0"/>
          <x v="0"/>
          <x v="77"/>
          <x v="1"/>
          <x v="0"/>
          <x v="146"/>
          <x v="1"/>
          <x v="0"/>
          <x v="81"/>
          <x v="0"/>
          <x v="0"/>
          <x v="0"/>
          <x v="0"/>
          <x v="199"/>
          <x v="97"/>
          <x v="1"/>
          <x v="1"/>
          <x v="1"/>
          <x v="199"/>
          <x v="0"/>
          <x v="198"/>
          <x v="176"/>
          <x v="120"/>
          <x v="0"/>
          <x v="0"/>
          <x v="64"/>
          <x v="198"/>
          <x v="0"/>
          <x v="1"/>
          <x v="0"/>
          <x v="6"/>
          <x v="60"/>
          <x v="199"/>
          <x v="156"/>
          <x v="107"/>
          <x v="28"/>
          <x v="159"/>
          <x v="0"/>
          <x v="92"/>
          <x v="2"/>
          <x v="165"/>
          <x v="0"/>
          <x v="0"/>
          <x v="96"/>
          <x v="1"/>
          <x v="0"/>
          <x v="0"/>
          <x v="0"/>
          <x v="1"/>
          <x v="2"/>
          <x v="0"/>
          <x v="0"/>
          <x v="1"/>
          <x v="1"/>
          <x v="70"/>
          <x v="1"/>
          <x v="0"/>
          <x v="199"/>
          <x v="67"/>
          <x v="169"/>
          <x v="114"/>
          <x v="0"/>
          <x v="0"/>
          <x v="1"/>
          <x v="0"/>
          <x v="0"/>
          <x v="75"/>
          <x v="199"/>
          <x v="0"/>
          <x v="0"/>
          <x v="0"/>
          <x v="1"/>
          <x v="199"/>
          <x v="0"/>
          <x v="0"/>
          <x v="166"/>
          <x v="2"/>
          <x v="0"/>
          <x v="0"/>
          <x v="1"/>
          <x v="1"/>
          <x v="0"/>
          <x v="1"/>
          <x v="0"/>
          <x v="1"/>
          <x v="1"/>
          <x v="1"/>
          <x v="0"/>
          <x v="1"/>
          <x v="155"/>
          <x v="0"/>
          <x v="0"/>
          <x v="0"/>
          <x v="1"/>
          <x v="0"/>
          <x v="0"/>
          <x v="1"/>
          <x v="199"/>
          <x v="56"/>
          <x v="161"/>
          <x v="20"/>
          <x v="115"/>
          <x v="0"/>
          <x v="1"/>
          <x v="1"/>
          <x v="0"/>
          <x v="199"/>
          <x v="39"/>
          <x v="118"/>
          <x v="0"/>
          <x v="1"/>
          <x v="1"/>
          <x v="0"/>
          <x v="1"/>
          <x v="1"/>
          <x v="1"/>
          <x v="82"/>
          <x v="0"/>
          <x v="0"/>
          <x v="0"/>
          <x v="199"/>
          <x v="0"/>
          <x v="0"/>
          <x v="1"/>
          <x v="198"/>
          <x v="2"/>
          <x v="1"/>
          <x v="199"/>
          <x v="199"/>
          <x v="0"/>
          <x v="121"/>
          <x v="0"/>
          <x v="0"/>
          <x v="1"/>
          <x v="0"/>
          <x v="11"/>
          <x v="1"/>
          <x v="87"/>
          <x v="3"/>
          <x v="0"/>
          <x v="139"/>
          <x v="1"/>
          <x v="1"/>
          <x v="0"/>
          <x v="0"/>
          <x v="145"/>
          <x v="1"/>
          <x v="0"/>
          <x v="198"/>
          <x v="43"/>
          <x v="199"/>
          <x v="1"/>
          <x v="0"/>
          <x v="32"/>
          <x v="199"/>
          <x v="198"/>
          <x v="0"/>
          <x v="180"/>
          <x v="0"/>
          <x v="0"/>
          <x v="0"/>
          <x v="0"/>
          <x v="0"/>
          <x v="38"/>
          <x v="199"/>
          <x v="182"/>
          <x v="7"/>
          <x v="127"/>
          <x v="101"/>
          <x v="0"/>
          <x v="0"/>
          <x v="184"/>
          <x v="0"/>
          <x v="9"/>
          <x v="199"/>
          <x v="199"/>
          <x v="1"/>
          <x v="199"/>
          <x v="148"/>
          <x v="0"/>
          <x v="198"/>
          <x v="3"/>
          <x v="0"/>
          <x v="185"/>
          <x v="0"/>
          <x v="1"/>
          <x v="199"/>
          <x v="0"/>
          <x v="104"/>
          <x v="0"/>
          <x v="0"/>
          <x v="15"/>
          <x v="0"/>
          <x v="1"/>
          <x v="0"/>
          <x v="199"/>
          <x v="0"/>
          <x v="0"/>
          <x v="1"/>
          <x v="0"/>
          <x v="1"/>
          <x v="113"/>
          <x v="3"/>
          <x v="199"/>
          <x v="111"/>
          <x v="0"/>
          <x v="5"/>
          <x v="0"/>
          <x v="0"/>
          <x v="0"/>
          <x v="1"/>
          <x v="197"/>
          <x v="2"/>
          <x v="0"/>
          <x v="1"/>
          <x v="0"/>
          <x v="0"/>
          <x v="199"/>
          <x v="1"/>
          <x v="0"/>
          <x v="34"/>
          <x v="0"/>
          <x v="199"/>
          <x v="0"/>
          <x v="0"/>
          <x v="1"/>
          <x v="0"/>
          <x v="0"/>
          <x v="198"/>
          <x v="192"/>
          <x v="54"/>
          <x v="0"/>
          <x v="1"/>
          <x v="69"/>
          <x v="0"/>
          <x v="0"/>
          <x v="0"/>
          <x v="0"/>
          <x v="0"/>
          <x v="2"/>
          <x v="1"/>
          <x v="31"/>
          <x v="1"/>
          <x v="61"/>
          <x v="1"/>
          <x v="0"/>
          <x v="2"/>
          <x v="1"/>
          <x v="91"/>
          <x v="199"/>
          <x v="1"/>
          <x v="199"/>
          <x v="0"/>
          <x v="3"/>
          <x v="0"/>
          <x v="63"/>
          <x v="0"/>
          <x v="0"/>
          <x v="2"/>
          <x v="112"/>
          <x v="0"/>
          <x v="37"/>
          <x v="0"/>
          <x v="199"/>
          <x v="3"/>
          <x v="131"/>
          <x v="0"/>
          <x v="0"/>
          <x v="30"/>
          <x v="147"/>
          <x v="0"/>
          <x v="1"/>
          <x v="1"/>
          <x v="0"/>
          <x v="0"/>
          <x v="2"/>
          <x v="0"/>
          <x v="95"/>
          <x v="2"/>
          <x v="0"/>
          <x v="0"/>
          <x v="2"/>
          <x v="1"/>
          <x v="1"/>
          <x v="2"/>
          <x v="1"/>
          <x v="1"/>
          <x v="0"/>
          <x v="0"/>
          <x v="0"/>
          <x v="2"/>
          <x v="0"/>
          <x v="1"/>
          <x v="0"/>
          <x v="1"/>
          <x v="0"/>
          <x v="1"/>
          <x v="154"/>
          <x v="199"/>
          <x v="0"/>
          <x v="0"/>
          <x v="198"/>
          <x v="1"/>
          <x v="124"/>
          <x v="1"/>
          <x v="1"/>
          <x v="199"/>
          <x v="0"/>
          <x v="1"/>
          <x v="0"/>
          <x v="177"/>
          <x v="0"/>
          <x v="0"/>
          <x v="0"/>
          <x v="1"/>
          <x v="0"/>
          <x v="0"/>
          <x v="0"/>
          <x v="0"/>
          <x v="0"/>
          <x v="1"/>
          <x v="0"/>
          <x v="187"/>
          <x v="1"/>
          <x v="0"/>
          <x v="1"/>
          <x v="0"/>
          <x v="1"/>
          <x v="0"/>
          <x v="1"/>
          <x v="0"/>
          <x v="1"/>
          <x v="0"/>
          <x v="1"/>
          <x v="198"/>
          <x v="153"/>
          <x v="171"/>
          <x v="0"/>
          <x v="1"/>
          <x v="0"/>
          <x v="1"/>
          <x v="0"/>
          <x v="0"/>
          <x v="0"/>
          <x v="0"/>
          <x v="68"/>
          <x v="126"/>
          <x v="0"/>
          <x v="0"/>
          <x v="2"/>
          <x v="55"/>
          <x v="1"/>
          <x v="0"/>
          <x v="71"/>
          <x v="0"/>
          <x v="143"/>
          <x v="0"/>
          <x v="73"/>
          <x v="1"/>
          <x v="0"/>
          <x v="76"/>
          <x v="0"/>
          <x v="78"/>
          <x v="0"/>
          <x v="0"/>
          <x v="0"/>
          <x v="199"/>
          <x v="1"/>
          <x v="0"/>
          <x v="14"/>
          <x v="98"/>
          <x v="51"/>
          <x v="135"/>
          <x v="16"/>
          <x v="24"/>
          <x v="1"/>
          <x v="0"/>
          <x v="0"/>
          <x v="0"/>
          <x v="199"/>
          <x v="108"/>
          <x v="3"/>
          <x v="1"/>
          <x v="0"/>
          <x v="149"/>
          <x v="1"/>
          <x v="3"/>
          <x v="1"/>
          <x v="0"/>
          <x v="0"/>
          <x v="84"/>
          <x v="3"/>
          <x v="119"/>
          <x v="0"/>
          <x v="179"/>
          <x v="134"/>
          <x v="102"/>
          <x v="186"/>
          <x v="0"/>
          <x v="0"/>
          <x v="0"/>
          <x v="1"/>
          <x v="2"/>
          <x v="1"/>
          <x v="198"/>
          <x v="3"/>
          <x v="0"/>
          <x v="0"/>
          <x v="1"/>
          <x v="183"/>
          <x v="3"/>
          <x v="117"/>
          <x v="199"/>
          <x v="3"/>
          <x v="1"/>
          <x v="1"/>
          <x v="0"/>
          <x v="2"/>
          <x v="1"/>
          <x v="0"/>
          <x v="41"/>
          <x v="2"/>
          <x v="0"/>
          <x v="1"/>
          <x v="0"/>
          <x v="0"/>
          <x v="94"/>
          <x v="2"/>
          <x v="2"/>
          <x v="199"/>
          <x v="181"/>
          <x v="0"/>
          <x v="0"/>
          <x v="0"/>
          <x v="199"/>
          <x v="1"/>
          <x v="1"/>
          <x v="0"/>
          <x v="0"/>
          <x v="0"/>
          <x v="1"/>
          <x v="2"/>
          <x v="1"/>
          <x v="33"/>
          <x v="106"/>
          <x v="141"/>
          <x v="1"/>
          <x v="1"/>
          <x v="1"/>
          <x v="0"/>
          <x v="0"/>
          <x v="199"/>
          <x v="0"/>
          <x v="2"/>
          <x v="1"/>
          <x v="125"/>
          <x v="1"/>
          <x v="2"/>
          <x v="0"/>
          <x v="3"/>
          <x v="157"/>
          <x v="1"/>
          <x v="0"/>
          <x v="1"/>
          <x v="0"/>
          <x v="2"/>
          <x v="0"/>
          <x v="3"/>
          <x v="1"/>
          <x v="0"/>
          <x v="0"/>
          <x v="0"/>
          <x v="0"/>
          <x v="3"/>
          <x v="1"/>
          <x v="0"/>
          <x v="199"/>
          <x v="3"/>
          <x v="2"/>
          <x v="2"/>
          <x v="0"/>
          <x v="0"/>
          <x v="2"/>
          <x v="3"/>
          <x v="172"/>
          <x v="1"/>
          <x v="0"/>
          <x v="196"/>
          <x v="1"/>
          <x v="1"/>
          <x v="0"/>
          <x v="1"/>
          <x v="46"/>
          <x v="0"/>
          <x v="1"/>
          <x v="0"/>
          <x v="2"/>
          <x v="1"/>
          <x v="1"/>
          <x v="0"/>
          <x v="0"/>
          <x v="65"/>
          <x v="0"/>
          <x v="0"/>
          <x v="1"/>
          <x v="0"/>
          <x v="0"/>
          <x v="199"/>
          <x v="1"/>
          <x v="1"/>
          <x v="1"/>
          <x v="0"/>
          <x v="3"/>
          <x v="0"/>
          <x v="1"/>
          <x v="0"/>
          <x v="178"/>
          <x v="0"/>
          <x v="1"/>
          <x v="1"/>
          <x v="129"/>
          <x v="1"/>
          <x v="0"/>
          <x v="0"/>
          <x v="189"/>
          <x v="0"/>
          <x v="0"/>
          <x v="52"/>
          <x v="1"/>
          <x v="2"/>
          <x v="1"/>
          <x v="158"/>
          <x v="0"/>
          <x v="1"/>
          <x v="100"/>
          <x v="2"/>
          <x v="45"/>
          <x v="1"/>
          <x v="0"/>
          <x v="0"/>
          <x v="160"/>
          <x v="2"/>
          <x v="0"/>
          <x v="2"/>
          <x v="0"/>
          <x v="0"/>
          <x v="2"/>
          <x v="1"/>
          <x v="0"/>
          <x v="2"/>
          <x v="0"/>
          <x v="2"/>
          <x v="0"/>
          <x v="0"/>
          <x v="0"/>
          <x v="173"/>
          <x v="167"/>
          <x v="1"/>
          <x v="0"/>
          <x v="0"/>
          <x v="2"/>
          <x v="1"/>
          <x v="1"/>
          <x v="1"/>
          <x v="2"/>
          <x v="1"/>
          <x v="2"/>
          <x v="1"/>
          <x v="164"/>
          <x v="1"/>
          <x v="199"/>
          <x v="3"/>
          <x v="199"/>
          <x v="1"/>
          <x v="2"/>
          <x v="2"/>
          <x v="190"/>
          <x v="1"/>
          <x v="1"/>
          <x v="1"/>
          <x v="3"/>
          <x v="0"/>
          <x v="1"/>
          <x v="1"/>
          <x v="2"/>
          <x v="1"/>
          <x v="0"/>
          <x v="18"/>
          <x v="0"/>
          <x v="1"/>
          <x v="2"/>
          <x v="25"/>
          <x v="0"/>
          <x v="0"/>
          <x v="0"/>
          <x v="1"/>
          <x v="1"/>
          <x v="3"/>
          <x v="3"/>
          <x v="0"/>
          <x v="1"/>
          <x v="0"/>
          <x v="2"/>
          <x v="2"/>
          <x v="2"/>
          <x v="1"/>
          <x v="0"/>
          <x v="0"/>
          <x v="199"/>
          <x v="1"/>
          <x v="1"/>
          <x v="151"/>
          <x v="2"/>
          <x v="3"/>
          <x v="1"/>
          <x v="0"/>
          <x v="1"/>
          <x v="1"/>
          <x v="0"/>
          <x v="0"/>
          <x v="103"/>
          <x v="198"/>
          <x v="40"/>
          <x v="0"/>
          <x v="0"/>
          <x v="13"/>
          <x v="1"/>
          <x v="27"/>
          <x v="0"/>
          <x v="1"/>
          <x v="2"/>
          <x v="0"/>
          <x v="1"/>
          <x v="2"/>
          <x v="0"/>
          <x v="1"/>
          <x v="1"/>
          <x v="1"/>
          <x v="1"/>
          <x v="1"/>
          <x v="1"/>
          <x v="1"/>
          <x v="198"/>
          <x v="2"/>
          <x v="42"/>
          <x v="3"/>
          <x v="0"/>
          <x v="1"/>
          <x v="1"/>
          <x v="0"/>
          <x v="21"/>
          <x v="1"/>
          <x v="85"/>
          <x v="22"/>
          <x v="0"/>
          <x v="1"/>
          <x v="2"/>
          <x v="1"/>
          <x v="47"/>
          <x v="3"/>
          <x v="1"/>
          <x v="3"/>
          <x v="0"/>
          <x v="0"/>
          <x v="0"/>
          <x v="1"/>
          <x v="1"/>
          <x v="0"/>
          <x v="0"/>
          <x v="1"/>
          <x v="26"/>
          <x v="2"/>
          <x v="2"/>
          <x v="163"/>
          <x v="1"/>
          <x v="0"/>
          <x v="0"/>
          <x v="2"/>
          <x v="0"/>
          <x v="3"/>
          <x v="1"/>
          <x v="2"/>
          <x v="3"/>
          <x v="59"/>
          <x v="1"/>
          <x v="1"/>
          <x v="1"/>
          <x v="1"/>
          <x v="1"/>
          <x v="2"/>
          <x v="0"/>
          <x v="0"/>
          <x v="2"/>
          <x v="0"/>
          <x v="44"/>
          <x v="2"/>
          <x v="193"/>
          <x v="17"/>
          <x v="1"/>
        </discretePr>
        <groupItems count="200">
          <s v="Group2"/>
          <s v="Group3"/>
          <s v="Group4"/>
          <s v="Group5"/>
          <s v="10.2"/>
          <s v="10.6"/>
          <s v="10.7"/>
          <s v="10.8"/>
          <s v="10.9"/>
          <s v="11.2"/>
          <s v="11.3"/>
          <s v="11.4"/>
          <s v="11.5"/>
          <s v="11.7"/>
          <s v="11.8"/>
          <s v="11.9"/>
          <s v="12"/>
          <s v="12.3"/>
          <s v="12.4"/>
          <s v="12.5"/>
          <s v="12.7"/>
          <s v="12.8"/>
          <s v="13.2"/>
          <s v="13.3"/>
          <s v="13.6"/>
          <s v="13.7"/>
          <s v="13.8"/>
          <s v="14"/>
          <s v="14.2"/>
          <s v="14.3"/>
          <s v="14.6"/>
          <s v="15"/>
          <s v="15.2"/>
          <s v="15.3"/>
          <s v="15.4"/>
          <s v="15.7"/>
          <s v="15.8"/>
          <s v="15.9"/>
          <s v="16"/>
          <s v="16.1"/>
          <s v="16.3"/>
          <s v="16.4"/>
          <s v="16.5"/>
          <s v="16.8"/>
          <s v="16.9"/>
          <s v="17"/>
          <s v="17.2"/>
          <s v="17.4"/>
          <s v="17.8"/>
          <s v="17.9"/>
          <s v="18"/>
          <s v="18.1"/>
          <s v="18.2"/>
          <s v="18.5"/>
          <s v="18.6"/>
          <s v="18.7"/>
          <s v="18.8"/>
          <s v="18.9"/>
          <s v="19.1"/>
          <s v="19.4"/>
          <s v="19.6"/>
          <s v="19.7"/>
          <s v="19.9"/>
          <s v="20"/>
          <s v="20.1"/>
          <s v="20.2"/>
          <s v="20.3"/>
          <s v="20.4"/>
          <s v="20.5"/>
          <s v="20.6"/>
          <s v="20.7"/>
          <s v="20.9"/>
          <s v="21"/>
          <s v="21.6"/>
          <s v="21.7"/>
          <s v="21.8"/>
          <s v="22"/>
          <s v="22.1"/>
          <s v="22.2"/>
          <s v="22.3"/>
          <s v="22.4"/>
          <s v="22.5"/>
          <s v="22.6"/>
          <s v="22.7"/>
          <s v="22.8"/>
          <s v="23"/>
          <s v="23.1"/>
          <s v="23.2"/>
          <s v="23.3"/>
          <s v="23.5"/>
          <s v="23.6"/>
          <s v="23.7"/>
          <s v="23.9"/>
          <s v="24"/>
          <s v="24.1"/>
          <s v="24.2"/>
          <s v="24.4"/>
          <s v="24.5"/>
          <s v="24.7"/>
          <s v="24.9"/>
          <s v="25"/>
          <s v="25.1"/>
          <s v="25.3"/>
          <s v="25.4"/>
          <s v="25.5"/>
          <s v="25.6"/>
          <s v="25.7"/>
          <s v="26"/>
          <s v="26.1"/>
          <s v="26.4"/>
          <s v="26.5"/>
          <s v="26.6"/>
          <s v="26.7"/>
          <s v="26.9"/>
          <s v="27.2"/>
          <s v="27.4"/>
          <s v="27.5"/>
          <s v="27.8"/>
          <s v="27.9"/>
          <s v="28"/>
          <s v="28.1"/>
          <s v="28.5"/>
          <s v="28.6"/>
          <s v="28.8"/>
          <s v="28.9"/>
          <s v="29"/>
          <s v="29.1"/>
          <s v="29.2"/>
          <s v="29.7"/>
          <s v="29.8"/>
          <s v="29.9"/>
          <s v="30"/>
          <s v="30.1"/>
          <s v="30.2"/>
          <s v="30.7"/>
          <s v="30.8"/>
          <s v="30.9"/>
          <s v="31.1"/>
          <s v="31.2"/>
          <s v="31.3"/>
          <s v="31.5"/>
          <s v="31.6"/>
          <s v="31.8"/>
          <s v="31.9"/>
          <s v="32.1"/>
          <s v="32.2"/>
          <s v="32.3"/>
          <s v="32.5"/>
          <s v="32.8"/>
          <s v="32.9"/>
          <s v="33.1"/>
          <s v="33.2"/>
          <s v="33.5"/>
          <s v="33.6"/>
          <s v="33.7"/>
          <s v="34"/>
          <s v="34.1"/>
          <s v="34.3"/>
          <s v="34.4"/>
          <s v="34.9"/>
          <s v="35"/>
          <s v="35.1"/>
          <s v="35.2"/>
          <s v="35.4"/>
          <s v="35.5"/>
          <s v="35.9"/>
          <s v="36.2"/>
          <s v="36.3"/>
          <s v="36.6"/>
          <s v="36.7"/>
          <s v="36.8"/>
          <s v="37"/>
          <s v="37.1"/>
          <s v="37.2"/>
          <s v="37.3"/>
          <s v="37.7"/>
          <s v="37.8"/>
          <s v="38"/>
          <s v="38.2"/>
          <s v="38.3"/>
          <s v="38.6"/>
          <s v="38.8"/>
          <s v="38.9"/>
          <s v="39.1"/>
          <s v="39.2"/>
          <s v="39.3"/>
          <s v="39.4"/>
          <s v="39.5"/>
          <s v="39.6"/>
          <s v="39.8"/>
          <s v="39.9"/>
          <s v="40"/>
          <s v="40.1"/>
          <s v="40.2"/>
          <s v="40.3"/>
          <s v="40.5"/>
          <s v="40.6"/>
          <s v="40.9"/>
          <s v="Group1"/>
          <s v="Group6"/>
        </groupItems>
      </fieldGroup>
    </cacheField>
  </cacheFields>
  <extLst>
    <ext xmlns:x14="http://schemas.microsoft.com/office/spreadsheetml/2009/9/main" uri="{725AE2AE-9491-48be-B2B4-4EB974FC3084}">
      <x14:pivotCacheDefinition pivotCacheId="20495948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00">
  <r>
    <s v="TX500001"/>
    <x v="0"/>
    <x v="0"/>
    <x v="0"/>
    <x v="0"/>
    <x v="0"/>
    <d v="2025-01-06T00:00:00"/>
    <x v="0"/>
    <x v="0"/>
    <x v="0"/>
    <x v="0"/>
    <x v="0"/>
    <x v="0"/>
    <x v="0"/>
    <x v="0"/>
  </r>
  <r>
    <s v="TX500002"/>
    <x v="1"/>
    <x v="1"/>
    <x v="1"/>
    <x v="1"/>
    <x v="0"/>
    <d v="2025-01-03T00:00:00"/>
    <x v="1"/>
    <x v="0"/>
    <x v="0"/>
    <x v="0"/>
    <x v="1"/>
    <x v="1"/>
    <x v="0"/>
    <x v="1"/>
  </r>
  <r>
    <s v="TX500003"/>
    <x v="2"/>
    <x v="2"/>
    <x v="2"/>
    <x v="2"/>
    <x v="0"/>
    <d v="2025-01-04T00:00:00"/>
    <x v="2"/>
    <x v="0"/>
    <x v="1"/>
    <x v="0"/>
    <x v="2"/>
    <x v="2"/>
    <x v="0"/>
    <x v="2"/>
  </r>
  <r>
    <s v="TX500004"/>
    <x v="3"/>
    <x v="3"/>
    <x v="3"/>
    <x v="3"/>
    <x v="0"/>
    <d v="2025-01-02T00:00:00"/>
    <x v="2"/>
    <x v="0"/>
    <x v="0"/>
    <x v="0"/>
    <x v="2"/>
    <x v="3"/>
    <x v="0"/>
    <x v="2"/>
  </r>
  <r>
    <s v="TX500005"/>
    <x v="4"/>
    <x v="2"/>
    <x v="4"/>
    <x v="4"/>
    <x v="0"/>
    <d v="2025-01-04T00:00:00"/>
    <x v="2"/>
    <x v="0"/>
    <x v="2"/>
    <x v="0"/>
    <x v="3"/>
    <x v="2"/>
    <x v="0"/>
    <x v="2"/>
  </r>
  <r>
    <s v="TX500006"/>
    <x v="1"/>
    <x v="4"/>
    <x v="5"/>
    <x v="5"/>
    <x v="0"/>
    <d v="2025-01-04T00:00:00"/>
    <x v="1"/>
    <x v="1"/>
    <x v="0"/>
    <x v="0"/>
    <x v="3"/>
    <x v="2"/>
    <x v="0"/>
    <x v="1"/>
  </r>
  <r>
    <s v="TX500007"/>
    <x v="5"/>
    <x v="0"/>
    <x v="6"/>
    <x v="6"/>
    <x v="0"/>
    <d v="2025-01-02T00:00:00"/>
    <x v="2"/>
    <x v="0"/>
    <x v="0"/>
    <x v="0"/>
    <x v="3"/>
    <x v="3"/>
    <x v="0"/>
    <x v="2"/>
  </r>
  <r>
    <s v="TX500008"/>
    <x v="6"/>
    <x v="1"/>
    <x v="7"/>
    <x v="7"/>
    <x v="0"/>
    <d v="2025-01-02T00:00:00"/>
    <x v="1"/>
    <x v="2"/>
    <x v="2"/>
    <x v="0"/>
    <x v="3"/>
    <x v="3"/>
    <x v="0"/>
    <x v="1"/>
  </r>
  <r>
    <s v="TX500009"/>
    <x v="7"/>
    <x v="5"/>
    <x v="8"/>
    <x v="8"/>
    <x v="0"/>
    <d v="2025-01-02T00:00:00"/>
    <x v="2"/>
    <x v="0"/>
    <x v="0"/>
    <x v="0"/>
    <x v="3"/>
    <x v="3"/>
    <x v="0"/>
    <x v="2"/>
  </r>
  <r>
    <s v="TX500010"/>
    <x v="8"/>
    <x v="3"/>
    <x v="9"/>
    <x v="9"/>
    <x v="0"/>
    <d v="2025-01-04T00:00:00"/>
    <x v="1"/>
    <x v="0"/>
    <x v="1"/>
    <x v="0"/>
    <x v="3"/>
    <x v="2"/>
    <x v="0"/>
    <x v="1"/>
  </r>
  <r>
    <s v="TX500011"/>
    <x v="9"/>
    <x v="1"/>
    <x v="10"/>
    <x v="10"/>
    <x v="0"/>
    <d v="2025-01-07T00:00:00"/>
    <x v="2"/>
    <x v="0"/>
    <x v="0"/>
    <x v="0"/>
    <x v="3"/>
    <x v="4"/>
    <x v="0"/>
    <x v="2"/>
  </r>
  <r>
    <s v="TX500012"/>
    <x v="9"/>
    <x v="1"/>
    <x v="11"/>
    <x v="11"/>
    <x v="0"/>
    <d v="2025-01-03T00:00:00"/>
    <x v="2"/>
    <x v="2"/>
    <x v="1"/>
    <x v="0"/>
    <x v="3"/>
    <x v="1"/>
    <x v="0"/>
    <x v="2"/>
  </r>
  <r>
    <s v="TX500013"/>
    <x v="5"/>
    <x v="3"/>
    <x v="12"/>
    <x v="12"/>
    <x v="0"/>
    <d v="2025-01-05T00:00:00"/>
    <x v="2"/>
    <x v="1"/>
    <x v="0"/>
    <x v="0"/>
    <x v="4"/>
    <x v="5"/>
    <x v="0"/>
    <x v="2"/>
  </r>
  <r>
    <s v="TX500014"/>
    <x v="6"/>
    <x v="6"/>
    <x v="13"/>
    <x v="13"/>
    <x v="0"/>
    <d v="2025-01-08T00:00:00"/>
    <x v="1"/>
    <x v="3"/>
    <x v="0"/>
    <x v="0"/>
    <x v="5"/>
    <x v="6"/>
    <x v="0"/>
    <x v="1"/>
  </r>
  <r>
    <s v="TX500015"/>
    <x v="10"/>
    <x v="0"/>
    <x v="14"/>
    <x v="14"/>
    <x v="0"/>
    <d v="2025-01-04T00:00:00"/>
    <x v="1"/>
    <x v="0"/>
    <x v="0"/>
    <x v="0"/>
    <x v="6"/>
    <x v="2"/>
    <x v="0"/>
    <x v="1"/>
  </r>
  <r>
    <s v="TX500016"/>
    <x v="9"/>
    <x v="7"/>
    <x v="15"/>
    <x v="15"/>
    <x v="0"/>
    <d v="2025-01-02T00:00:00"/>
    <x v="1"/>
    <x v="1"/>
    <x v="2"/>
    <x v="0"/>
    <x v="6"/>
    <x v="3"/>
    <x v="0"/>
    <x v="1"/>
  </r>
  <r>
    <s v="TX500017"/>
    <x v="4"/>
    <x v="2"/>
    <x v="16"/>
    <x v="16"/>
    <x v="0"/>
    <d v="2025-01-02T00:00:00"/>
    <x v="2"/>
    <x v="0"/>
    <x v="1"/>
    <x v="0"/>
    <x v="6"/>
    <x v="3"/>
    <x v="0"/>
    <x v="2"/>
  </r>
  <r>
    <s v="TX500018"/>
    <x v="7"/>
    <x v="2"/>
    <x v="17"/>
    <x v="17"/>
    <x v="0"/>
    <d v="2025-01-04T00:00:00"/>
    <x v="2"/>
    <x v="0"/>
    <x v="0"/>
    <x v="0"/>
    <x v="7"/>
    <x v="2"/>
    <x v="0"/>
    <x v="2"/>
  </r>
  <r>
    <s v="TX500019"/>
    <x v="6"/>
    <x v="8"/>
    <x v="18"/>
    <x v="18"/>
    <x v="0"/>
    <d v="2025-01-04T00:00:00"/>
    <x v="2"/>
    <x v="2"/>
    <x v="3"/>
    <x v="0"/>
    <x v="7"/>
    <x v="2"/>
    <x v="0"/>
    <x v="2"/>
  </r>
  <r>
    <s v="TX500020"/>
    <x v="9"/>
    <x v="0"/>
    <x v="19"/>
    <x v="19"/>
    <x v="0"/>
    <d v="2025-01-02T00:00:00"/>
    <x v="2"/>
    <x v="1"/>
    <x v="2"/>
    <x v="0"/>
    <x v="8"/>
    <x v="3"/>
    <x v="0"/>
    <x v="2"/>
  </r>
  <r>
    <s v="TX500021"/>
    <x v="9"/>
    <x v="9"/>
    <x v="20"/>
    <x v="20"/>
    <x v="0"/>
    <d v="2025-01-04T00:00:00"/>
    <x v="2"/>
    <x v="2"/>
    <x v="0"/>
    <x v="0"/>
    <x v="8"/>
    <x v="2"/>
    <x v="0"/>
    <x v="2"/>
  </r>
  <r>
    <s v="TX500022"/>
    <x v="8"/>
    <x v="4"/>
    <x v="21"/>
    <x v="21"/>
    <x v="0"/>
    <d v="2025-01-02T00:00:00"/>
    <x v="2"/>
    <x v="1"/>
    <x v="1"/>
    <x v="0"/>
    <x v="8"/>
    <x v="3"/>
    <x v="0"/>
    <x v="2"/>
  </r>
  <r>
    <s v="TX500023"/>
    <x v="3"/>
    <x v="10"/>
    <x v="22"/>
    <x v="22"/>
    <x v="0"/>
    <d v="2025-01-02T00:00:00"/>
    <x v="1"/>
    <x v="0"/>
    <x v="2"/>
    <x v="0"/>
    <x v="8"/>
    <x v="3"/>
    <x v="0"/>
    <x v="1"/>
  </r>
  <r>
    <s v="TX500024"/>
    <x v="11"/>
    <x v="8"/>
    <x v="23"/>
    <x v="23"/>
    <x v="0"/>
    <d v="2025-01-02T00:00:00"/>
    <x v="2"/>
    <x v="3"/>
    <x v="0"/>
    <x v="0"/>
    <x v="8"/>
    <x v="3"/>
    <x v="0"/>
    <x v="2"/>
  </r>
  <r>
    <s v="TX500025"/>
    <x v="12"/>
    <x v="8"/>
    <x v="24"/>
    <x v="24"/>
    <x v="0"/>
    <d v="2025-01-02T00:00:00"/>
    <x v="2"/>
    <x v="4"/>
    <x v="0"/>
    <x v="0"/>
    <x v="8"/>
    <x v="3"/>
    <x v="0"/>
    <x v="2"/>
  </r>
  <r>
    <s v="TX500026"/>
    <x v="0"/>
    <x v="7"/>
    <x v="25"/>
    <x v="25"/>
    <x v="0"/>
    <d v="2025-01-02T00:00:00"/>
    <x v="2"/>
    <x v="2"/>
    <x v="0"/>
    <x v="0"/>
    <x v="9"/>
    <x v="3"/>
    <x v="0"/>
    <x v="2"/>
  </r>
  <r>
    <s v="TX500027"/>
    <x v="1"/>
    <x v="11"/>
    <x v="26"/>
    <x v="26"/>
    <x v="0"/>
    <d v="2025-01-04T00:00:00"/>
    <x v="1"/>
    <x v="1"/>
    <x v="0"/>
    <x v="0"/>
    <x v="10"/>
    <x v="2"/>
    <x v="0"/>
    <x v="1"/>
  </r>
  <r>
    <s v="TX500028"/>
    <x v="13"/>
    <x v="12"/>
    <x v="27"/>
    <x v="27"/>
    <x v="0"/>
    <d v="2025-01-03T00:00:00"/>
    <x v="0"/>
    <x v="1"/>
    <x v="2"/>
    <x v="0"/>
    <x v="11"/>
    <x v="1"/>
    <x v="0"/>
    <x v="0"/>
  </r>
  <r>
    <s v="TX500029"/>
    <x v="6"/>
    <x v="9"/>
    <x v="28"/>
    <x v="28"/>
    <x v="0"/>
    <d v="2025-01-07T00:00:00"/>
    <x v="0"/>
    <x v="1"/>
    <x v="2"/>
    <x v="0"/>
    <x v="12"/>
    <x v="4"/>
    <x v="0"/>
    <x v="0"/>
  </r>
  <r>
    <s v="TX500030"/>
    <x v="14"/>
    <x v="3"/>
    <x v="29"/>
    <x v="29"/>
    <x v="0"/>
    <d v="2025-01-05T00:00:00"/>
    <x v="2"/>
    <x v="1"/>
    <x v="0"/>
    <x v="0"/>
    <x v="13"/>
    <x v="5"/>
    <x v="0"/>
    <x v="2"/>
  </r>
  <r>
    <s v="TX500031"/>
    <x v="8"/>
    <x v="3"/>
    <x v="30"/>
    <x v="30"/>
    <x v="0"/>
    <d v="2025-01-05T00:00:00"/>
    <x v="1"/>
    <x v="0"/>
    <x v="2"/>
    <x v="0"/>
    <x v="14"/>
    <x v="5"/>
    <x v="0"/>
    <x v="1"/>
  </r>
  <r>
    <s v="TX500032"/>
    <x v="2"/>
    <x v="9"/>
    <x v="31"/>
    <x v="31"/>
    <x v="0"/>
    <d v="2025-01-04T00:00:00"/>
    <x v="1"/>
    <x v="0"/>
    <x v="0"/>
    <x v="0"/>
    <x v="15"/>
    <x v="2"/>
    <x v="0"/>
    <x v="1"/>
  </r>
  <r>
    <s v="TX500033"/>
    <x v="4"/>
    <x v="2"/>
    <x v="32"/>
    <x v="32"/>
    <x v="0"/>
    <d v="2025-01-02T00:00:00"/>
    <x v="1"/>
    <x v="3"/>
    <x v="0"/>
    <x v="0"/>
    <x v="3"/>
    <x v="3"/>
    <x v="0"/>
    <x v="1"/>
  </r>
  <r>
    <s v="TX500034"/>
    <x v="10"/>
    <x v="13"/>
    <x v="33"/>
    <x v="33"/>
    <x v="0"/>
    <d v="2025-01-03T00:00:00"/>
    <x v="3"/>
    <x v="2"/>
    <x v="2"/>
    <x v="0"/>
    <x v="3"/>
    <x v="1"/>
    <x v="0"/>
    <x v="3"/>
  </r>
  <r>
    <s v="TX500035"/>
    <x v="11"/>
    <x v="1"/>
    <x v="34"/>
    <x v="34"/>
    <x v="0"/>
    <d v="2025-01-04T00:00:00"/>
    <x v="1"/>
    <x v="0"/>
    <x v="2"/>
    <x v="0"/>
    <x v="3"/>
    <x v="2"/>
    <x v="0"/>
    <x v="1"/>
  </r>
  <r>
    <s v="TX500036"/>
    <x v="8"/>
    <x v="1"/>
    <x v="35"/>
    <x v="35"/>
    <x v="0"/>
    <d v="2025-01-02T00:00:00"/>
    <x v="1"/>
    <x v="4"/>
    <x v="2"/>
    <x v="0"/>
    <x v="3"/>
    <x v="3"/>
    <x v="0"/>
    <x v="1"/>
  </r>
  <r>
    <s v="TX500037"/>
    <x v="2"/>
    <x v="14"/>
    <x v="36"/>
    <x v="36"/>
    <x v="0"/>
    <d v="2025-01-05T00:00:00"/>
    <x v="1"/>
    <x v="3"/>
    <x v="1"/>
    <x v="0"/>
    <x v="3"/>
    <x v="5"/>
    <x v="0"/>
    <x v="1"/>
  </r>
  <r>
    <s v="TX500038"/>
    <x v="7"/>
    <x v="15"/>
    <x v="37"/>
    <x v="37"/>
    <x v="0"/>
    <d v="2025-01-07T00:00:00"/>
    <x v="1"/>
    <x v="0"/>
    <x v="2"/>
    <x v="0"/>
    <x v="3"/>
    <x v="4"/>
    <x v="0"/>
    <x v="1"/>
  </r>
  <r>
    <s v="TX500039"/>
    <x v="10"/>
    <x v="0"/>
    <x v="38"/>
    <x v="38"/>
    <x v="1"/>
    <d v="2025-01-03T00:00:00"/>
    <x v="1"/>
    <x v="2"/>
    <x v="0"/>
    <x v="0"/>
    <x v="3"/>
    <x v="3"/>
    <x v="0"/>
    <x v="1"/>
  </r>
  <r>
    <s v="TX500040"/>
    <x v="5"/>
    <x v="0"/>
    <x v="39"/>
    <x v="39"/>
    <x v="1"/>
    <d v="2025-01-03T00:00:00"/>
    <x v="2"/>
    <x v="2"/>
    <x v="1"/>
    <x v="0"/>
    <x v="3"/>
    <x v="3"/>
    <x v="0"/>
    <x v="2"/>
  </r>
  <r>
    <s v="TX500041"/>
    <x v="1"/>
    <x v="2"/>
    <x v="40"/>
    <x v="40"/>
    <x v="1"/>
    <d v="2025-01-03T00:00:00"/>
    <x v="2"/>
    <x v="4"/>
    <x v="2"/>
    <x v="0"/>
    <x v="3"/>
    <x v="3"/>
    <x v="0"/>
    <x v="2"/>
  </r>
  <r>
    <s v="TX500042"/>
    <x v="12"/>
    <x v="0"/>
    <x v="41"/>
    <x v="41"/>
    <x v="1"/>
    <d v="2025-01-03T00:00:00"/>
    <x v="1"/>
    <x v="0"/>
    <x v="2"/>
    <x v="0"/>
    <x v="16"/>
    <x v="3"/>
    <x v="0"/>
    <x v="1"/>
  </r>
  <r>
    <s v="TX500043"/>
    <x v="4"/>
    <x v="1"/>
    <x v="42"/>
    <x v="42"/>
    <x v="1"/>
    <d v="2025-01-04T00:00:00"/>
    <x v="1"/>
    <x v="1"/>
    <x v="1"/>
    <x v="0"/>
    <x v="6"/>
    <x v="1"/>
    <x v="0"/>
    <x v="1"/>
  </r>
  <r>
    <s v="TX500044"/>
    <x v="6"/>
    <x v="2"/>
    <x v="43"/>
    <x v="43"/>
    <x v="1"/>
    <d v="2025-01-02T00:00:00"/>
    <x v="2"/>
    <x v="0"/>
    <x v="1"/>
    <x v="0"/>
    <x v="8"/>
    <x v="7"/>
    <x v="0"/>
    <x v="2"/>
  </r>
  <r>
    <s v="TX500045"/>
    <x v="2"/>
    <x v="12"/>
    <x v="44"/>
    <x v="44"/>
    <x v="1"/>
    <d v="2025-01-03T00:00:00"/>
    <x v="2"/>
    <x v="2"/>
    <x v="2"/>
    <x v="0"/>
    <x v="8"/>
    <x v="3"/>
    <x v="0"/>
    <x v="2"/>
  </r>
  <r>
    <s v="TX500046"/>
    <x v="2"/>
    <x v="12"/>
    <x v="45"/>
    <x v="45"/>
    <x v="1"/>
    <d v="2025-01-03T00:00:00"/>
    <x v="2"/>
    <x v="0"/>
    <x v="0"/>
    <x v="0"/>
    <x v="17"/>
    <x v="3"/>
    <x v="0"/>
    <x v="2"/>
  </r>
  <r>
    <s v="TX500047"/>
    <x v="1"/>
    <x v="9"/>
    <x v="46"/>
    <x v="46"/>
    <x v="1"/>
    <d v="2025-01-03T00:00:00"/>
    <x v="1"/>
    <x v="1"/>
    <x v="1"/>
    <x v="0"/>
    <x v="9"/>
    <x v="3"/>
    <x v="0"/>
    <x v="1"/>
  </r>
  <r>
    <s v="TX500048"/>
    <x v="13"/>
    <x v="0"/>
    <x v="47"/>
    <x v="47"/>
    <x v="1"/>
    <d v="2025-01-04T00:00:00"/>
    <x v="2"/>
    <x v="1"/>
    <x v="0"/>
    <x v="0"/>
    <x v="11"/>
    <x v="1"/>
    <x v="0"/>
    <x v="2"/>
  </r>
  <r>
    <s v="TX500049"/>
    <x v="4"/>
    <x v="2"/>
    <x v="48"/>
    <x v="48"/>
    <x v="1"/>
    <d v="2025-01-11T00:00:00"/>
    <x v="2"/>
    <x v="1"/>
    <x v="2"/>
    <x v="0"/>
    <x v="11"/>
    <x v="8"/>
    <x v="0"/>
    <x v="2"/>
  </r>
  <r>
    <s v="TX500050"/>
    <x v="14"/>
    <x v="0"/>
    <x v="49"/>
    <x v="49"/>
    <x v="1"/>
    <d v="2025-01-04T00:00:00"/>
    <x v="2"/>
    <x v="0"/>
    <x v="0"/>
    <x v="0"/>
    <x v="18"/>
    <x v="1"/>
    <x v="0"/>
    <x v="2"/>
  </r>
  <r>
    <s v="TX500051"/>
    <x v="8"/>
    <x v="0"/>
    <x v="50"/>
    <x v="50"/>
    <x v="1"/>
    <d v="2025-01-03T00:00:00"/>
    <x v="1"/>
    <x v="1"/>
    <x v="2"/>
    <x v="0"/>
    <x v="19"/>
    <x v="3"/>
    <x v="0"/>
    <x v="1"/>
  </r>
  <r>
    <s v="TX500052"/>
    <x v="8"/>
    <x v="1"/>
    <x v="51"/>
    <x v="51"/>
    <x v="1"/>
    <d v="2025-01-05T00:00:00"/>
    <x v="2"/>
    <x v="1"/>
    <x v="0"/>
    <x v="0"/>
    <x v="19"/>
    <x v="2"/>
    <x v="0"/>
    <x v="2"/>
  </r>
  <r>
    <s v="TX500053"/>
    <x v="8"/>
    <x v="2"/>
    <x v="52"/>
    <x v="52"/>
    <x v="1"/>
    <d v="2025-01-04T00:00:00"/>
    <x v="1"/>
    <x v="0"/>
    <x v="2"/>
    <x v="0"/>
    <x v="20"/>
    <x v="1"/>
    <x v="0"/>
    <x v="1"/>
  </r>
  <r>
    <s v="TX500054"/>
    <x v="0"/>
    <x v="1"/>
    <x v="53"/>
    <x v="53"/>
    <x v="1"/>
    <d v="2025-01-03T00:00:00"/>
    <x v="2"/>
    <x v="0"/>
    <x v="2"/>
    <x v="0"/>
    <x v="21"/>
    <x v="3"/>
    <x v="0"/>
    <x v="2"/>
  </r>
  <r>
    <s v="TX500055"/>
    <x v="7"/>
    <x v="2"/>
    <x v="54"/>
    <x v="54"/>
    <x v="1"/>
    <d v="2025-01-05T00:00:00"/>
    <x v="1"/>
    <x v="2"/>
    <x v="2"/>
    <x v="0"/>
    <x v="3"/>
    <x v="2"/>
    <x v="0"/>
    <x v="1"/>
  </r>
  <r>
    <s v="TX500056"/>
    <x v="8"/>
    <x v="8"/>
    <x v="55"/>
    <x v="55"/>
    <x v="1"/>
    <d v="2025-01-03T00:00:00"/>
    <x v="1"/>
    <x v="0"/>
    <x v="0"/>
    <x v="0"/>
    <x v="3"/>
    <x v="3"/>
    <x v="0"/>
    <x v="1"/>
  </r>
  <r>
    <s v="TX500057"/>
    <x v="12"/>
    <x v="15"/>
    <x v="56"/>
    <x v="56"/>
    <x v="1"/>
    <d v="2025-01-03T00:00:00"/>
    <x v="2"/>
    <x v="0"/>
    <x v="0"/>
    <x v="0"/>
    <x v="3"/>
    <x v="3"/>
    <x v="0"/>
    <x v="2"/>
  </r>
  <r>
    <s v="TX500058"/>
    <x v="10"/>
    <x v="11"/>
    <x v="57"/>
    <x v="57"/>
    <x v="2"/>
    <d v="2025-01-11T00:00:00"/>
    <x v="2"/>
    <x v="0"/>
    <x v="2"/>
    <x v="0"/>
    <x v="3"/>
    <x v="9"/>
    <x v="0"/>
    <x v="2"/>
  </r>
  <r>
    <s v="TX500059"/>
    <x v="7"/>
    <x v="1"/>
    <x v="58"/>
    <x v="58"/>
    <x v="2"/>
    <d v="2025-01-04T00:00:00"/>
    <x v="1"/>
    <x v="0"/>
    <x v="2"/>
    <x v="0"/>
    <x v="3"/>
    <x v="3"/>
    <x v="0"/>
    <x v="1"/>
  </r>
  <r>
    <s v="TX500060"/>
    <x v="9"/>
    <x v="2"/>
    <x v="59"/>
    <x v="59"/>
    <x v="2"/>
    <d v="2025-01-06T00:00:00"/>
    <x v="2"/>
    <x v="1"/>
    <x v="2"/>
    <x v="0"/>
    <x v="3"/>
    <x v="2"/>
    <x v="0"/>
    <x v="2"/>
  </r>
  <r>
    <s v="TX500061"/>
    <x v="15"/>
    <x v="1"/>
    <x v="60"/>
    <x v="60"/>
    <x v="2"/>
    <d v="2025-01-05T00:00:00"/>
    <x v="2"/>
    <x v="3"/>
    <x v="1"/>
    <x v="0"/>
    <x v="3"/>
    <x v="1"/>
    <x v="0"/>
    <x v="2"/>
  </r>
  <r>
    <s v="TX500062"/>
    <x v="0"/>
    <x v="1"/>
    <x v="61"/>
    <x v="61"/>
    <x v="2"/>
    <d v="2025-01-04T00:00:00"/>
    <x v="2"/>
    <x v="0"/>
    <x v="0"/>
    <x v="0"/>
    <x v="3"/>
    <x v="3"/>
    <x v="0"/>
    <x v="2"/>
  </r>
  <r>
    <s v="TX500063"/>
    <x v="15"/>
    <x v="10"/>
    <x v="62"/>
    <x v="62"/>
    <x v="2"/>
    <d v="2025-01-08T00:00:00"/>
    <x v="2"/>
    <x v="0"/>
    <x v="0"/>
    <x v="0"/>
    <x v="3"/>
    <x v="0"/>
    <x v="0"/>
    <x v="2"/>
  </r>
  <r>
    <s v="TX500064"/>
    <x v="0"/>
    <x v="0"/>
    <x v="48"/>
    <x v="63"/>
    <x v="2"/>
    <d v="2025-01-04T00:00:00"/>
    <x v="1"/>
    <x v="2"/>
    <x v="4"/>
    <x v="0"/>
    <x v="3"/>
    <x v="3"/>
    <x v="0"/>
    <x v="1"/>
  </r>
  <r>
    <s v="TX500065"/>
    <x v="16"/>
    <x v="2"/>
    <x v="63"/>
    <x v="64"/>
    <x v="2"/>
    <d v="2025-01-06T00:00:00"/>
    <x v="2"/>
    <x v="0"/>
    <x v="0"/>
    <x v="0"/>
    <x v="3"/>
    <x v="2"/>
    <x v="0"/>
    <x v="2"/>
  </r>
  <r>
    <s v="TX500066"/>
    <x v="12"/>
    <x v="1"/>
    <x v="64"/>
    <x v="65"/>
    <x v="2"/>
    <d v="2025-01-04T00:00:00"/>
    <x v="2"/>
    <x v="4"/>
    <x v="0"/>
    <x v="0"/>
    <x v="3"/>
    <x v="3"/>
    <x v="0"/>
    <x v="2"/>
  </r>
  <r>
    <s v="TX500067"/>
    <x v="10"/>
    <x v="8"/>
    <x v="65"/>
    <x v="66"/>
    <x v="2"/>
    <d v="2025-01-04T00:00:00"/>
    <x v="1"/>
    <x v="0"/>
    <x v="0"/>
    <x v="0"/>
    <x v="6"/>
    <x v="3"/>
    <x v="0"/>
    <x v="1"/>
  </r>
  <r>
    <s v="TX500068"/>
    <x v="1"/>
    <x v="1"/>
    <x v="66"/>
    <x v="67"/>
    <x v="2"/>
    <d v="2025-01-04T00:00:00"/>
    <x v="2"/>
    <x v="2"/>
    <x v="2"/>
    <x v="0"/>
    <x v="6"/>
    <x v="3"/>
    <x v="0"/>
    <x v="2"/>
  </r>
  <r>
    <s v="TX500069"/>
    <x v="1"/>
    <x v="0"/>
    <x v="67"/>
    <x v="68"/>
    <x v="2"/>
    <d v="2025-01-05T00:00:00"/>
    <x v="2"/>
    <x v="0"/>
    <x v="1"/>
    <x v="0"/>
    <x v="6"/>
    <x v="1"/>
    <x v="0"/>
    <x v="2"/>
  </r>
  <r>
    <s v="TX500070"/>
    <x v="15"/>
    <x v="12"/>
    <x v="67"/>
    <x v="69"/>
    <x v="2"/>
    <d v="2025-01-05T00:00:00"/>
    <x v="1"/>
    <x v="3"/>
    <x v="0"/>
    <x v="0"/>
    <x v="6"/>
    <x v="1"/>
    <x v="0"/>
    <x v="1"/>
  </r>
  <r>
    <s v="TX500071"/>
    <x v="17"/>
    <x v="2"/>
    <x v="68"/>
    <x v="60"/>
    <x v="2"/>
    <d v="2025-01-06T00:00:00"/>
    <x v="1"/>
    <x v="3"/>
    <x v="2"/>
    <x v="0"/>
    <x v="8"/>
    <x v="2"/>
    <x v="0"/>
    <x v="1"/>
  </r>
  <r>
    <s v="TX500072"/>
    <x v="7"/>
    <x v="0"/>
    <x v="69"/>
    <x v="70"/>
    <x v="2"/>
    <d v="2025-01-06T00:00:00"/>
    <x v="2"/>
    <x v="0"/>
    <x v="2"/>
    <x v="0"/>
    <x v="8"/>
    <x v="2"/>
    <x v="0"/>
    <x v="2"/>
  </r>
  <r>
    <s v="TX500073"/>
    <x v="10"/>
    <x v="16"/>
    <x v="70"/>
    <x v="71"/>
    <x v="2"/>
    <d v="2025-01-06T00:00:00"/>
    <x v="2"/>
    <x v="3"/>
    <x v="2"/>
    <x v="0"/>
    <x v="17"/>
    <x v="2"/>
    <x v="0"/>
    <x v="2"/>
  </r>
  <r>
    <s v="TX500074"/>
    <x v="0"/>
    <x v="1"/>
    <x v="71"/>
    <x v="72"/>
    <x v="2"/>
    <d v="2025-01-04T00:00:00"/>
    <x v="2"/>
    <x v="0"/>
    <x v="2"/>
    <x v="0"/>
    <x v="9"/>
    <x v="3"/>
    <x v="0"/>
    <x v="2"/>
  </r>
  <r>
    <s v="TX500075"/>
    <x v="9"/>
    <x v="1"/>
    <x v="72"/>
    <x v="73"/>
    <x v="2"/>
    <d v="2025-01-06T00:00:00"/>
    <x v="1"/>
    <x v="1"/>
    <x v="0"/>
    <x v="0"/>
    <x v="9"/>
    <x v="2"/>
    <x v="0"/>
    <x v="1"/>
  </r>
  <r>
    <s v="TX500076"/>
    <x v="12"/>
    <x v="12"/>
    <x v="73"/>
    <x v="74"/>
    <x v="2"/>
    <d v="2025-01-04T00:00:00"/>
    <x v="3"/>
    <x v="1"/>
    <x v="1"/>
    <x v="0"/>
    <x v="11"/>
    <x v="3"/>
    <x v="0"/>
    <x v="3"/>
  </r>
  <r>
    <s v="TX500077"/>
    <x v="2"/>
    <x v="8"/>
    <x v="74"/>
    <x v="75"/>
    <x v="2"/>
    <d v="2025-01-04T00:00:00"/>
    <x v="2"/>
    <x v="0"/>
    <x v="1"/>
    <x v="0"/>
    <x v="19"/>
    <x v="3"/>
    <x v="0"/>
    <x v="2"/>
  </r>
  <r>
    <s v="TX500078"/>
    <x v="5"/>
    <x v="12"/>
    <x v="75"/>
    <x v="76"/>
    <x v="2"/>
    <d v="2025-01-05T00:00:00"/>
    <x v="1"/>
    <x v="3"/>
    <x v="0"/>
    <x v="0"/>
    <x v="19"/>
    <x v="1"/>
    <x v="0"/>
    <x v="1"/>
  </r>
  <r>
    <s v="TX500079"/>
    <x v="9"/>
    <x v="12"/>
    <x v="76"/>
    <x v="77"/>
    <x v="2"/>
    <d v="2025-01-07T00:00:00"/>
    <x v="2"/>
    <x v="2"/>
    <x v="1"/>
    <x v="0"/>
    <x v="13"/>
    <x v="5"/>
    <x v="0"/>
    <x v="2"/>
  </r>
  <r>
    <s v="TX500080"/>
    <x v="12"/>
    <x v="2"/>
    <x v="77"/>
    <x v="78"/>
    <x v="2"/>
    <d v="2025-01-09T00:00:00"/>
    <x v="2"/>
    <x v="4"/>
    <x v="1"/>
    <x v="0"/>
    <x v="21"/>
    <x v="4"/>
    <x v="0"/>
    <x v="2"/>
  </r>
  <r>
    <s v="TX500081"/>
    <x v="18"/>
    <x v="9"/>
    <x v="78"/>
    <x v="79"/>
    <x v="2"/>
    <d v="2025-01-06T00:00:00"/>
    <x v="1"/>
    <x v="4"/>
    <x v="1"/>
    <x v="0"/>
    <x v="22"/>
    <x v="2"/>
    <x v="0"/>
    <x v="1"/>
  </r>
  <r>
    <s v="TX500082"/>
    <x v="6"/>
    <x v="13"/>
    <x v="79"/>
    <x v="80"/>
    <x v="2"/>
    <d v="2025-01-05T00:00:00"/>
    <x v="2"/>
    <x v="3"/>
    <x v="0"/>
    <x v="0"/>
    <x v="3"/>
    <x v="1"/>
    <x v="0"/>
    <x v="2"/>
  </r>
  <r>
    <s v="TX500083"/>
    <x v="15"/>
    <x v="2"/>
    <x v="78"/>
    <x v="81"/>
    <x v="2"/>
    <d v="2025-01-03T00:00:00"/>
    <x v="1"/>
    <x v="2"/>
    <x v="1"/>
    <x v="0"/>
    <x v="3"/>
    <x v="7"/>
    <x v="0"/>
    <x v="1"/>
  </r>
  <r>
    <s v="TX500084"/>
    <x v="8"/>
    <x v="11"/>
    <x v="80"/>
    <x v="82"/>
    <x v="3"/>
    <d v="2025-01-10T00:00:00"/>
    <x v="2"/>
    <x v="3"/>
    <x v="0"/>
    <x v="0"/>
    <x v="3"/>
    <x v="4"/>
    <x v="0"/>
    <x v="2"/>
  </r>
  <r>
    <s v="TX500085"/>
    <x v="18"/>
    <x v="0"/>
    <x v="81"/>
    <x v="83"/>
    <x v="3"/>
    <d v="2025-01-05T00:00:00"/>
    <x v="1"/>
    <x v="4"/>
    <x v="4"/>
    <x v="0"/>
    <x v="3"/>
    <x v="3"/>
    <x v="0"/>
    <x v="1"/>
  </r>
  <r>
    <s v="TX500086"/>
    <x v="8"/>
    <x v="12"/>
    <x v="82"/>
    <x v="84"/>
    <x v="3"/>
    <d v="2025-01-10T00:00:00"/>
    <x v="1"/>
    <x v="1"/>
    <x v="2"/>
    <x v="0"/>
    <x v="3"/>
    <x v="4"/>
    <x v="0"/>
    <x v="1"/>
  </r>
  <r>
    <s v="TX500087"/>
    <x v="13"/>
    <x v="12"/>
    <x v="83"/>
    <x v="85"/>
    <x v="3"/>
    <d v="2025-01-05T00:00:00"/>
    <x v="2"/>
    <x v="1"/>
    <x v="2"/>
    <x v="0"/>
    <x v="3"/>
    <x v="3"/>
    <x v="0"/>
    <x v="2"/>
  </r>
  <r>
    <s v="TX500088"/>
    <x v="12"/>
    <x v="0"/>
    <x v="84"/>
    <x v="86"/>
    <x v="3"/>
    <d v="2025-01-08T00:00:00"/>
    <x v="1"/>
    <x v="0"/>
    <x v="2"/>
    <x v="0"/>
    <x v="3"/>
    <x v="5"/>
    <x v="0"/>
    <x v="1"/>
  </r>
  <r>
    <s v="TX500089"/>
    <x v="9"/>
    <x v="11"/>
    <x v="85"/>
    <x v="87"/>
    <x v="3"/>
    <d v="2025-01-08T00:00:00"/>
    <x v="1"/>
    <x v="0"/>
    <x v="2"/>
    <x v="0"/>
    <x v="3"/>
    <x v="5"/>
    <x v="0"/>
    <x v="1"/>
  </r>
  <r>
    <s v="TX500090"/>
    <x v="2"/>
    <x v="0"/>
    <x v="67"/>
    <x v="68"/>
    <x v="3"/>
    <d v="2025-01-07T00:00:00"/>
    <x v="2"/>
    <x v="1"/>
    <x v="0"/>
    <x v="0"/>
    <x v="3"/>
    <x v="2"/>
    <x v="0"/>
    <x v="2"/>
  </r>
  <r>
    <s v="TX500091"/>
    <x v="9"/>
    <x v="9"/>
    <x v="86"/>
    <x v="88"/>
    <x v="3"/>
    <d v="2025-01-07T00:00:00"/>
    <x v="0"/>
    <x v="0"/>
    <x v="2"/>
    <x v="0"/>
    <x v="23"/>
    <x v="2"/>
    <x v="0"/>
    <x v="0"/>
  </r>
  <r>
    <s v="TX500092"/>
    <x v="2"/>
    <x v="13"/>
    <x v="87"/>
    <x v="89"/>
    <x v="3"/>
    <d v="2025-01-06T00:00:00"/>
    <x v="2"/>
    <x v="0"/>
    <x v="1"/>
    <x v="0"/>
    <x v="23"/>
    <x v="1"/>
    <x v="0"/>
    <x v="2"/>
  </r>
  <r>
    <s v="TX500093"/>
    <x v="11"/>
    <x v="1"/>
    <x v="88"/>
    <x v="90"/>
    <x v="3"/>
    <d v="2025-01-06T00:00:00"/>
    <x v="1"/>
    <x v="2"/>
    <x v="2"/>
    <x v="0"/>
    <x v="6"/>
    <x v="1"/>
    <x v="0"/>
    <x v="1"/>
  </r>
  <r>
    <s v="TX500094"/>
    <x v="6"/>
    <x v="15"/>
    <x v="89"/>
    <x v="91"/>
    <x v="3"/>
    <d v="2025-01-05T00:00:00"/>
    <x v="0"/>
    <x v="3"/>
    <x v="1"/>
    <x v="0"/>
    <x v="11"/>
    <x v="3"/>
    <x v="0"/>
    <x v="0"/>
  </r>
  <r>
    <s v="TX500095"/>
    <x v="9"/>
    <x v="12"/>
    <x v="90"/>
    <x v="92"/>
    <x v="3"/>
    <d v="2025-01-05T00:00:00"/>
    <x v="2"/>
    <x v="0"/>
    <x v="2"/>
    <x v="0"/>
    <x v="21"/>
    <x v="3"/>
    <x v="0"/>
    <x v="2"/>
  </r>
  <r>
    <s v="TX500096"/>
    <x v="2"/>
    <x v="9"/>
    <x v="91"/>
    <x v="93"/>
    <x v="3"/>
    <d v="2025-01-05T00:00:00"/>
    <x v="2"/>
    <x v="1"/>
    <x v="0"/>
    <x v="0"/>
    <x v="1"/>
    <x v="3"/>
    <x v="0"/>
    <x v="2"/>
  </r>
  <r>
    <s v="TX500097"/>
    <x v="16"/>
    <x v="2"/>
    <x v="92"/>
    <x v="94"/>
    <x v="3"/>
    <d v="2025-01-11T00:00:00"/>
    <x v="1"/>
    <x v="0"/>
    <x v="0"/>
    <x v="0"/>
    <x v="2"/>
    <x v="6"/>
    <x v="0"/>
    <x v="1"/>
  </r>
  <r>
    <s v="TX500098"/>
    <x v="9"/>
    <x v="1"/>
    <x v="93"/>
    <x v="95"/>
    <x v="3"/>
    <d v="2025-01-06T00:00:00"/>
    <x v="1"/>
    <x v="1"/>
    <x v="0"/>
    <x v="0"/>
    <x v="22"/>
    <x v="1"/>
    <x v="0"/>
    <x v="1"/>
  </r>
  <r>
    <s v="TX500099"/>
    <x v="11"/>
    <x v="3"/>
    <x v="94"/>
    <x v="96"/>
    <x v="3"/>
    <d v="2025-01-07T00:00:00"/>
    <x v="1"/>
    <x v="3"/>
    <x v="2"/>
    <x v="0"/>
    <x v="3"/>
    <x v="2"/>
    <x v="0"/>
    <x v="1"/>
  </r>
  <r>
    <s v="TX500100"/>
    <x v="2"/>
    <x v="2"/>
    <x v="95"/>
    <x v="97"/>
    <x v="3"/>
    <d v="2025-01-17T00:00:00"/>
    <x v="2"/>
    <x v="0"/>
    <x v="2"/>
    <x v="0"/>
    <x v="3"/>
    <x v="10"/>
    <x v="0"/>
    <x v="2"/>
  </r>
  <r>
    <s v="TX500101"/>
    <x v="5"/>
    <x v="17"/>
    <x v="50"/>
    <x v="98"/>
    <x v="3"/>
    <d v="2025-01-08T00:00:00"/>
    <x v="1"/>
    <x v="2"/>
    <x v="2"/>
    <x v="0"/>
    <x v="3"/>
    <x v="5"/>
    <x v="0"/>
    <x v="1"/>
  </r>
  <r>
    <s v="TX500102"/>
    <x v="2"/>
    <x v="1"/>
    <x v="96"/>
    <x v="99"/>
    <x v="4"/>
    <d v="2025-01-06T00:00:00"/>
    <x v="1"/>
    <x v="2"/>
    <x v="2"/>
    <x v="0"/>
    <x v="5"/>
    <x v="3"/>
    <x v="1"/>
    <x v="1"/>
  </r>
  <r>
    <s v="TX500103"/>
    <x v="19"/>
    <x v="5"/>
    <x v="97"/>
    <x v="100"/>
    <x v="4"/>
    <d v="2025-01-08T00:00:00"/>
    <x v="2"/>
    <x v="4"/>
    <x v="0"/>
    <x v="0"/>
    <x v="8"/>
    <x v="2"/>
    <x v="1"/>
    <x v="2"/>
  </r>
  <r>
    <s v="TX500104"/>
    <x v="10"/>
    <x v="1"/>
    <x v="98"/>
    <x v="101"/>
    <x v="4"/>
    <d v="2025-01-05T00:00:00"/>
    <x v="1"/>
    <x v="2"/>
    <x v="4"/>
    <x v="0"/>
    <x v="17"/>
    <x v="7"/>
    <x v="1"/>
    <x v="1"/>
  </r>
  <r>
    <s v="TX500105"/>
    <x v="8"/>
    <x v="2"/>
    <x v="99"/>
    <x v="102"/>
    <x v="4"/>
    <d v="2025-01-10T00:00:00"/>
    <x v="2"/>
    <x v="1"/>
    <x v="2"/>
    <x v="0"/>
    <x v="11"/>
    <x v="0"/>
    <x v="1"/>
    <x v="2"/>
  </r>
  <r>
    <s v="TX500106"/>
    <x v="16"/>
    <x v="2"/>
    <x v="100"/>
    <x v="103"/>
    <x v="4"/>
    <d v="2025-01-07T00:00:00"/>
    <x v="2"/>
    <x v="4"/>
    <x v="1"/>
    <x v="0"/>
    <x v="13"/>
    <x v="1"/>
    <x v="1"/>
    <x v="2"/>
  </r>
  <r>
    <s v="TX500107"/>
    <x v="15"/>
    <x v="3"/>
    <x v="63"/>
    <x v="104"/>
    <x v="4"/>
    <d v="2025-01-05T00:00:00"/>
    <x v="2"/>
    <x v="2"/>
    <x v="2"/>
    <x v="0"/>
    <x v="3"/>
    <x v="7"/>
    <x v="1"/>
    <x v="2"/>
  </r>
  <r>
    <s v="TX500108"/>
    <x v="8"/>
    <x v="16"/>
    <x v="101"/>
    <x v="105"/>
    <x v="4"/>
    <d v="2025-01-06T00:00:00"/>
    <x v="1"/>
    <x v="1"/>
    <x v="1"/>
    <x v="0"/>
    <x v="3"/>
    <x v="3"/>
    <x v="1"/>
    <x v="1"/>
  </r>
  <r>
    <s v="TX500109"/>
    <x v="10"/>
    <x v="12"/>
    <x v="102"/>
    <x v="106"/>
    <x v="4"/>
    <d v="2025-01-07T00:00:00"/>
    <x v="1"/>
    <x v="1"/>
    <x v="0"/>
    <x v="0"/>
    <x v="3"/>
    <x v="1"/>
    <x v="1"/>
    <x v="1"/>
  </r>
  <r>
    <s v="TX500110"/>
    <x v="2"/>
    <x v="4"/>
    <x v="103"/>
    <x v="107"/>
    <x v="4"/>
    <d v="2025-01-06T00:00:00"/>
    <x v="2"/>
    <x v="2"/>
    <x v="4"/>
    <x v="0"/>
    <x v="3"/>
    <x v="3"/>
    <x v="1"/>
    <x v="2"/>
  </r>
  <r>
    <s v="TX500111"/>
    <x v="0"/>
    <x v="12"/>
    <x v="104"/>
    <x v="108"/>
    <x v="4"/>
    <d v="2025-01-07T00:00:00"/>
    <x v="1"/>
    <x v="0"/>
    <x v="2"/>
    <x v="0"/>
    <x v="3"/>
    <x v="1"/>
    <x v="1"/>
    <x v="1"/>
  </r>
  <r>
    <s v="TX500112"/>
    <x v="4"/>
    <x v="0"/>
    <x v="34"/>
    <x v="109"/>
    <x v="4"/>
    <d v="2025-01-07T00:00:00"/>
    <x v="2"/>
    <x v="4"/>
    <x v="0"/>
    <x v="0"/>
    <x v="3"/>
    <x v="1"/>
    <x v="1"/>
    <x v="2"/>
  </r>
  <r>
    <s v="TX500113"/>
    <x v="7"/>
    <x v="1"/>
    <x v="105"/>
    <x v="110"/>
    <x v="4"/>
    <d v="2025-01-06T00:00:00"/>
    <x v="1"/>
    <x v="2"/>
    <x v="0"/>
    <x v="0"/>
    <x v="3"/>
    <x v="3"/>
    <x v="1"/>
    <x v="1"/>
  </r>
  <r>
    <s v="TX500114"/>
    <x v="18"/>
    <x v="0"/>
    <x v="106"/>
    <x v="111"/>
    <x v="4"/>
    <d v="2025-01-06T00:00:00"/>
    <x v="1"/>
    <x v="1"/>
    <x v="1"/>
    <x v="0"/>
    <x v="3"/>
    <x v="3"/>
    <x v="1"/>
    <x v="1"/>
  </r>
  <r>
    <s v="TX500115"/>
    <x v="10"/>
    <x v="1"/>
    <x v="23"/>
    <x v="112"/>
    <x v="4"/>
    <d v="2025-01-08T00:00:00"/>
    <x v="1"/>
    <x v="2"/>
    <x v="0"/>
    <x v="0"/>
    <x v="3"/>
    <x v="2"/>
    <x v="1"/>
    <x v="1"/>
  </r>
  <r>
    <s v="TX500116"/>
    <x v="6"/>
    <x v="13"/>
    <x v="107"/>
    <x v="113"/>
    <x v="4"/>
    <d v="2025-01-06T00:00:00"/>
    <x v="2"/>
    <x v="1"/>
    <x v="1"/>
    <x v="0"/>
    <x v="3"/>
    <x v="3"/>
    <x v="1"/>
    <x v="2"/>
  </r>
  <r>
    <s v="TX500117"/>
    <x v="4"/>
    <x v="7"/>
    <x v="108"/>
    <x v="114"/>
    <x v="4"/>
    <d v="2025-01-06T00:00:00"/>
    <x v="2"/>
    <x v="2"/>
    <x v="0"/>
    <x v="0"/>
    <x v="24"/>
    <x v="3"/>
    <x v="1"/>
    <x v="2"/>
  </r>
  <r>
    <s v="TX500118"/>
    <x v="1"/>
    <x v="4"/>
    <x v="109"/>
    <x v="115"/>
    <x v="4"/>
    <d v="2025-01-07T00:00:00"/>
    <x v="2"/>
    <x v="2"/>
    <x v="0"/>
    <x v="0"/>
    <x v="25"/>
    <x v="1"/>
    <x v="1"/>
    <x v="2"/>
  </r>
  <r>
    <s v="TX500119"/>
    <x v="6"/>
    <x v="13"/>
    <x v="110"/>
    <x v="116"/>
    <x v="4"/>
    <d v="2025-01-06T00:00:00"/>
    <x v="1"/>
    <x v="1"/>
    <x v="0"/>
    <x v="0"/>
    <x v="23"/>
    <x v="3"/>
    <x v="1"/>
    <x v="1"/>
  </r>
  <r>
    <s v="TX500120"/>
    <x v="1"/>
    <x v="2"/>
    <x v="111"/>
    <x v="20"/>
    <x v="4"/>
    <d v="2025-01-06T00:00:00"/>
    <x v="2"/>
    <x v="3"/>
    <x v="1"/>
    <x v="0"/>
    <x v="6"/>
    <x v="3"/>
    <x v="1"/>
    <x v="2"/>
  </r>
  <r>
    <s v="TX500121"/>
    <x v="6"/>
    <x v="2"/>
    <x v="112"/>
    <x v="117"/>
    <x v="4"/>
    <d v="2025-01-09T00:00:00"/>
    <x v="0"/>
    <x v="2"/>
    <x v="2"/>
    <x v="0"/>
    <x v="6"/>
    <x v="5"/>
    <x v="1"/>
    <x v="0"/>
  </r>
  <r>
    <s v="TX500122"/>
    <x v="6"/>
    <x v="2"/>
    <x v="113"/>
    <x v="118"/>
    <x v="4"/>
    <d v="2025-01-06T00:00:00"/>
    <x v="1"/>
    <x v="2"/>
    <x v="0"/>
    <x v="0"/>
    <x v="6"/>
    <x v="3"/>
    <x v="1"/>
    <x v="1"/>
  </r>
  <r>
    <s v="TX500123"/>
    <x v="12"/>
    <x v="0"/>
    <x v="114"/>
    <x v="119"/>
    <x v="4"/>
    <d v="2025-01-06T00:00:00"/>
    <x v="2"/>
    <x v="1"/>
    <x v="0"/>
    <x v="0"/>
    <x v="6"/>
    <x v="3"/>
    <x v="1"/>
    <x v="2"/>
  </r>
  <r>
    <s v="TX500124"/>
    <x v="2"/>
    <x v="1"/>
    <x v="115"/>
    <x v="120"/>
    <x v="4"/>
    <d v="2025-01-06T00:00:00"/>
    <x v="2"/>
    <x v="0"/>
    <x v="0"/>
    <x v="0"/>
    <x v="7"/>
    <x v="3"/>
    <x v="1"/>
    <x v="2"/>
  </r>
  <r>
    <s v="TX500125"/>
    <x v="1"/>
    <x v="13"/>
    <x v="116"/>
    <x v="121"/>
    <x v="4"/>
    <d v="2025-01-07T00:00:00"/>
    <x v="1"/>
    <x v="0"/>
    <x v="4"/>
    <x v="0"/>
    <x v="7"/>
    <x v="1"/>
    <x v="1"/>
    <x v="1"/>
  </r>
  <r>
    <s v="TX500126"/>
    <x v="7"/>
    <x v="1"/>
    <x v="117"/>
    <x v="122"/>
    <x v="4"/>
    <d v="2025-01-07T00:00:00"/>
    <x v="1"/>
    <x v="1"/>
    <x v="1"/>
    <x v="0"/>
    <x v="8"/>
    <x v="1"/>
    <x v="1"/>
    <x v="1"/>
  </r>
  <r>
    <s v="TX500127"/>
    <x v="6"/>
    <x v="2"/>
    <x v="100"/>
    <x v="103"/>
    <x v="4"/>
    <d v="2025-01-06T00:00:00"/>
    <x v="2"/>
    <x v="1"/>
    <x v="1"/>
    <x v="0"/>
    <x v="8"/>
    <x v="3"/>
    <x v="1"/>
    <x v="2"/>
  </r>
  <r>
    <s v="TX500128"/>
    <x v="1"/>
    <x v="1"/>
    <x v="118"/>
    <x v="123"/>
    <x v="5"/>
    <d v="2025-01-08T00:00:00"/>
    <x v="1"/>
    <x v="2"/>
    <x v="2"/>
    <x v="0"/>
    <x v="8"/>
    <x v="1"/>
    <x v="1"/>
    <x v="1"/>
  </r>
  <r>
    <s v="TX500129"/>
    <x v="6"/>
    <x v="9"/>
    <x v="119"/>
    <x v="124"/>
    <x v="5"/>
    <d v="2025-01-10T00:00:00"/>
    <x v="1"/>
    <x v="0"/>
    <x v="0"/>
    <x v="0"/>
    <x v="8"/>
    <x v="5"/>
    <x v="1"/>
    <x v="1"/>
  </r>
  <r>
    <s v="TX500130"/>
    <x v="16"/>
    <x v="2"/>
    <x v="120"/>
    <x v="125"/>
    <x v="5"/>
    <d v="2025-01-07T00:00:00"/>
    <x v="1"/>
    <x v="0"/>
    <x v="2"/>
    <x v="0"/>
    <x v="26"/>
    <x v="3"/>
    <x v="1"/>
    <x v="1"/>
  </r>
  <r>
    <s v="TX500131"/>
    <x v="9"/>
    <x v="0"/>
    <x v="121"/>
    <x v="126"/>
    <x v="5"/>
    <d v="2025-01-15T00:00:00"/>
    <x v="3"/>
    <x v="2"/>
    <x v="2"/>
    <x v="0"/>
    <x v="9"/>
    <x v="8"/>
    <x v="1"/>
    <x v="3"/>
  </r>
  <r>
    <s v="TX500132"/>
    <x v="0"/>
    <x v="18"/>
    <x v="122"/>
    <x v="127"/>
    <x v="5"/>
    <d v="2025-01-09T00:00:00"/>
    <x v="2"/>
    <x v="4"/>
    <x v="1"/>
    <x v="0"/>
    <x v="9"/>
    <x v="2"/>
    <x v="1"/>
    <x v="2"/>
  </r>
  <r>
    <s v="TX500133"/>
    <x v="6"/>
    <x v="19"/>
    <x v="123"/>
    <x v="128"/>
    <x v="5"/>
    <d v="2025-01-07T00:00:00"/>
    <x v="1"/>
    <x v="1"/>
    <x v="2"/>
    <x v="0"/>
    <x v="9"/>
    <x v="3"/>
    <x v="1"/>
    <x v="1"/>
  </r>
  <r>
    <s v="TX500134"/>
    <x v="5"/>
    <x v="2"/>
    <x v="124"/>
    <x v="129"/>
    <x v="5"/>
    <d v="2025-01-11T00:00:00"/>
    <x v="3"/>
    <x v="1"/>
    <x v="0"/>
    <x v="0"/>
    <x v="18"/>
    <x v="0"/>
    <x v="1"/>
    <x v="3"/>
  </r>
  <r>
    <s v="TX500135"/>
    <x v="1"/>
    <x v="11"/>
    <x v="125"/>
    <x v="130"/>
    <x v="5"/>
    <d v="2025-01-09T00:00:00"/>
    <x v="2"/>
    <x v="2"/>
    <x v="2"/>
    <x v="0"/>
    <x v="2"/>
    <x v="2"/>
    <x v="1"/>
    <x v="2"/>
  </r>
  <r>
    <s v="TX500136"/>
    <x v="11"/>
    <x v="1"/>
    <x v="126"/>
    <x v="131"/>
    <x v="5"/>
    <d v="2025-01-08T00:00:00"/>
    <x v="2"/>
    <x v="3"/>
    <x v="0"/>
    <x v="0"/>
    <x v="27"/>
    <x v="1"/>
    <x v="1"/>
    <x v="2"/>
  </r>
  <r>
    <s v="TX500137"/>
    <x v="15"/>
    <x v="0"/>
    <x v="127"/>
    <x v="132"/>
    <x v="5"/>
    <d v="2025-01-07T00:00:00"/>
    <x v="2"/>
    <x v="0"/>
    <x v="2"/>
    <x v="0"/>
    <x v="22"/>
    <x v="3"/>
    <x v="1"/>
    <x v="2"/>
  </r>
  <r>
    <s v="TX500138"/>
    <x v="5"/>
    <x v="3"/>
    <x v="128"/>
    <x v="133"/>
    <x v="5"/>
    <d v="2025-01-09T00:00:00"/>
    <x v="2"/>
    <x v="0"/>
    <x v="1"/>
    <x v="0"/>
    <x v="3"/>
    <x v="2"/>
    <x v="1"/>
    <x v="2"/>
  </r>
  <r>
    <s v="TX500139"/>
    <x v="0"/>
    <x v="0"/>
    <x v="129"/>
    <x v="134"/>
    <x v="5"/>
    <d v="2025-01-11T00:00:00"/>
    <x v="2"/>
    <x v="1"/>
    <x v="2"/>
    <x v="0"/>
    <x v="3"/>
    <x v="0"/>
    <x v="1"/>
    <x v="2"/>
  </r>
  <r>
    <s v="TX500140"/>
    <x v="8"/>
    <x v="0"/>
    <x v="130"/>
    <x v="135"/>
    <x v="5"/>
    <d v="2025-01-06T00:00:00"/>
    <x v="1"/>
    <x v="0"/>
    <x v="0"/>
    <x v="0"/>
    <x v="3"/>
    <x v="7"/>
    <x v="1"/>
    <x v="1"/>
  </r>
  <r>
    <s v="TX500141"/>
    <x v="2"/>
    <x v="13"/>
    <x v="131"/>
    <x v="136"/>
    <x v="5"/>
    <d v="2025-01-09T00:00:00"/>
    <x v="1"/>
    <x v="0"/>
    <x v="0"/>
    <x v="0"/>
    <x v="3"/>
    <x v="2"/>
    <x v="1"/>
    <x v="1"/>
  </r>
  <r>
    <s v="TX500142"/>
    <x v="9"/>
    <x v="0"/>
    <x v="132"/>
    <x v="137"/>
    <x v="5"/>
    <d v="2025-01-06T00:00:00"/>
    <x v="0"/>
    <x v="0"/>
    <x v="0"/>
    <x v="0"/>
    <x v="3"/>
    <x v="7"/>
    <x v="1"/>
    <x v="0"/>
  </r>
  <r>
    <s v="TX500143"/>
    <x v="8"/>
    <x v="8"/>
    <x v="133"/>
    <x v="138"/>
    <x v="5"/>
    <d v="2025-01-09T00:00:00"/>
    <x v="2"/>
    <x v="4"/>
    <x v="4"/>
    <x v="0"/>
    <x v="3"/>
    <x v="2"/>
    <x v="1"/>
    <x v="2"/>
  </r>
  <r>
    <s v="TX500144"/>
    <x v="4"/>
    <x v="1"/>
    <x v="134"/>
    <x v="139"/>
    <x v="5"/>
    <d v="2025-01-07T00:00:00"/>
    <x v="0"/>
    <x v="0"/>
    <x v="0"/>
    <x v="0"/>
    <x v="3"/>
    <x v="3"/>
    <x v="1"/>
    <x v="0"/>
  </r>
  <r>
    <s v="TX500145"/>
    <x v="9"/>
    <x v="2"/>
    <x v="135"/>
    <x v="140"/>
    <x v="5"/>
    <d v="2025-01-10T00:00:00"/>
    <x v="2"/>
    <x v="0"/>
    <x v="0"/>
    <x v="0"/>
    <x v="3"/>
    <x v="5"/>
    <x v="1"/>
    <x v="2"/>
  </r>
  <r>
    <s v="TX500146"/>
    <x v="18"/>
    <x v="4"/>
    <x v="136"/>
    <x v="141"/>
    <x v="5"/>
    <d v="2025-01-07T00:00:00"/>
    <x v="1"/>
    <x v="4"/>
    <x v="4"/>
    <x v="0"/>
    <x v="3"/>
    <x v="3"/>
    <x v="1"/>
    <x v="1"/>
  </r>
  <r>
    <s v="TX500147"/>
    <x v="0"/>
    <x v="12"/>
    <x v="23"/>
    <x v="142"/>
    <x v="5"/>
    <d v="2025-01-07T00:00:00"/>
    <x v="1"/>
    <x v="1"/>
    <x v="2"/>
    <x v="0"/>
    <x v="3"/>
    <x v="3"/>
    <x v="1"/>
    <x v="1"/>
  </r>
  <r>
    <s v="TX500148"/>
    <x v="8"/>
    <x v="12"/>
    <x v="137"/>
    <x v="143"/>
    <x v="5"/>
    <d v="2025-01-07T00:00:00"/>
    <x v="1"/>
    <x v="2"/>
    <x v="0"/>
    <x v="0"/>
    <x v="3"/>
    <x v="3"/>
    <x v="1"/>
    <x v="1"/>
  </r>
  <r>
    <s v="TX500149"/>
    <x v="8"/>
    <x v="0"/>
    <x v="138"/>
    <x v="144"/>
    <x v="5"/>
    <d v="2025-01-10T00:00:00"/>
    <x v="1"/>
    <x v="0"/>
    <x v="0"/>
    <x v="0"/>
    <x v="3"/>
    <x v="5"/>
    <x v="1"/>
    <x v="1"/>
  </r>
  <r>
    <s v="TX500150"/>
    <x v="10"/>
    <x v="12"/>
    <x v="16"/>
    <x v="145"/>
    <x v="5"/>
    <d v="2025-01-08T00:00:00"/>
    <x v="2"/>
    <x v="2"/>
    <x v="1"/>
    <x v="0"/>
    <x v="3"/>
    <x v="1"/>
    <x v="1"/>
    <x v="2"/>
  </r>
  <r>
    <s v="TX500151"/>
    <x v="13"/>
    <x v="20"/>
    <x v="139"/>
    <x v="146"/>
    <x v="5"/>
    <d v="2025-01-15T00:00:00"/>
    <x v="1"/>
    <x v="0"/>
    <x v="0"/>
    <x v="0"/>
    <x v="3"/>
    <x v="8"/>
    <x v="1"/>
    <x v="1"/>
  </r>
  <r>
    <s v="TX500152"/>
    <x v="1"/>
    <x v="12"/>
    <x v="140"/>
    <x v="147"/>
    <x v="6"/>
    <d v="2025-01-08T00:00:00"/>
    <x v="1"/>
    <x v="2"/>
    <x v="0"/>
    <x v="0"/>
    <x v="25"/>
    <x v="3"/>
    <x v="1"/>
    <x v="1"/>
  </r>
  <r>
    <s v="TX500153"/>
    <x v="2"/>
    <x v="9"/>
    <x v="141"/>
    <x v="148"/>
    <x v="6"/>
    <d v="2025-01-07T00:00:00"/>
    <x v="2"/>
    <x v="0"/>
    <x v="3"/>
    <x v="0"/>
    <x v="23"/>
    <x v="7"/>
    <x v="1"/>
    <x v="2"/>
  </r>
  <r>
    <s v="TX500154"/>
    <x v="10"/>
    <x v="3"/>
    <x v="142"/>
    <x v="149"/>
    <x v="6"/>
    <d v="2025-01-09T00:00:00"/>
    <x v="2"/>
    <x v="1"/>
    <x v="2"/>
    <x v="0"/>
    <x v="6"/>
    <x v="1"/>
    <x v="1"/>
    <x v="2"/>
  </r>
  <r>
    <s v="TX500155"/>
    <x v="8"/>
    <x v="1"/>
    <x v="143"/>
    <x v="150"/>
    <x v="6"/>
    <d v="2025-01-07T00:00:00"/>
    <x v="2"/>
    <x v="1"/>
    <x v="1"/>
    <x v="0"/>
    <x v="6"/>
    <x v="7"/>
    <x v="1"/>
    <x v="2"/>
  </r>
  <r>
    <s v="TX500156"/>
    <x v="8"/>
    <x v="12"/>
    <x v="144"/>
    <x v="151"/>
    <x v="6"/>
    <d v="2025-01-08T00:00:00"/>
    <x v="2"/>
    <x v="0"/>
    <x v="4"/>
    <x v="0"/>
    <x v="6"/>
    <x v="3"/>
    <x v="1"/>
    <x v="2"/>
  </r>
  <r>
    <s v="TX500157"/>
    <x v="10"/>
    <x v="9"/>
    <x v="145"/>
    <x v="152"/>
    <x v="6"/>
    <d v="2025-01-11T00:00:00"/>
    <x v="2"/>
    <x v="3"/>
    <x v="0"/>
    <x v="0"/>
    <x v="6"/>
    <x v="5"/>
    <x v="1"/>
    <x v="2"/>
  </r>
  <r>
    <s v="TX500158"/>
    <x v="18"/>
    <x v="21"/>
    <x v="146"/>
    <x v="153"/>
    <x v="6"/>
    <d v="2025-01-08T00:00:00"/>
    <x v="2"/>
    <x v="4"/>
    <x v="0"/>
    <x v="0"/>
    <x v="7"/>
    <x v="3"/>
    <x v="1"/>
    <x v="2"/>
  </r>
  <r>
    <s v="TX500159"/>
    <x v="8"/>
    <x v="12"/>
    <x v="7"/>
    <x v="154"/>
    <x v="6"/>
    <d v="2025-01-12T00:00:00"/>
    <x v="2"/>
    <x v="2"/>
    <x v="0"/>
    <x v="0"/>
    <x v="7"/>
    <x v="0"/>
    <x v="1"/>
    <x v="2"/>
  </r>
  <r>
    <s v="TX500160"/>
    <x v="6"/>
    <x v="9"/>
    <x v="147"/>
    <x v="155"/>
    <x v="6"/>
    <d v="2025-01-08T00:00:00"/>
    <x v="1"/>
    <x v="2"/>
    <x v="2"/>
    <x v="0"/>
    <x v="8"/>
    <x v="3"/>
    <x v="1"/>
    <x v="1"/>
  </r>
  <r>
    <s v="TX500161"/>
    <x v="6"/>
    <x v="2"/>
    <x v="148"/>
    <x v="156"/>
    <x v="6"/>
    <d v="2025-01-08T00:00:00"/>
    <x v="2"/>
    <x v="3"/>
    <x v="0"/>
    <x v="0"/>
    <x v="8"/>
    <x v="3"/>
    <x v="1"/>
    <x v="2"/>
  </r>
  <r>
    <s v="TX500162"/>
    <x v="2"/>
    <x v="12"/>
    <x v="149"/>
    <x v="157"/>
    <x v="6"/>
    <d v="2025-01-08T00:00:00"/>
    <x v="1"/>
    <x v="0"/>
    <x v="0"/>
    <x v="0"/>
    <x v="8"/>
    <x v="3"/>
    <x v="1"/>
    <x v="1"/>
  </r>
  <r>
    <s v="TX500163"/>
    <x v="0"/>
    <x v="11"/>
    <x v="150"/>
    <x v="158"/>
    <x v="6"/>
    <d v="2025-01-08T00:00:00"/>
    <x v="0"/>
    <x v="1"/>
    <x v="2"/>
    <x v="0"/>
    <x v="8"/>
    <x v="3"/>
    <x v="1"/>
    <x v="0"/>
  </r>
  <r>
    <s v="TX500164"/>
    <x v="15"/>
    <x v="8"/>
    <x v="151"/>
    <x v="159"/>
    <x v="6"/>
    <d v="2025-01-08T00:00:00"/>
    <x v="2"/>
    <x v="0"/>
    <x v="0"/>
    <x v="0"/>
    <x v="9"/>
    <x v="3"/>
    <x v="1"/>
    <x v="2"/>
  </r>
  <r>
    <s v="TX500165"/>
    <x v="6"/>
    <x v="2"/>
    <x v="152"/>
    <x v="160"/>
    <x v="6"/>
    <d v="2025-01-10T00:00:00"/>
    <x v="1"/>
    <x v="0"/>
    <x v="4"/>
    <x v="0"/>
    <x v="11"/>
    <x v="2"/>
    <x v="1"/>
    <x v="1"/>
  </r>
  <r>
    <s v="TX500166"/>
    <x v="17"/>
    <x v="8"/>
    <x v="153"/>
    <x v="161"/>
    <x v="6"/>
    <d v="2025-01-12T00:00:00"/>
    <x v="2"/>
    <x v="2"/>
    <x v="1"/>
    <x v="0"/>
    <x v="11"/>
    <x v="0"/>
    <x v="1"/>
    <x v="2"/>
  </r>
  <r>
    <s v="TX500167"/>
    <x v="2"/>
    <x v="1"/>
    <x v="154"/>
    <x v="162"/>
    <x v="6"/>
    <d v="2025-01-09T00:00:00"/>
    <x v="2"/>
    <x v="0"/>
    <x v="0"/>
    <x v="0"/>
    <x v="18"/>
    <x v="1"/>
    <x v="1"/>
    <x v="2"/>
  </r>
  <r>
    <s v="TX500168"/>
    <x v="10"/>
    <x v="0"/>
    <x v="155"/>
    <x v="163"/>
    <x v="6"/>
    <d v="2025-01-11T00:00:00"/>
    <x v="2"/>
    <x v="1"/>
    <x v="0"/>
    <x v="0"/>
    <x v="18"/>
    <x v="5"/>
    <x v="1"/>
    <x v="2"/>
  </r>
  <r>
    <s v="TX500169"/>
    <x v="10"/>
    <x v="1"/>
    <x v="156"/>
    <x v="164"/>
    <x v="6"/>
    <d v="2025-01-18T00:00:00"/>
    <x v="2"/>
    <x v="4"/>
    <x v="1"/>
    <x v="0"/>
    <x v="18"/>
    <x v="11"/>
    <x v="1"/>
    <x v="2"/>
  </r>
  <r>
    <s v="TX500170"/>
    <x v="4"/>
    <x v="1"/>
    <x v="157"/>
    <x v="165"/>
    <x v="6"/>
    <d v="2025-01-10T00:00:00"/>
    <x v="2"/>
    <x v="1"/>
    <x v="0"/>
    <x v="0"/>
    <x v="28"/>
    <x v="2"/>
    <x v="1"/>
    <x v="2"/>
  </r>
  <r>
    <s v="TX500171"/>
    <x v="5"/>
    <x v="0"/>
    <x v="158"/>
    <x v="166"/>
    <x v="6"/>
    <d v="2025-01-07T00:00:00"/>
    <x v="2"/>
    <x v="0"/>
    <x v="2"/>
    <x v="0"/>
    <x v="1"/>
    <x v="7"/>
    <x v="1"/>
    <x v="2"/>
  </r>
  <r>
    <s v="TX500172"/>
    <x v="0"/>
    <x v="10"/>
    <x v="159"/>
    <x v="167"/>
    <x v="6"/>
    <d v="2025-01-09T00:00:00"/>
    <x v="1"/>
    <x v="0"/>
    <x v="2"/>
    <x v="0"/>
    <x v="2"/>
    <x v="1"/>
    <x v="1"/>
    <x v="1"/>
  </r>
  <r>
    <s v="TX500173"/>
    <x v="10"/>
    <x v="0"/>
    <x v="160"/>
    <x v="168"/>
    <x v="6"/>
    <d v="2025-01-10T00:00:00"/>
    <x v="1"/>
    <x v="3"/>
    <x v="2"/>
    <x v="0"/>
    <x v="3"/>
    <x v="2"/>
    <x v="1"/>
    <x v="1"/>
  </r>
  <r>
    <s v="TX500174"/>
    <x v="14"/>
    <x v="1"/>
    <x v="161"/>
    <x v="169"/>
    <x v="6"/>
    <d v="2025-01-09T00:00:00"/>
    <x v="2"/>
    <x v="1"/>
    <x v="2"/>
    <x v="0"/>
    <x v="3"/>
    <x v="1"/>
    <x v="1"/>
    <x v="2"/>
  </r>
  <r>
    <s v="TX500175"/>
    <x v="10"/>
    <x v="1"/>
    <x v="162"/>
    <x v="170"/>
    <x v="6"/>
    <d v="2025-01-08T00:00:00"/>
    <x v="2"/>
    <x v="1"/>
    <x v="2"/>
    <x v="0"/>
    <x v="3"/>
    <x v="3"/>
    <x v="1"/>
    <x v="2"/>
  </r>
  <r>
    <s v="TX500176"/>
    <x v="18"/>
    <x v="22"/>
    <x v="163"/>
    <x v="171"/>
    <x v="6"/>
    <d v="2025-01-07T00:00:00"/>
    <x v="2"/>
    <x v="2"/>
    <x v="0"/>
    <x v="0"/>
    <x v="3"/>
    <x v="7"/>
    <x v="1"/>
    <x v="2"/>
  </r>
  <r>
    <s v="TX500177"/>
    <x v="3"/>
    <x v="0"/>
    <x v="164"/>
    <x v="172"/>
    <x v="6"/>
    <d v="2025-01-07T00:00:00"/>
    <x v="2"/>
    <x v="2"/>
    <x v="1"/>
    <x v="0"/>
    <x v="3"/>
    <x v="7"/>
    <x v="1"/>
    <x v="2"/>
  </r>
  <r>
    <s v="TX500178"/>
    <x v="15"/>
    <x v="15"/>
    <x v="120"/>
    <x v="173"/>
    <x v="6"/>
    <d v="2025-01-08T00:00:00"/>
    <x v="1"/>
    <x v="0"/>
    <x v="0"/>
    <x v="0"/>
    <x v="3"/>
    <x v="3"/>
    <x v="1"/>
    <x v="1"/>
  </r>
  <r>
    <s v="TX500179"/>
    <x v="8"/>
    <x v="9"/>
    <x v="165"/>
    <x v="174"/>
    <x v="6"/>
    <d v="2025-01-12T00:00:00"/>
    <x v="2"/>
    <x v="4"/>
    <x v="0"/>
    <x v="0"/>
    <x v="3"/>
    <x v="0"/>
    <x v="1"/>
    <x v="2"/>
  </r>
  <r>
    <s v="TX500180"/>
    <x v="6"/>
    <x v="9"/>
    <x v="166"/>
    <x v="175"/>
    <x v="6"/>
    <d v="2025-01-11T00:00:00"/>
    <x v="0"/>
    <x v="3"/>
    <x v="0"/>
    <x v="0"/>
    <x v="3"/>
    <x v="5"/>
    <x v="1"/>
    <x v="0"/>
  </r>
  <r>
    <s v="TX500181"/>
    <x v="9"/>
    <x v="5"/>
    <x v="167"/>
    <x v="176"/>
    <x v="6"/>
    <d v="2025-01-08T00:00:00"/>
    <x v="2"/>
    <x v="2"/>
    <x v="0"/>
    <x v="0"/>
    <x v="3"/>
    <x v="3"/>
    <x v="1"/>
    <x v="2"/>
  </r>
  <r>
    <s v="TX500182"/>
    <x v="7"/>
    <x v="3"/>
    <x v="168"/>
    <x v="177"/>
    <x v="6"/>
    <d v="2025-01-08T00:00:00"/>
    <x v="1"/>
    <x v="1"/>
    <x v="4"/>
    <x v="0"/>
    <x v="3"/>
    <x v="3"/>
    <x v="1"/>
    <x v="1"/>
  </r>
  <r>
    <s v="TX500183"/>
    <x v="0"/>
    <x v="0"/>
    <x v="169"/>
    <x v="178"/>
    <x v="7"/>
    <d v="2025-01-12T00:00:00"/>
    <x v="2"/>
    <x v="2"/>
    <x v="1"/>
    <x v="0"/>
    <x v="3"/>
    <x v="5"/>
    <x v="1"/>
    <x v="2"/>
  </r>
  <r>
    <s v="TX500184"/>
    <x v="0"/>
    <x v="2"/>
    <x v="137"/>
    <x v="179"/>
    <x v="7"/>
    <d v="2025-01-09T00:00:00"/>
    <x v="2"/>
    <x v="1"/>
    <x v="0"/>
    <x v="0"/>
    <x v="29"/>
    <x v="3"/>
    <x v="1"/>
    <x v="2"/>
  </r>
  <r>
    <s v="TX500185"/>
    <x v="8"/>
    <x v="1"/>
    <x v="170"/>
    <x v="180"/>
    <x v="7"/>
    <d v="2025-01-09T00:00:00"/>
    <x v="1"/>
    <x v="0"/>
    <x v="2"/>
    <x v="0"/>
    <x v="23"/>
    <x v="3"/>
    <x v="1"/>
    <x v="1"/>
  </r>
  <r>
    <s v="TX500186"/>
    <x v="8"/>
    <x v="0"/>
    <x v="171"/>
    <x v="181"/>
    <x v="7"/>
    <d v="2025-01-13T00:00:00"/>
    <x v="1"/>
    <x v="0"/>
    <x v="0"/>
    <x v="0"/>
    <x v="6"/>
    <x v="0"/>
    <x v="1"/>
    <x v="1"/>
  </r>
  <r>
    <s v="TX500187"/>
    <x v="11"/>
    <x v="11"/>
    <x v="172"/>
    <x v="182"/>
    <x v="7"/>
    <d v="2025-01-08T00:00:00"/>
    <x v="2"/>
    <x v="0"/>
    <x v="0"/>
    <x v="0"/>
    <x v="8"/>
    <x v="7"/>
    <x v="1"/>
    <x v="2"/>
  </r>
  <r>
    <s v="TX500188"/>
    <x v="8"/>
    <x v="10"/>
    <x v="173"/>
    <x v="183"/>
    <x v="7"/>
    <d v="2025-01-09T00:00:00"/>
    <x v="2"/>
    <x v="1"/>
    <x v="2"/>
    <x v="0"/>
    <x v="8"/>
    <x v="3"/>
    <x v="1"/>
    <x v="2"/>
  </r>
  <r>
    <s v="TX500189"/>
    <x v="8"/>
    <x v="2"/>
    <x v="174"/>
    <x v="184"/>
    <x v="7"/>
    <d v="2025-01-09T00:00:00"/>
    <x v="1"/>
    <x v="0"/>
    <x v="2"/>
    <x v="0"/>
    <x v="8"/>
    <x v="3"/>
    <x v="1"/>
    <x v="1"/>
  </r>
  <r>
    <s v="TX500190"/>
    <x v="12"/>
    <x v="11"/>
    <x v="175"/>
    <x v="185"/>
    <x v="7"/>
    <d v="2025-01-10T00:00:00"/>
    <x v="2"/>
    <x v="2"/>
    <x v="2"/>
    <x v="0"/>
    <x v="17"/>
    <x v="1"/>
    <x v="1"/>
    <x v="2"/>
  </r>
  <r>
    <s v="TX500191"/>
    <x v="6"/>
    <x v="1"/>
    <x v="147"/>
    <x v="186"/>
    <x v="7"/>
    <d v="2025-01-12T00:00:00"/>
    <x v="0"/>
    <x v="0"/>
    <x v="2"/>
    <x v="0"/>
    <x v="10"/>
    <x v="5"/>
    <x v="1"/>
    <x v="0"/>
  </r>
  <r>
    <s v="TX500192"/>
    <x v="10"/>
    <x v="9"/>
    <x v="176"/>
    <x v="187"/>
    <x v="7"/>
    <d v="2025-01-10T00:00:00"/>
    <x v="0"/>
    <x v="2"/>
    <x v="2"/>
    <x v="0"/>
    <x v="11"/>
    <x v="1"/>
    <x v="1"/>
    <x v="0"/>
  </r>
  <r>
    <s v="TX500193"/>
    <x v="6"/>
    <x v="1"/>
    <x v="147"/>
    <x v="186"/>
    <x v="7"/>
    <d v="2025-01-10T00:00:00"/>
    <x v="1"/>
    <x v="1"/>
    <x v="2"/>
    <x v="0"/>
    <x v="30"/>
    <x v="1"/>
    <x v="1"/>
    <x v="1"/>
  </r>
  <r>
    <s v="TX500194"/>
    <x v="18"/>
    <x v="23"/>
    <x v="177"/>
    <x v="188"/>
    <x v="7"/>
    <d v="2025-01-09T00:00:00"/>
    <x v="2"/>
    <x v="0"/>
    <x v="2"/>
    <x v="0"/>
    <x v="18"/>
    <x v="3"/>
    <x v="1"/>
    <x v="2"/>
  </r>
  <r>
    <s v="TX500195"/>
    <x v="8"/>
    <x v="3"/>
    <x v="134"/>
    <x v="189"/>
    <x v="7"/>
    <d v="2025-01-08T00:00:00"/>
    <x v="2"/>
    <x v="0"/>
    <x v="0"/>
    <x v="0"/>
    <x v="19"/>
    <x v="7"/>
    <x v="1"/>
    <x v="2"/>
  </r>
  <r>
    <s v="TX500196"/>
    <x v="0"/>
    <x v="1"/>
    <x v="178"/>
    <x v="190"/>
    <x v="7"/>
    <d v="2025-01-10T00:00:00"/>
    <x v="2"/>
    <x v="0"/>
    <x v="0"/>
    <x v="0"/>
    <x v="19"/>
    <x v="1"/>
    <x v="1"/>
    <x v="2"/>
  </r>
  <r>
    <s v="TX500197"/>
    <x v="8"/>
    <x v="8"/>
    <x v="29"/>
    <x v="191"/>
    <x v="7"/>
    <d v="2025-01-08T00:00:00"/>
    <x v="2"/>
    <x v="1"/>
    <x v="2"/>
    <x v="0"/>
    <x v="19"/>
    <x v="7"/>
    <x v="1"/>
    <x v="2"/>
  </r>
  <r>
    <s v="TX500198"/>
    <x v="10"/>
    <x v="3"/>
    <x v="179"/>
    <x v="192"/>
    <x v="7"/>
    <d v="2025-01-11T00:00:00"/>
    <x v="2"/>
    <x v="1"/>
    <x v="0"/>
    <x v="0"/>
    <x v="21"/>
    <x v="2"/>
    <x v="1"/>
    <x v="2"/>
  </r>
  <r>
    <s v="TX500199"/>
    <x v="18"/>
    <x v="2"/>
    <x v="180"/>
    <x v="193"/>
    <x v="7"/>
    <d v="2025-01-09T00:00:00"/>
    <x v="1"/>
    <x v="2"/>
    <x v="2"/>
    <x v="0"/>
    <x v="1"/>
    <x v="3"/>
    <x v="1"/>
    <x v="1"/>
  </r>
  <r>
    <s v="TX500200"/>
    <x v="5"/>
    <x v="1"/>
    <x v="181"/>
    <x v="194"/>
    <x v="7"/>
    <d v="2025-01-10T00:00:00"/>
    <x v="1"/>
    <x v="0"/>
    <x v="2"/>
    <x v="0"/>
    <x v="2"/>
    <x v="1"/>
    <x v="1"/>
    <x v="1"/>
  </r>
  <r>
    <s v="TX500201"/>
    <x v="8"/>
    <x v="8"/>
    <x v="101"/>
    <x v="195"/>
    <x v="7"/>
    <d v="2025-01-11T00:00:00"/>
    <x v="1"/>
    <x v="1"/>
    <x v="0"/>
    <x v="0"/>
    <x v="3"/>
    <x v="2"/>
    <x v="1"/>
    <x v="1"/>
  </r>
  <r>
    <s v="TX500202"/>
    <x v="7"/>
    <x v="1"/>
    <x v="182"/>
    <x v="196"/>
    <x v="7"/>
    <d v="2025-01-16T00:00:00"/>
    <x v="1"/>
    <x v="3"/>
    <x v="2"/>
    <x v="0"/>
    <x v="3"/>
    <x v="9"/>
    <x v="1"/>
    <x v="1"/>
  </r>
  <r>
    <s v="TX500203"/>
    <x v="6"/>
    <x v="1"/>
    <x v="183"/>
    <x v="197"/>
    <x v="8"/>
    <d v="2025-01-10T00:00:00"/>
    <x v="2"/>
    <x v="2"/>
    <x v="0"/>
    <x v="0"/>
    <x v="3"/>
    <x v="3"/>
    <x v="1"/>
    <x v="2"/>
  </r>
  <r>
    <s v="TX500204"/>
    <x v="7"/>
    <x v="3"/>
    <x v="146"/>
    <x v="198"/>
    <x v="8"/>
    <d v="2025-01-12T00:00:00"/>
    <x v="2"/>
    <x v="2"/>
    <x v="2"/>
    <x v="0"/>
    <x v="3"/>
    <x v="2"/>
    <x v="1"/>
    <x v="2"/>
  </r>
  <r>
    <s v="TX500205"/>
    <x v="3"/>
    <x v="1"/>
    <x v="184"/>
    <x v="199"/>
    <x v="8"/>
    <d v="2025-01-13T00:00:00"/>
    <x v="2"/>
    <x v="2"/>
    <x v="0"/>
    <x v="0"/>
    <x v="3"/>
    <x v="5"/>
    <x v="1"/>
    <x v="2"/>
  </r>
  <r>
    <s v="TX500206"/>
    <x v="2"/>
    <x v="12"/>
    <x v="185"/>
    <x v="200"/>
    <x v="8"/>
    <d v="2025-01-10T00:00:00"/>
    <x v="2"/>
    <x v="1"/>
    <x v="0"/>
    <x v="0"/>
    <x v="3"/>
    <x v="3"/>
    <x v="1"/>
    <x v="2"/>
  </r>
  <r>
    <s v="TX500207"/>
    <x v="1"/>
    <x v="10"/>
    <x v="186"/>
    <x v="201"/>
    <x v="8"/>
    <d v="2025-01-09T00:00:00"/>
    <x v="2"/>
    <x v="1"/>
    <x v="1"/>
    <x v="0"/>
    <x v="3"/>
    <x v="7"/>
    <x v="1"/>
    <x v="2"/>
  </r>
  <r>
    <s v="TX500208"/>
    <x v="17"/>
    <x v="0"/>
    <x v="187"/>
    <x v="202"/>
    <x v="8"/>
    <d v="2025-01-13T00:00:00"/>
    <x v="2"/>
    <x v="1"/>
    <x v="0"/>
    <x v="0"/>
    <x v="3"/>
    <x v="5"/>
    <x v="1"/>
    <x v="2"/>
  </r>
  <r>
    <s v="TX500209"/>
    <x v="0"/>
    <x v="2"/>
    <x v="183"/>
    <x v="203"/>
    <x v="8"/>
    <d v="2025-01-12T00:00:00"/>
    <x v="2"/>
    <x v="4"/>
    <x v="4"/>
    <x v="0"/>
    <x v="3"/>
    <x v="2"/>
    <x v="1"/>
    <x v="2"/>
  </r>
  <r>
    <s v="TX500210"/>
    <x v="8"/>
    <x v="1"/>
    <x v="188"/>
    <x v="204"/>
    <x v="8"/>
    <d v="2025-01-10T00:00:00"/>
    <x v="1"/>
    <x v="3"/>
    <x v="2"/>
    <x v="0"/>
    <x v="3"/>
    <x v="3"/>
    <x v="1"/>
    <x v="1"/>
  </r>
  <r>
    <s v="TX500211"/>
    <x v="1"/>
    <x v="0"/>
    <x v="81"/>
    <x v="83"/>
    <x v="8"/>
    <d v="2025-01-09T00:00:00"/>
    <x v="2"/>
    <x v="0"/>
    <x v="2"/>
    <x v="0"/>
    <x v="6"/>
    <x v="7"/>
    <x v="1"/>
    <x v="2"/>
  </r>
  <r>
    <s v="TX500212"/>
    <x v="1"/>
    <x v="9"/>
    <x v="189"/>
    <x v="205"/>
    <x v="8"/>
    <d v="2025-01-12T00:00:00"/>
    <x v="2"/>
    <x v="0"/>
    <x v="0"/>
    <x v="0"/>
    <x v="6"/>
    <x v="2"/>
    <x v="1"/>
    <x v="2"/>
  </r>
  <r>
    <s v="TX500213"/>
    <x v="2"/>
    <x v="12"/>
    <x v="190"/>
    <x v="206"/>
    <x v="8"/>
    <d v="2025-01-10T00:00:00"/>
    <x v="1"/>
    <x v="0"/>
    <x v="1"/>
    <x v="0"/>
    <x v="8"/>
    <x v="3"/>
    <x v="1"/>
    <x v="1"/>
  </r>
  <r>
    <s v="TX500214"/>
    <x v="9"/>
    <x v="18"/>
    <x v="191"/>
    <x v="207"/>
    <x v="8"/>
    <d v="2025-01-09T00:00:00"/>
    <x v="2"/>
    <x v="0"/>
    <x v="0"/>
    <x v="0"/>
    <x v="9"/>
    <x v="7"/>
    <x v="1"/>
    <x v="2"/>
  </r>
  <r>
    <s v="TX500215"/>
    <x v="16"/>
    <x v="12"/>
    <x v="192"/>
    <x v="208"/>
    <x v="8"/>
    <d v="2025-01-11T00:00:00"/>
    <x v="2"/>
    <x v="1"/>
    <x v="1"/>
    <x v="0"/>
    <x v="18"/>
    <x v="1"/>
    <x v="1"/>
    <x v="2"/>
  </r>
  <r>
    <s v="TX500216"/>
    <x v="6"/>
    <x v="2"/>
    <x v="193"/>
    <x v="209"/>
    <x v="8"/>
    <d v="2025-01-11T00:00:00"/>
    <x v="2"/>
    <x v="0"/>
    <x v="2"/>
    <x v="0"/>
    <x v="31"/>
    <x v="1"/>
    <x v="1"/>
    <x v="2"/>
  </r>
  <r>
    <s v="TX500217"/>
    <x v="1"/>
    <x v="9"/>
    <x v="194"/>
    <x v="210"/>
    <x v="8"/>
    <d v="2025-01-13T00:00:00"/>
    <x v="2"/>
    <x v="4"/>
    <x v="2"/>
    <x v="0"/>
    <x v="21"/>
    <x v="5"/>
    <x v="1"/>
    <x v="2"/>
  </r>
  <r>
    <s v="TX500218"/>
    <x v="8"/>
    <x v="9"/>
    <x v="65"/>
    <x v="211"/>
    <x v="8"/>
    <d v="2025-01-10T00:00:00"/>
    <x v="1"/>
    <x v="0"/>
    <x v="1"/>
    <x v="0"/>
    <x v="21"/>
    <x v="3"/>
    <x v="1"/>
    <x v="1"/>
  </r>
  <r>
    <s v="TX500219"/>
    <x v="5"/>
    <x v="1"/>
    <x v="195"/>
    <x v="212"/>
    <x v="9"/>
    <d v="2025-01-13T00:00:00"/>
    <x v="2"/>
    <x v="1"/>
    <x v="0"/>
    <x v="0"/>
    <x v="2"/>
    <x v="2"/>
    <x v="1"/>
    <x v="2"/>
  </r>
  <r>
    <s v="TX500220"/>
    <x v="6"/>
    <x v="12"/>
    <x v="196"/>
    <x v="213"/>
    <x v="9"/>
    <d v="2025-01-11T00:00:00"/>
    <x v="1"/>
    <x v="3"/>
    <x v="0"/>
    <x v="0"/>
    <x v="3"/>
    <x v="3"/>
    <x v="1"/>
    <x v="1"/>
  </r>
  <r>
    <s v="TX500221"/>
    <x v="6"/>
    <x v="2"/>
    <x v="197"/>
    <x v="214"/>
    <x v="9"/>
    <d v="2025-01-14T00:00:00"/>
    <x v="0"/>
    <x v="0"/>
    <x v="2"/>
    <x v="0"/>
    <x v="3"/>
    <x v="5"/>
    <x v="1"/>
    <x v="0"/>
  </r>
  <r>
    <s v="TX500222"/>
    <x v="5"/>
    <x v="0"/>
    <x v="102"/>
    <x v="204"/>
    <x v="9"/>
    <d v="2025-01-12T00:00:00"/>
    <x v="1"/>
    <x v="1"/>
    <x v="0"/>
    <x v="0"/>
    <x v="3"/>
    <x v="1"/>
    <x v="1"/>
    <x v="1"/>
  </r>
  <r>
    <s v="TX500223"/>
    <x v="12"/>
    <x v="1"/>
    <x v="190"/>
    <x v="215"/>
    <x v="9"/>
    <d v="2025-01-11T00:00:00"/>
    <x v="2"/>
    <x v="2"/>
    <x v="0"/>
    <x v="0"/>
    <x v="3"/>
    <x v="3"/>
    <x v="1"/>
    <x v="2"/>
  </r>
  <r>
    <s v="TX500224"/>
    <x v="2"/>
    <x v="12"/>
    <x v="198"/>
    <x v="216"/>
    <x v="9"/>
    <d v="2025-01-14T00:00:00"/>
    <x v="2"/>
    <x v="0"/>
    <x v="0"/>
    <x v="0"/>
    <x v="4"/>
    <x v="5"/>
    <x v="1"/>
    <x v="2"/>
  </r>
  <r>
    <s v="TX500225"/>
    <x v="13"/>
    <x v="3"/>
    <x v="199"/>
    <x v="217"/>
    <x v="9"/>
    <d v="2025-01-15T00:00:00"/>
    <x v="1"/>
    <x v="1"/>
    <x v="0"/>
    <x v="0"/>
    <x v="6"/>
    <x v="0"/>
    <x v="1"/>
    <x v="1"/>
  </r>
  <r>
    <s v="TX500226"/>
    <x v="18"/>
    <x v="9"/>
    <x v="200"/>
    <x v="218"/>
    <x v="9"/>
    <d v="2025-01-10T00:00:00"/>
    <x v="2"/>
    <x v="1"/>
    <x v="0"/>
    <x v="0"/>
    <x v="6"/>
    <x v="7"/>
    <x v="1"/>
    <x v="2"/>
  </r>
  <r>
    <s v="TX500227"/>
    <x v="9"/>
    <x v="2"/>
    <x v="201"/>
    <x v="219"/>
    <x v="9"/>
    <d v="2025-01-15T00:00:00"/>
    <x v="1"/>
    <x v="3"/>
    <x v="0"/>
    <x v="0"/>
    <x v="8"/>
    <x v="0"/>
    <x v="1"/>
    <x v="1"/>
  </r>
  <r>
    <s v="TX500228"/>
    <x v="11"/>
    <x v="0"/>
    <x v="202"/>
    <x v="220"/>
    <x v="9"/>
    <d v="2025-01-15T00:00:00"/>
    <x v="2"/>
    <x v="0"/>
    <x v="2"/>
    <x v="0"/>
    <x v="8"/>
    <x v="0"/>
    <x v="1"/>
    <x v="2"/>
  </r>
  <r>
    <s v="TX500229"/>
    <x v="8"/>
    <x v="0"/>
    <x v="203"/>
    <x v="221"/>
    <x v="9"/>
    <d v="2025-01-15T00:00:00"/>
    <x v="2"/>
    <x v="3"/>
    <x v="1"/>
    <x v="0"/>
    <x v="8"/>
    <x v="0"/>
    <x v="1"/>
    <x v="2"/>
  </r>
  <r>
    <s v="TX500230"/>
    <x v="10"/>
    <x v="3"/>
    <x v="204"/>
    <x v="222"/>
    <x v="9"/>
    <d v="2025-01-11T00:00:00"/>
    <x v="1"/>
    <x v="2"/>
    <x v="0"/>
    <x v="0"/>
    <x v="11"/>
    <x v="3"/>
    <x v="1"/>
    <x v="1"/>
  </r>
  <r>
    <s v="TX500231"/>
    <x v="6"/>
    <x v="0"/>
    <x v="205"/>
    <x v="85"/>
    <x v="9"/>
    <d v="2025-01-14T00:00:00"/>
    <x v="2"/>
    <x v="0"/>
    <x v="0"/>
    <x v="0"/>
    <x v="11"/>
    <x v="5"/>
    <x v="1"/>
    <x v="2"/>
  </r>
  <r>
    <s v="TX500232"/>
    <x v="7"/>
    <x v="2"/>
    <x v="206"/>
    <x v="223"/>
    <x v="9"/>
    <d v="2025-01-11T00:00:00"/>
    <x v="2"/>
    <x v="2"/>
    <x v="0"/>
    <x v="0"/>
    <x v="32"/>
    <x v="3"/>
    <x v="1"/>
    <x v="2"/>
  </r>
  <r>
    <s v="TX500233"/>
    <x v="18"/>
    <x v="2"/>
    <x v="207"/>
    <x v="224"/>
    <x v="9"/>
    <d v="2025-01-10T00:00:00"/>
    <x v="1"/>
    <x v="1"/>
    <x v="1"/>
    <x v="0"/>
    <x v="18"/>
    <x v="7"/>
    <x v="1"/>
    <x v="1"/>
  </r>
  <r>
    <s v="TX500234"/>
    <x v="8"/>
    <x v="1"/>
    <x v="208"/>
    <x v="225"/>
    <x v="9"/>
    <d v="2025-01-13T00:00:00"/>
    <x v="2"/>
    <x v="0"/>
    <x v="2"/>
    <x v="0"/>
    <x v="20"/>
    <x v="2"/>
    <x v="1"/>
    <x v="2"/>
  </r>
  <r>
    <s v="TX500235"/>
    <x v="19"/>
    <x v="9"/>
    <x v="209"/>
    <x v="160"/>
    <x v="9"/>
    <d v="2025-01-11T00:00:00"/>
    <x v="1"/>
    <x v="4"/>
    <x v="0"/>
    <x v="0"/>
    <x v="1"/>
    <x v="3"/>
    <x v="1"/>
    <x v="1"/>
  </r>
  <r>
    <s v="TX500236"/>
    <x v="0"/>
    <x v="7"/>
    <x v="210"/>
    <x v="226"/>
    <x v="9"/>
    <d v="2025-01-10T00:00:00"/>
    <x v="2"/>
    <x v="1"/>
    <x v="2"/>
    <x v="0"/>
    <x v="22"/>
    <x v="7"/>
    <x v="1"/>
    <x v="2"/>
  </r>
  <r>
    <s v="TX500237"/>
    <x v="6"/>
    <x v="24"/>
    <x v="211"/>
    <x v="227"/>
    <x v="9"/>
    <d v="2025-01-12T00:00:00"/>
    <x v="2"/>
    <x v="0"/>
    <x v="2"/>
    <x v="0"/>
    <x v="3"/>
    <x v="1"/>
    <x v="1"/>
    <x v="2"/>
  </r>
  <r>
    <s v="TX500238"/>
    <x v="10"/>
    <x v="2"/>
    <x v="212"/>
    <x v="228"/>
    <x v="9"/>
    <d v="2025-01-11T00:00:00"/>
    <x v="2"/>
    <x v="0"/>
    <x v="0"/>
    <x v="0"/>
    <x v="3"/>
    <x v="3"/>
    <x v="1"/>
    <x v="2"/>
  </r>
  <r>
    <s v="TX500239"/>
    <x v="6"/>
    <x v="13"/>
    <x v="14"/>
    <x v="229"/>
    <x v="9"/>
    <d v="2025-01-14T00:00:00"/>
    <x v="1"/>
    <x v="4"/>
    <x v="1"/>
    <x v="0"/>
    <x v="3"/>
    <x v="5"/>
    <x v="1"/>
    <x v="1"/>
  </r>
  <r>
    <s v="TX500240"/>
    <x v="1"/>
    <x v="12"/>
    <x v="213"/>
    <x v="230"/>
    <x v="9"/>
    <d v="2025-01-12T00:00:00"/>
    <x v="2"/>
    <x v="1"/>
    <x v="0"/>
    <x v="0"/>
    <x v="3"/>
    <x v="1"/>
    <x v="1"/>
    <x v="2"/>
  </r>
  <r>
    <s v="TX500241"/>
    <x v="12"/>
    <x v="2"/>
    <x v="214"/>
    <x v="231"/>
    <x v="9"/>
    <d v="2025-01-13T00:00:00"/>
    <x v="2"/>
    <x v="0"/>
    <x v="2"/>
    <x v="0"/>
    <x v="29"/>
    <x v="2"/>
    <x v="1"/>
    <x v="2"/>
  </r>
  <r>
    <s v="TX500242"/>
    <x v="2"/>
    <x v="9"/>
    <x v="215"/>
    <x v="232"/>
    <x v="9"/>
    <d v="2025-01-10T00:00:00"/>
    <x v="1"/>
    <x v="2"/>
    <x v="2"/>
    <x v="0"/>
    <x v="6"/>
    <x v="7"/>
    <x v="1"/>
    <x v="1"/>
  </r>
  <r>
    <s v="TX500243"/>
    <x v="5"/>
    <x v="2"/>
    <x v="216"/>
    <x v="233"/>
    <x v="10"/>
    <d v="2025-01-13T00:00:00"/>
    <x v="1"/>
    <x v="3"/>
    <x v="0"/>
    <x v="0"/>
    <x v="6"/>
    <x v="1"/>
    <x v="1"/>
    <x v="1"/>
  </r>
  <r>
    <s v="TX500244"/>
    <x v="4"/>
    <x v="2"/>
    <x v="217"/>
    <x v="234"/>
    <x v="10"/>
    <d v="2025-01-14T00:00:00"/>
    <x v="1"/>
    <x v="0"/>
    <x v="1"/>
    <x v="0"/>
    <x v="8"/>
    <x v="2"/>
    <x v="1"/>
    <x v="1"/>
  </r>
  <r>
    <s v="TX500245"/>
    <x v="6"/>
    <x v="3"/>
    <x v="218"/>
    <x v="235"/>
    <x v="10"/>
    <d v="2025-01-15T00:00:00"/>
    <x v="2"/>
    <x v="1"/>
    <x v="2"/>
    <x v="0"/>
    <x v="8"/>
    <x v="5"/>
    <x v="1"/>
    <x v="2"/>
  </r>
  <r>
    <s v="TX500246"/>
    <x v="8"/>
    <x v="1"/>
    <x v="128"/>
    <x v="236"/>
    <x v="10"/>
    <d v="2025-01-12T00:00:00"/>
    <x v="1"/>
    <x v="1"/>
    <x v="1"/>
    <x v="0"/>
    <x v="9"/>
    <x v="3"/>
    <x v="1"/>
    <x v="1"/>
  </r>
  <r>
    <s v="TX500247"/>
    <x v="1"/>
    <x v="9"/>
    <x v="219"/>
    <x v="237"/>
    <x v="10"/>
    <d v="2025-01-14T00:00:00"/>
    <x v="1"/>
    <x v="2"/>
    <x v="0"/>
    <x v="0"/>
    <x v="10"/>
    <x v="2"/>
    <x v="1"/>
    <x v="1"/>
  </r>
  <r>
    <s v="TX500248"/>
    <x v="6"/>
    <x v="2"/>
    <x v="220"/>
    <x v="238"/>
    <x v="10"/>
    <d v="2025-01-12T00:00:00"/>
    <x v="1"/>
    <x v="0"/>
    <x v="0"/>
    <x v="0"/>
    <x v="11"/>
    <x v="3"/>
    <x v="1"/>
    <x v="1"/>
  </r>
  <r>
    <s v="TX500249"/>
    <x v="0"/>
    <x v="0"/>
    <x v="221"/>
    <x v="239"/>
    <x v="10"/>
    <d v="2025-01-12T00:00:00"/>
    <x v="2"/>
    <x v="0"/>
    <x v="0"/>
    <x v="0"/>
    <x v="21"/>
    <x v="3"/>
    <x v="1"/>
    <x v="2"/>
  </r>
  <r>
    <s v="TX500250"/>
    <x v="2"/>
    <x v="13"/>
    <x v="222"/>
    <x v="240"/>
    <x v="10"/>
    <d v="2025-01-25T00:00:00"/>
    <x v="2"/>
    <x v="0"/>
    <x v="0"/>
    <x v="0"/>
    <x v="21"/>
    <x v="12"/>
    <x v="1"/>
    <x v="2"/>
  </r>
  <r>
    <s v="TX500251"/>
    <x v="2"/>
    <x v="2"/>
    <x v="223"/>
    <x v="241"/>
    <x v="10"/>
    <d v="2025-01-13T00:00:00"/>
    <x v="1"/>
    <x v="4"/>
    <x v="1"/>
    <x v="0"/>
    <x v="21"/>
    <x v="1"/>
    <x v="1"/>
    <x v="1"/>
  </r>
  <r>
    <s v="TX500252"/>
    <x v="12"/>
    <x v="0"/>
    <x v="224"/>
    <x v="242"/>
    <x v="10"/>
    <d v="2025-01-15T00:00:00"/>
    <x v="1"/>
    <x v="1"/>
    <x v="2"/>
    <x v="0"/>
    <x v="2"/>
    <x v="5"/>
    <x v="1"/>
    <x v="1"/>
  </r>
  <r>
    <s v="TX500253"/>
    <x v="18"/>
    <x v="2"/>
    <x v="225"/>
    <x v="243"/>
    <x v="10"/>
    <d v="2025-01-12T00:00:00"/>
    <x v="3"/>
    <x v="1"/>
    <x v="0"/>
    <x v="0"/>
    <x v="33"/>
    <x v="3"/>
    <x v="1"/>
    <x v="3"/>
  </r>
  <r>
    <s v="TX500254"/>
    <x v="0"/>
    <x v="1"/>
    <x v="172"/>
    <x v="119"/>
    <x v="10"/>
    <d v="2025-01-12T00:00:00"/>
    <x v="1"/>
    <x v="1"/>
    <x v="1"/>
    <x v="0"/>
    <x v="22"/>
    <x v="3"/>
    <x v="1"/>
    <x v="1"/>
  </r>
  <r>
    <s v="TX500255"/>
    <x v="7"/>
    <x v="1"/>
    <x v="226"/>
    <x v="244"/>
    <x v="10"/>
    <d v="2025-01-19T00:00:00"/>
    <x v="1"/>
    <x v="0"/>
    <x v="0"/>
    <x v="0"/>
    <x v="34"/>
    <x v="9"/>
    <x v="1"/>
    <x v="1"/>
  </r>
  <r>
    <s v="TX500256"/>
    <x v="2"/>
    <x v="3"/>
    <x v="227"/>
    <x v="245"/>
    <x v="10"/>
    <d v="2025-01-13T00:00:00"/>
    <x v="2"/>
    <x v="4"/>
    <x v="0"/>
    <x v="0"/>
    <x v="3"/>
    <x v="1"/>
    <x v="1"/>
    <x v="2"/>
  </r>
  <r>
    <s v="TX500257"/>
    <x v="9"/>
    <x v="2"/>
    <x v="226"/>
    <x v="246"/>
    <x v="11"/>
    <d v="2025-01-13T00:00:00"/>
    <x v="1"/>
    <x v="4"/>
    <x v="1"/>
    <x v="0"/>
    <x v="3"/>
    <x v="3"/>
    <x v="2"/>
    <x v="1"/>
  </r>
  <r>
    <s v="TX500258"/>
    <x v="15"/>
    <x v="9"/>
    <x v="188"/>
    <x v="247"/>
    <x v="11"/>
    <d v="2025-01-17T00:00:00"/>
    <x v="1"/>
    <x v="0"/>
    <x v="2"/>
    <x v="0"/>
    <x v="35"/>
    <x v="0"/>
    <x v="2"/>
    <x v="1"/>
  </r>
  <r>
    <s v="TX500259"/>
    <x v="8"/>
    <x v="0"/>
    <x v="228"/>
    <x v="248"/>
    <x v="11"/>
    <d v="2025-01-13T00:00:00"/>
    <x v="2"/>
    <x v="0"/>
    <x v="2"/>
    <x v="0"/>
    <x v="23"/>
    <x v="3"/>
    <x v="2"/>
    <x v="2"/>
  </r>
  <r>
    <s v="TX500260"/>
    <x v="14"/>
    <x v="1"/>
    <x v="229"/>
    <x v="249"/>
    <x v="11"/>
    <d v="2025-01-15T00:00:00"/>
    <x v="2"/>
    <x v="3"/>
    <x v="2"/>
    <x v="0"/>
    <x v="23"/>
    <x v="2"/>
    <x v="2"/>
    <x v="2"/>
  </r>
  <r>
    <s v="TX500261"/>
    <x v="6"/>
    <x v="2"/>
    <x v="230"/>
    <x v="250"/>
    <x v="11"/>
    <d v="2025-01-15T00:00:00"/>
    <x v="1"/>
    <x v="3"/>
    <x v="2"/>
    <x v="0"/>
    <x v="36"/>
    <x v="2"/>
    <x v="2"/>
    <x v="1"/>
  </r>
  <r>
    <s v="TX500262"/>
    <x v="6"/>
    <x v="5"/>
    <x v="18"/>
    <x v="251"/>
    <x v="11"/>
    <d v="2025-01-14T00:00:00"/>
    <x v="2"/>
    <x v="2"/>
    <x v="2"/>
    <x v="0"/>
    <x v="8"/>
    <x v="1"/>
    <x v="2"/>
    <x v="2"/>
  </r>
  <r>
    <s v="TX500263"/>
    <x v="8"/>
    <x v="1"/>
    <x v="231"/>
    <x v="252"/>
    <x v="11"/>
    <d v="2025-01-13T00:00:00"/>
    <x v="1"/>
    <x v="4"/>
    <x v="1"/>
    <x v="0"/>
    <x v="8"/>
    <x v="3"/>
    <x v="2"/>
    <x v="1"/>
  </r>
  <r>
    <s v="TX500264"/>
    <x v="9"/>
    <x v="0"/>
    <x v="232"/>
    <x v="253"/>
    <x v="11"/>
    <d v="2025-01-14T00:00:00"/>
    <x v="2"/>
    <x v="0"/>
    <x v="4"/>
    <x v="0"/>
    <x v="8"/>
    <x v="1"/>
    <x v="2"/>
    <x v="2"/>
  </r>
  <r>
    <s v="TX500265"/>
    <x v="4"/>
    <x v="0"/>
    <x v="233"/>
    <x v="254"/>
    <x v="11"/>
    <d v="2025-01-12T00:00:00"/>
    <x v="1"/>
    <x v="0"/>
    <x v="2"/>
    <x v="0"/>
    <x v="18"/>
    <x v="7"/>
    <x v="2"/>
    <x v="1"/>
  </r>
  <r>
    <s v="TX500266"/>
    <x v="17"/>
    <x v="12"/>
    <x v="234"/>
    <x v="255"/>
    <x v="11"/>
    <d v="2025-01-13T00:00:00"/>
    <x v="2"/>
    <x v="3"/>
    <x v="3"/>
    <x v="0"/>
    <x v="19"/>
    <x v="3"/>
    <x v="2"/>
    <x v="2"/>
  </r>
  <r>
    <s v="TX500267"/>
    <x v="6"/>
    <x v="0"/>
    <x v="235"/>
    <x v="256"/>
    <x v="11"/>
    <d v="2025-01-13T00:00:00"/>
    <x v="0"/>
    <x v="1"/>
    <x v="2"/>
    <x v="0"/>
    <x v="20"/>
    <x v="3"/>
    <x v="2"/>
    <x v="0"/>
  </r>
  <r>
    <s v="TX500268"/>
    <x v="6"/>
    <x v="12"/>
    <x v="236"/>
    <x v="257"/>
    <x v="11"/>
    <d v="2025-01-15T00:00:00"/>
    <x v="2"/>
    <x v="0"/>
    <x v="2"/>
    <x v="0"/>
    <x v="21"/>
    <x v="2"/>
    <x v="2"/>
    <x v="2"/>
  </r>
  <r>
    <s v="TX500269"/>
    <x v="8"/>
    <x v="0"/>
    <x v="237"/>
    <x v="258"/>
    <x v="11"/>
    <d v="2025-01-16T00:00:00"/>
    <x v="2"/>
    <x v="1"/>
    <x v="1"/>
    <x v="0"/>
    <x v="33"/>
    <x v="5"/>
    <x v="2"/>
    <x v="2"/>
  </r>
  <r>
    <s v="TX500270"/>
    <x v="6"/>
    <x v="2"/>
    <x v="238"/>
    <x v="259"/>
    <x v="11"/>
    <d v="2025-01-13T00:00:00"/>
    <x v="2"/>
    <x v="2"/>
    <x v="4"/>
    <x v="0"/>
    <x v="3"/>
    <x v="3"/>
    <x v="2"/>
    <x v="2"/>
  </r>
  <r>
    <s v="TX500271"/>
    <x v="8"/>
    <x v="2"/>
    <x v="239"/>
    <x v="260"/>
    <x v="11"/>
    <d v="2025-01-13T00:00:00"/>
    <x v="2"/>
    <x v="1"/>
    <x v="0"/>
    <x v="0"/>
    <x v="3"/>
    <x v="3"/>
    <x v="2"/>
    <x v="2"/>
  </r>
  <r>
    <s v="TX500272"/>
    <x v="9"/>
    <x v="13"/>
    <x v="240"/>
    <x v="261"/>
    <x v="11"/>
    <d v="2025-01-16T00:00:00"/>
    <x v="2"/>
    <x v="0"/>
    <x v="0"/>
    <x v="0"/>
    <x v="3"/>
    <x v="5"/>
    <x v="2"/>
    <x v="2"/>
  </r>
  <r>
    <s v="TX500273"/>
    <x v="17"/>
    <x v="2"/>
    <x v="241"/>
    <x v="175"/>
    <x v="11"/>
    <d v="2025-01-13T00:00:00"/>
    <x v="2"/>
    <x v="1"/>
    <x v="1"/>
    <x v="0"/>
    <x v="3"/>
    <x v="3"/>
    <x v="2"/>
    <x v="2"/>
  </r>
  <r>
    <s v="TX500274"/>
    <x v="16"/>
    <x v="9"/>
    <x v="242"/>
    <x v="262"/>
    <x v="11"/>
    <d v="2025-01-13T00:00:00"/>
    <x v="1"/>
    <x v="2"/>
    <x v="0"/>
    <x v="0"/>
    <x v="3"/>
    <x v="3"/>
    <x v="2"/>
    <x v="1"/>
  </r>
  <r>
    <s v="TX500275"/>
    <x v="0"/>
    <x v="9"/>
    <x v="243"/>
    <x v="158"/>
    <x v="11"/>
    <d v="2025-01-13T00:00:00"/>
    <x v="1"/>
    <x v="0"/>
    <x v="0"/>
    <x v="0"/>
    <x v="3"/>
    <x v="3"/>
    <x v="2"/>
    <x v="1"/>
  </r>
  <r>
    <s v="TX500276"/>
    <x v="1"/>
    <x v="8"/>
    <x v="244"/>
    <x v="263"/>
    <x v="11"/>
    <d v="2025-01-15T00:00:00"/>
    <x v="2"/>
    <x v="1"/>
    <x v="2"/>
    <x v="0"/>
    <x v="3"/>
    <x v="2"/>
    <x v="2"/>
    <x v="2"/>
  </r>
  <r>
    <s v="TX500277"/>
    <x v="6"/>
    <x v="9"/>
    <x v="245"/>
    <x v="264"/>
    <x v="11"/>
    <d v="2025-01-19T00:00:00"/>
    <x v="0"/>
    <x v="0"/>
    <x v="0"/>
    <x v="0"/>
    <x v="3"/>
    <x v="6"/>
    <x v="2"/>
    <x v="0"/>
  </r>
  <r>
    <s v="TX500278"/>
    <x v="1"/>
    <x v="9"/>
    <x v="246"/>
    <x v="265"/>
    <x v="11"/>
    <d v="2025-01-13T00:00:00"/>
    <x v="2"/>
    <x v="0"/>
    <x v="2"/>
    <x v="0"/>
    <x v="3"/>
    <x v="3"/>
    <x v="2"/>
    <x v="2"/>
  </r>
  <r>
    <s v="TX500279"/>
    <x v="9"/>
    <x v="0"/>
    <x v="247"/>
    <x v="266"/>
    <x v="12"/>
    <d v="2025-01-15T00:00:00"/>
    <x v="2"/>
    <x v="1"/>
    <x v="1"/>
    <x v="0"/>
    <x v="3"/>
    <x v="1"/>
    <x v="2"/>
    <x v="2"/>
  </r>
  <r>
    <s v="TX500280"/>
    <x v="1"/>
    <x v="3"/>
    <x v="248"/>
    <x v="267"/>
    <x v="12"/>
    <d v="2025-01-16T00:00:00"/>
    <x v="2"/>
    <x v="4"/>
    <x v="0"/>
    <x v="0"/>
    <x v="3"/>
    <x v="2"/>
    <x v="2"/>
    <x v="2"/>
  </r>
  <r>
    <s v="TX500281"/>
    <x v="14"/>
    <x v="1"/>
    <x v="249"/>
    <x v="268"/>
    <x v="12"/>
    <d v="2025-01-14T00:00:00"/>
    <x v="1"/>
    <x v="3"/>
    <x v="2"/>
    <x v="0"/>
    <x v="3"/>
    <x v="3"/>
    <x v="2"/>
    <x v="1"/>
  </r>
  <r>
    <s v="TX500282"/>
    <x v="2"/>
    <x v="2"/>
    <x v="250"/>
    <x v="269"/>
    <x v="12"/>
    <d v="2025-01-18T00:00:00"/>
    <x v="1"/>
    <x v="0"/>
    <x v="0"/>
    <x v="0"/>
    <x v="37"/>
    <x v="0"/>
    <x v="2"/>
    <x v="1"/>
  </r>
  <r>
    <s v="TX500283"/>
    <x v="10"/>
    <x v="25"/>
    <x v="122"/>
    <x v="270"/>
    <x v="12"/>
    <d v="2025-01-14T00:00:00"/>
    <x v="2"/>
    <x v="4"/>
    <x v="0"/>
    <x v="0"/>
    <x v="23"/>
    <x v="3"/>
    <x v="2"/>
    <x v="2"/>
  </r>
  <r>
    <s v="TX500284"/>
    <x v="6"/>
    <x v="2"/>
    <x v="114"/>
    <x v="271"/>
    <x v="12"/>
    <d v="2025-01-13T00:00:00"/>
    <x v="1"/>
    <x v="0"/>
    <x v="0"/>
    <x v="0"/>
    <x v="23"/>
    <x v="7"/>
    <x v="2"/>
    <x v="1"/>
  </r>
  <r>
    <s v="TX500285"/>
    <x v="6"/>
    <x v="2"/>
    <x v="251"/>
    <x v="272"/>
    <x v="12"/>
    <d v="2025-01-14T00:00:00"/>
    <x v="1"/>
    <x v="2"/>
    <x v="4"/>
    <x v="0"/>
    <x v="6"/>
    <x v="3"/>
    <x v="2"/>
    <x v="1"/>
  </r>
  <r>
    <s v="TX500286"/>
    <x v="1"/>
    <x v="13"/>
    <x v="252"/>
    <x v="273"/>
    <x v="12"/>
    <d v="2025-01-14T00:00:00"/>
    <x v="2"/>
    <x v="0"/>
    <x v="4"/>
    <x v="0"/>
    <x v="6"/>
    <x v="3"/>
    <x v="2"/>
    <x v="2"/>
  </r>
  <r>
    <s v="TX500287"/>
    <x v="5"/>
    <x v="0"/>
    <x v="253"/>
    <x v="274"/>
    <x v="12"/>
    <d v="2025-01-16T00:00:00"/>
    <x v="2"/>
    <x v="2"/>
    <x v="0"/>
    <x v="0"/>
    <x v="6"/>
    <x v="2"/>
    <x v="2"/>
    <x v="2"/>
  </r>
  <r>
    <s v="TX500288"/>
    <x v="3"/>
    <x v="1"/>
    <x v="254"/>
    <x v="275"/>
    <x v="12"/>
    <d v="2025-01-14T00:00:00"/>
    <x v="1"/>
    <x v="0"/>
    <x v="0"/>
    <x v="0"/>
    <x v="7"/>
    <x v="3"/>
    <x v="2"/>
    <x v="1"/>
  </r>
  <r>
    <s v="TX500289"/>
    <x v="0"/>
    <x v="16"/>
    <x v="255"/>
    <x v="276"/>
    <x v="12"/>
    <d v="2025-01-14T00:00:00"/>
    <x v="1"/>
    <x v="1"/>
    <x v="3"/>
    <x v="0"/>
    <x v="8"/>
    <x v="3"/>
    <x v="2"/>
    <x v="1"/>
  </r>
  <r>
    <s v="TX500290"/>
    <x v="10"/>
    <x v="12"/>
    <x v="256"/>
    <x v="277"/>
    <x v="12"/>
    <d v="2025-01-14T00:00:00"/>
    <x v="1"/>
    <x v="2"/>
    <x v="2"/>
    <x v="0"/>
    <x v="8"/>
    <x v="3"/>
    <x v="2"/>
    <x v="1"/>
  </r>
  <r>
    <s v="TX500291"/>
    <x v="4"/>
    <x v="2"/>
    <x v="257"/>
    <x v="278"/>
    <x v="12"/>
    <d v="2025-01-17T00:00:00"/>
    <x v="1"/>
    <x v="0"/>
    <x v="0"/>
    <x v="0"/>
    <x v="8"/>
    <x v="5"/>
    <x v="2"/>
    <x v="1"/>
  </r>
  <r>
    <s v="TX500292"/>
    <x v="7"/>
    <x v="13"/>
    <x v="258"/>
    <x v="279"/>
    <x v="12"/>
    <d v="2025-01-17T00:00:00"/>
    <x v="1"/>
    <x v="0"/>
    <x v="0"/>
    <x v="0"/>
    <x v="8"/>
    <x v="5"/>
    <x v="2"/>
    <x v="1"/>
  </r>
  <r>
    <s v="TX500293"/>
    <x v="7"/>
    <x v="1"/>
    <x v="67"/>
    <x v="280"/>
    <x v="12"/>
    <d v="2025-01-15T00:00:00"/>
    <x v="2"/>
    <x v="4"/>
    <x v="2"/>
    <x v="0"/>
    <x v="17"/>
    <x v="1"/>
    <x v="2"/>
    <x v="2"/>
  </r>
  <r>
    <s v="TX500294"/>
    <x v="1"/>
    <x v="12"/>
    <x v="259"/>
    <x v="281"/>
    <x v="12"/>
    <d v="2025-01-14T00:00:00"/>
    <x v="1"/>
    <x v="2"/>
    <x v="0"/>
    <x v="0"/>
    <x v="38"/>
    <x v="3"/>
    <x v="2"/>
    <x v="1"/>
  </r>
  <r>
    <s v="TX500295"/>
    <x v="13"/>
    <x v="1"/>
    <x v="260"/>
    <x v="282"/>
    <x v="12"/>
    <d v="2025-01-15T00:00:00"/>
    <x v="1"/>
    <x v="0"/>
    <x v="2"/>
    <x v="0"/>
    <x v="20"/>
    <x v="1"/>
    <x v="2"/>
    <x v="1"/>
  </r>
  <r>
    <s v="TX500296"/>
    <x v="11"/>
    <x v="2"/>
    <x v="88"/>
    <x v="277"/>
    <x v="12"/>
    <d v="2025-01-16T00:00:00"/>
    <x v="2"/>
    <x v="3"/>
    <x v="0"/>
    <x v="0"/>
    <x v="13"/>
    <x v="2"/>
    <x v="2"/>
    <x v="2"/>
  </r>
  <r>
    <s v="TX500297"/>
    <x v="0"/>
    <x v="0"/>
    <x v="261"/>
    <x v="283"/>
    <x v="12"/>
    <d v="2025-01-26T00:00:00"/>
    <x v="2"/>
    <x v="1"/>
    <x v="0"/>
    <x v="0"/>
    <x v="1"/>
    <x v="10"/>
    <x v="2"/>
    <x v="2"/>
  </r>
  <r>
    <s v="TX500298"/>
    <x v="6"/>
    <x v="3"/>
    <x v="262"/>
    <x v="284"/>
    <x v="12"/>
    <d v="2025-01-15T00:00:00"/>
    <x v="1"/>
    <x v="4"/>
    <x v="4"/>
    <x v="0"/>
    <x v="2"/>
    <x v="1"/>
    <x v="2"/>
    <x v="1"/>
  </r>
  <r>
    <s v="TX500299"/>
    <x v="9"/>
    <x v="13"/>
    <x v="263"/>
    <x v="285"/>
    <x v="12"/>
    <d v="2025-01-15T00:00:00"/>
    <x v="2"/>
    <x v="0"/>
    <x v="2"/>
    <x v="0"/>
    <x v="2"/>
    <x v="1"/>
    <x v="2"/>
    <x v="2"/>
  </r>
  <r>
    <s v="TX500300"/>
    <x v="5"/>
    <x v="8"/>
    <x v="264"/>
    <x v="286"/>
    <x v="12"/>
    <d v="2025-01-14T00:00:00"/>
    <x v="1"/>
    <x v="1"/>
    <x v="1"/>
    <x v="0"/>
    <x v="3"/>
    <x v="3"/>
    <x v="2"/>
    <x v="1"/>
  </r>
  <r>
    <s v="TX500301"/>
    <x v="0"/>
    <x v="9"/>
    <x v="265"/>
    <x v="287"/>
    <x v="12"/>
    <d v="2025-01-17T00:00:00"/>
    <x v="2"/>
    <x v="2"/>
    <x v="0"/>
    <x v="0"/>
    <x v="3"/>
    <x v="5"/>
    <x v="2"/>
    <x v="2"/>
  </r>
  <r>
    <s v="TX500302"/>
    <x v="8"/>
    <x v="9"/>
    <x v="266"/>
    <x v="11"/>
    <x v="12"/>
    <d v="2025-01-15T00:00:00"/>
    <x v="2"/>
    <x v="0"/>
    <x v="3"/>
    <x v="0"/>
    <x v="3"/>
    <x v="1"/>
    <x v="2"/>
    <x v="2"/>
  </r>
  <r>
    <s v="TX500303"/>
    <x v="8"/>
    <x v="5"/>
    <x v="267"/>
    <x v="288"/>
    <x v="12"/>
    <d v="2025-01-15T00:00:00"/>
    <x v="2"/>
    <x v="0"/>
    <x v="2"/>
    <x v="0"/>
    <x v="3"/>
    <x v="1"/>
    <x v="2"/>
    <x v="2"/>
  </r>
  <r>
    <s v="TX500304"/>
    <x v="10"/>
    <x v="11"/>
    <x v="268"/>
    <x v="289"/>
    <x v="12"/>
    <d v="2025-01-14T00:00:00"/>
    <x v="2"/>
    <x v="4"/>
    <x v="1"/>
    <x v="0"/>
    <x v="3"/>
    <x v="3"/>
    <x v="2"/>
    <x v="2"/>
  </r>
  <r>
    <s v="TX500305"/>
    <x v="0"/>
    <x v="26"/>
    <x v="143"/>
    <x v="290"/>
    <x v="12"/>
    <d v="2025-01-13T00:00:00"/>
    <x v="1"/>
    <x v="0"/>
    <x v="1"/>
    <x v="0"/>
    <x v="3"/>
    <x v="7"/>
    <x v="2"/>
    <x v="1"/>
  </r>
  <r>
    <s v="TX500306"/>
    <x v="1"/>
    <x v="0"/>
    <x v="204"/>
    <x v="291"/>
    <x v="12"/>
    <d v="2025-01-14T00:00:00"/>
    <x v="2"/>
    <x v="0"/>
    <x v="1"/>
    <x v="0"/>
    <x v="3"/>
    <x v="3"/>
    <x v="2"/>
    <x v="2"/>
  </r>
  <r>
    <s v="TX500307"/>
    <x v="18"/>
    <x v="2"/>
    <x v="269"/>
    <x v="292"/>
    <x v="12"/>
    <d v="2025-01-16T00:00:00"/>
    <x v="2"/>
    <x v="0"/>
    <x v="2"/>
    <x v="0"/>
    <x v="3"/>
    <x v="2"/>
    <x v="2"/>
    <x v="2"/>
  </r>
  <r>
    <s v="TX500308"/>
    <x v="14"/>
    <x v="1"/>
    <x v="270"/>
    <x v="293"/>
    <x v="12"/>
    <d v="2025-01-18T00:00:00"/>
    <x v="2"/>
    <x v="3"/>
    <x v="0"/>
    <x v="0"/>
    <x v="39"/>
    <x v="0"/>
    <x v="2"/>
    <x v="2"/>
  </r>
  <r>
    <s v="TX500309"/>
    <x v="8"/>
    <x v="11"/>
    <x v="188"/>
    <x v="294"/>
    <x v="13"/>
    <d v="2025-01-15T00:00:00"/>
    <x v="1"/>
    <x v="1"/>
    <x v="0"/>
    <x v="0"/>
    <x v="6"/>
    <x v="3"/>
    <x v="2"/>
    <x v="1"/>
  </r>
  <r>
    <s v="TX500310"/>
    <x v="0"/>
    <x v="20"/>
    <x v="82"/>
    <x v="295"/>
    <x v="13"/>
    <d v="2025-01-14T00:00:00"/>
    <x v="2"/>
    <x v="0"/>
    <x v="2"/>
    <x v="0"/>
    <x v="6"/>
    <x v="7"/>
    <x v="2"/>
    <x v="2"/>
  </r>
  <r>
    <s v="TX500311"/>
    <x v="0"/>
    <x v="2"/>
    <x v="132"/>
    <x v="296"/>
    <x v="13"/>
    <d v="2025-01-15T00:00:00"/>
    <x v="1"/>
    <x v="2"/>
    <x v="0"/>
    <x v="0"/>
    <x v="6"/>
    <x v="3"/>
    <x v="2"/>
    <x v="1"/>
  </r>
  <r>
    <s v="TX500312"/>
    <x v="8"/>
    <x v="12"/>
    <x v="248"/>
    <x v="297"/>
    <x v="13"/>
    <d v="2025-01-18T00:00:00"/>
    <x v="1"/>
    <x v="0"/>
    <x v="0"/>
    <x v="0"/>
    <x v="6"/>
    <x v="5"/>
    <x v="2"/>
    <x v="1"/>
  </r>
  <r>
    <s v="TX500313"/>
    <x v="0"/>
    <x v="12"/>
    <x v="170"/>
    <x v="298"/>
    <x v="13"/>
    <d v="2025-01-15T00:00:00"/>
    <x v="1"/>
    <x v="3"/>
    <x v="0"/>
    <x v="0"/>
    <x v="8"/>
    <x v="3"/>
    <x v="2"/>
    <x v="1"/>
  </r>
  <r>
    <s v="TX500314"/>
    <x v="5"/>
    <x v="1"/>
    <x v="271"/>
    <x v="299"/>
    <x v="13"/>
    <d v="2025-01-15T00:00:00"/>
    <x v="2"/>
    <x v="2"/>
    <x v="0"/>
    <x v="0"/>
    <x v="9"/>
    <x v="3"/>
    <x v="2"/>
    <x v="2"/>
  </r>
  <r>
    <s v="TX500315"/>
    <x v="7"/>
    <x v="13"/>
    <x v="272"/>
    <x v="300"/>
    <x v="13"/>
    <d v="2025-01-17T00:00:00"/>
    <x v="1"/>
    <x v="2"/>
    <x v="1"/>
    <x v="0"/>
    <x v="11"/>
    <x v="2"/>
    <x v="2"/>
    <x v="1"/>
  </r>
  <r>
    <s v="TX500316"/>
    <x v="8"/>
    <x v="0"/>
    <x v="273"/>
    <x v="301"/>
    <x v="13"/>
    <d v="2025-01-16T00:00:00"/>
    <x v="2"/>
    <x v="3"/>
    <x v="0"/>
    <x v="0"/>
    <x v="11"/>
    <x v="1"/>
    <x v="2"/>
    <x v="2"/>
  </r>
  <r>
    <s v="TX500317"/>
    <x v="6"/>
    <x v="0"/>
    <x v="274"/>
    <x v="302"/>
    <x v="13"/>
    <d v="2025-01-15T00:00:00"/>
    <x v="0"/>
    <x v="2"/>
    <x v="1"/>
    <x v="0"/>
    <x v="21"/>
    <x v="3"/>
    <x v="2"/>
    <x v="0"/>
  </r>
  <r>
    <s v="TX500318"/>
    <x v="8"/>
    <x v="13"/>
    <x v="275"/>
    <x v="303"/>
    <x v="13"/>
    <d v="2025-01-15T00:00:00"/>
    <x v="2"/>
    <x v="0"/>
    <x v="1"/>
    <x v="0"/>
    <x v="1"/>
    <x v="3"/>
    <x v="2"/>
    <x v="2"/>
  </r>
  <r>
    <s v="TX500319"/>
    <x v="2"/>
    <x v="1"/>
    <x v="276"/>
    <x v="304"/>
    <x v="13"/>
    <d v="2025-01-17T00:00:00"/>
    <x v="2"/>
    <x v="0"/>
    <x v="2"/>
    <x v="0"/>
    <x v="22"/>
    <x v="2"/>
    <x v="2"/>
    <x v="2"/>
  </r>
  <r>
    <s v="TX500320"/>
    <x v="7"/>
    <x v="0"/>
    <x v="277"/>
    <x v="305"/>
    <x v="13"/>
    <d v="2025-01-18T00:00:00"/>
    <x v="1"/>
    <x v="0"/>
    <x v="0"/>
    <x v="0"/>
    <x v="22"/>
    <x v="5"/>
    <x v="2"/>
    <x v="1"/>
  </r>
  <r>
    <s v="TX500321"/>
    <x v="5"/>
    <x v="0"/>
    <x v="203"/>
    <x v="221"/>
    <x v="13"/>
    <d v="2025-01-16T00:00:00"/>
    <x v="3"/>
    <x v="4"/>
    <x v="4"/>
    <x v="0"/>
    <x v="3"/>
    <x v="1"/>
    <x v="2"/>
    <x v="3"/>
  </r>
  <r>
    <s v="TX500322"/>
    <x v="8"/>
    <x v="14"/>
    <x v="195"/>
    <x v="306"/>
    <x v="13"/>
    <d v="2025-01-21T00:00:00"/>
    <x v="0"/>
    <x v="4"/>
    <x v="0"/>
    <x v="0"/>
    <x v="3"/>
    <x v="6"/>
    <x v="2"/>
    <x v="0"/>
  </r>
  <r>
    <s v="TX500323"/>
    <x v="10"/>
    <x v="3"/>
    <x v="278"/>
    <x v="307"/>
    <x v="13"/>
    <d v="2025-01-15T00:00:00"/>
    <x v="2"/>
    <x v="0"/>
    <x v="0"/>
    <x v="0"/>
    <x v="3"/>
    <x v="3"/>
    <x v="2"/>
    <x v="2"/>
  </r>
  <r>
    <s v="TX500324"/>
    <x v="14"/>
    <x v="1"/>
    <x v="88"/>
    <x v="90"/>
    <x v="13"/>
    <d v="2025-01-20T00:00:00"/>
    <x v="1"/>
    <x v="0"/>
    <x v="1"/>
    <x v="0"/>
    <x v="3"/>
    <x v="4"/>
    <x v="2"/>
    <x v="1"/>
  </r>
  <r>
    <s v="TX500325"/>
    <x v="1"/>
    <x v="1"/>
    <x v="279"/>
    <x v="308"/>
    <x v="13"/>
    <d v="2025-01-15T00:00:00"/>
    <x v="2"/>
    <x v="0"/>
    <x v="0"/>
    <x v="0"/>
    <x v="3"/>
    <x v="3"/>
    <x v="2"/>
    <x v="2"/>
  </r>
  <r>
    <s v="TX500326"/>
    <x v="10"/>
    <x v="2"/>
    <x v="280"/>
    <x v="309"/>
    <x v="14"/>
    <d v="2025-01-15T00:00:00"/>
    <x v="2"/>
    <x v="2"/>
    <x v="1"/>
    <x v="0"/>
    <x v="3"/>
    <x v="7"/>
    <x v="2"/>
    <x v="2"/>
  </r>
  <r>
    <s v="TX500327"/>
    <x v="1"/>
    <x v="9"/>
    <x v="281"/>
    <x v="310"/>
    <x v="14"/>
    <d v="2025-01-17T00:00:00"/>
    <x v="1"/>
    <x v="2"/>
    <x v="1"/>
    <x v="0"/>
    <x v="3"/>
    <x v="1"/>
    <x v="2"/>
    <x v="1"/>
  </r>
  <r>
    <s v="TX500328"/>
    <x v="18"/>
    <x v="1"/>
    <x v="214"/>
    <x v="311"/>
    <x v="14"/>
    <d v="2025-01-16T00:00:00"/>
    <x v="1"/>
    <x v="2"/>
    <x v="1"/>
    <x v="0"/>
    <x v="3"/>
    <x v="3"/>
    <x v="2"/>
    <x v="1"/>
  </r>
  <r>
    <s v="TX500329"/>
    <x v="2"/>
    <x v="2"/>
    <x v="282"/>
    <x v="312"/>
    <x v="14"/>
    <d v="2025-01-18T00:00:00"/>
    <x v="2"/>
    <x v="1"/>
    <x v="0"/>
    <x v="0"/>
    <x v="3"/>
    <x v="2"/>
    <x v="2"/>
    <x v="2"/>
  </r>
  <r>
    <s v="TX500330"/>
    <x v="7"/>
    <x v="12"/>
    <x v="102"/>
    <x v="106"/>
    <x v="14"/>
    <d v="2025-01-16T00:00:00"/>
    <x v="2"/>
    <x v="1"/>
    <x v="0"/>
    <x v="0"/>
    <x v="3"/>
    <x v="3"/>
    <x v="2"/>
    <x v="2"/>
  </r>
  <r>
    <s v="TX500331"/>
    <x v="3"/>
    <x v="2"/>
    <x v="283"/>
    <x v="313"/>
    <x v="14"/>
    <d v="2025-01-16T00:00:00"/>
    <x v="2"/>
    <x v="0"/>
    <x v="0"/>
    <x v="0"/>
    <x v="40"/>
    <x v="3"/>
    <x v="2"/>
    <x v="2"/>
  </r>
  <r>
    <s v="TX500332"/>
    <x v="2"/>
    <x v="10"/>
    <x v="284"/>
    <x v="314"/>
    <x v="14"/>
    <d v="2025-01-16T00:00:00"/>
    <x v="2"/>
    <x v="1"/>
    <x v="2"/>
    <x v="0"/>
    <x v="16"/>
    <x v="3"/>
    <x v="2"/>
    <x v="2"/>
  </r>
  <r>
    <s v="TX500333"/>
    <x v="2"/>
    <x v="1"/>
    <x v="285"/>
    <x v="315"/>
    <x v="14"/>
    <d v="2025-01-17T00:00:00"/>
    <x v="1"/>
    <x v="3"/>
    <x v="0"/>
    <x v="0"/>
    <x v="6"/>
    <x v="1"/>
    <x v="2"/>
    <x v="1"/>
  </r>
  <r>
    <s v="TX500334"/>
    <x v="8"/>
    <x v="3"/>
    <x v="269"/>
    <x v="316"/>
    <x v="14"/>
    <d v="2025-01-18T00:00:00"/>
    <x v="2"/>
    <x v="1"/>
    <x v="0"/>
    <x v="0"/>
    <x v="8"/>
    <x v="2"/>
    <x v="2"/>
    <x v="2"/>
  </r>
  <r>
    <s v="TX500335"/>
    <x v="9"/>
    <x v="13"/>
    <x v="151"/>
    <x v="317"/>
    <x v="14"/>
    <d v="2025-01-16T00:00:00"/>
    <x v="2"/>
    <x v="0"/>
    <x v="1"/>
    <x v="0"/>
    <x v="8"/>
    <x v="3"/>
    <x v="2"/>
    <x v="2"/>
  </r>
  <r>
    <s v="TX500336"/>
    <x v="6"/>
    <x v="1"/>
    <x v="124"/>
    <x v="318"/>
    <x v="14"/>
    <d v="2025-01-21T00:00:00"/>
    <x v="1"/>
    <x v="0"/>
    <x v="0"/>
    <x v="0"/>
    <x v="8"/>
    <x v="4"/>
    <x v="2"/>
    <x v="1"/>
  </r>
  <r>
    <s v="TX500337"/>
    <x v="7"/>
    <x v="0"/>
    <x v="286"/>
    <x v="319"/>
    <x v="14"/>
    <d v="2025-01-27T00:00:00"/>
    <x v="0"/>
    <x v="4"/>
    <x v="2"/>
    <x v="0"/>
    <x v="8"/>
    <x v="13"/>
    <x v="2"/>
    <x v="0"/>
  </r>
  <r>
    <s v="TX500338"/>
    <x v="6"/>
    <x v="2"/>
    <x v="287"/>
    <x v="320"/>
    <x v="14"/>
    <d v="2025-01-17T00:00:00"/>
    <x v="2"/>
    <x v="4"/>
    <x v="1"/>
    <x v="0"/>
    <x v="8"/>
    <x v="1"/>
    <x v="2"/>
    <x v="2"/>
  </r>
  <r>
    <s v="TX500339"/>
    <x v="1"/>
    <x v="4"/>
    <x v="28"/>
    <x v="321"/>
    <x v="14"/>
    <d v="2025-01-15T00:00:00"/>
    <x v="1"/>
    <x v="4"/>
    <x v="0"/>
    <x v="0"/>
    <x v="8"/>
    <x v="7"/>
    <x v="2"/>
    <x v="1"/>
  </r>
  <r>
    <s v="TX500340"/>
    <x v="12"/>
    <x v="13"/>
    <x v="288"/>
    <x v="322"/>
    <x v="14"/>
    <d v="2025-01-15T00:00:00"/>
    <x v="2"/>
    <x v="2"/>
    <x v="0"/>
    <x v="0"/>
    <x v="8"/>
    <x v="7"/>
    <x v="2"/>
    <x v="2"/>
  </r>
  <r>
    <s v="TX500341"/>
    <x v="8"/>
    <x v="0"/>
    <x v="289"/>
    <x v="323"/>
    <x v="14"/>
    <d v="2025-01-17T00:00:00"/>
    <x v="2"/>
    <x v="3"/>
    <x v="2"/>
    <x v="0"/>
    <x v="8"/>
    <x v="1"/>
    <x v="2"/>
    <x v="2"/>
  </r>
  <r>
    <s v="TX500342"/>
    <x v="12"/>
    <x v="11"/>
    <x v="211"/>
    <x v="324"/>
    <x v="14"/>
    <d v="2025-01-26T00:00:00"/>
    <x v="1"/>
    <x v="0"/>
    <x v="4"/>
    <x v="0"/>
    <x v="17"/>
    <x v="11"/>
    <x v="2"/>
    <x v="1"/>
  </r>
  <r>
    <s v="TX500343"/>
    <x v="2"/>
    <x v="1"/>
    <x v="290"/>
    <x v="325"/>
    <x v="14"/>
    <d v="2025-01-17T00:00:00"/>
    <x v="2"/>
    <x v="0"/>
    <x v="2"/>
    <x v="0"/>
    <x v="41"/>
    <x v="1"/>
    <x v="2"/>
    <x v="2"/>
  </r>
  <r>
    <s v="TX500344"/>
    <x v="3"/>
    <x v="9"/>
    <x v="291"/>
    <x v="326"/>
    <x v="14"/>
    <d v="2025-01-19T00:00:00"/>
    <x v="2"/>
    <x v="1"/>
    <x v="0"/>
    <x v="0"/>
    <x v="21"/>
    <x v="5"/>
    <x v="2"/>
    <x v="2"/>
  </r>
  <r>
    <s v="TX500345"/>
    <x v="8"/>
    <x v="15"/>
    <x v="292"/>
    <x v="327"/>
    <x v="14"/>
    <d v="2025-01-15T00:00:00"/>
    <x v="2"/>
    <x v="1"/>
    <x v="1"/>
    <x v="0"/>
    <x v="21"/>
    <x v="7"/>
    <x v="2"/>
    <x v="2"/>
  </r>
  <r>
    <s v="TX500346"/>
    <x v="15"/>
    <x v="0"/>
    <x v="20"/>
    <x v="328"/>
    <x v="14"/>
    <d v="2025-01-17T00:00:00"/>
    <x v="0"/>
    <x v="0"/>
    <x v="2"/>
    <x v="0"/>
    <x v="21"/>
    <x v="1"/>
    <x v="2"/>
    <x v="0"/>
  </r>
  <r>
    <s v="TX500347"/>
    <x v="15"/>
    <x v="0"/>
    <x v="293"/>
    <x v="190"/>
    <x v="14"/>
    <d v="2025-01-17T00:00:00"/>
    <x v="1"/>
    <x v="4"/>
    <x v="1"/>
    <x v="0"/>
    <x v="21"/>
    <x v="1"/>
    <x v="2"/>
    <x v="1"/>
  </r>
  <r>
    <s v="TX500348"/>
    <x v="1"/>
    <x v="0"/>
    <x v="294"/>
    <x v="329"/>
    <x v="14"/>
    <d v="2025-01-16T00:00:00"/>
    <x v="1"/>
    <x v="0"/>
    <x v="1"/>
    <x v="0"/>
    <x v="1"/>
    <x v="3"/>
    <x v="2"/>
    <x v="1"/>
  </r>
  <r>
    <s v="TX500349"/>
    <x v="8"/>
    <x v="2"/>
    <x v="295"/>
    <x v="330"/>
    <x v="14"/>
    <d v="2025-01-19T00:00:00"/>
    <x v="1"/>
    <x v="0"/>
    <x v="2"/>
    <x v="0"/>
    <x v="1"/>
    <x v="5"/>
    <x v="2"/>
    <x v="1"/>
  </r>
  <r>
    <s v="TX500350"/>
    <x v="6"/>
    <x v="0"/>
    <x v="296"/>
    <x v="331"/>
    <x v="14"/>
    <d v="2025-01-16T00:00:00"/>
    <x v="2"/>
    <x v="0"/>
    <x v="2"/>
    <x v="0"/>
    <x v="42"/>
    <x v="3"/>
    <x v="2"/>
    <x v="2"/>
  </r>
  <r>
    <s v="TX500351"/>
    <x v="8"/>
    <x v="2"/>
    <x v="170"/>
    <x v="332"/>
    <x v="14"/>
    <d v="2025-01-16T00:00:00"/>
    <x v="1"/>
    <x v="4"/>
    <x v="4"/>
    <x v="0"/>
    <x v="2"/>
    <x v="3"/>
    <x v="2"/>
    <x v="1"/>
  </r>
  <r>
    <s v="TX500352"/>
    <x v="10"/>
    <x v="0"/>
    <x v="191"/>
    <x v="333"/>
    <x v="14"/>
    <d v="2025-01-15T00:00:00"/>
    <x v="2"/>
    <x v="1"/>
    <x v="2"/>
    <x v="0"/>
    <x v="3"/>
    <x v="7"/>
    <x v="2"/>
    <x v="2"/>
  </r>
  <r>
    <s v="TX500353"/>
    <x v="6"/>
    <x v="1"/>
    <x v="297"/>
    <x v="334"/>
    <x v="14"/>
    <d v="2025-01-23T00:00:00"/>
    <x v="2"/>
    <x v="0"/>
    <x v="2"/>
    <x v="0"/>
    <x v="3"/>
    <x v="9"/>
    <x v="2"/>
    <x v="2"/>
  </r>
  <r>
    <s v="TX500354"/>
    <x v="1"/>
    <x v="12"/>
    <x v="298"/>
    <x v="335"/>
    <x v="15"/>
    <d v="2025-01-17T00:00:00"/>
    <x v="1"/>
    <x v="0"/>
    <x v="0"/>
    <x v="0"/>
    <x v="3"/>
    <x v="3"/>
    <x v="2"/>
    <x v="1"/>
  </r>
  <r>
    <s v="TX500355"/>
    <x v="9"/>
    <x v="2"/>
    <x v="299"/>
    <x v="336"/>
    <x v="15"/>
    <d v="2025-01-22T00:00:00"/>
    <x v="1"/>
    <x v="2"/>
    <x v="1"/>
    <x v="0"/>
    <x v="3"/>
    <x v="4"/>
    <x v="2"/>
    <x v="1"/>
  </r>
  <r>
    <s v="TX500356"/>
    <x v="17"/>
    <x v="0"/>
    <x v="300"/>
    <x v="337"/>
    <x v="15"/>
    <d v="2025-01-17T00:00:00"/>
    <x v="0"/>
    <x v="0"/>
    <x v="0"/>
    <x v="0"/>
    <x v="3"/>
    <x v="3"/>
    <x v="2"/>
    <x v="0"/>
  </r>
  <r>
    <s v="TX500357"/>
    <x v="0"/>
    <x v="11"/>
    <x v="301"/>
    <x v="338"/>
    <x v="15"/>
    <d v="2025-01-18T00:00:00"/>
    <x v="2"/>
    <x v="1"/>
    <x v="0"/>
    <x v="0"/>
    <x v="3"/>
    <x v="1"/>
    <x v="2"/>
    <x v="2"/>
  </r>
  <r>
    <s v="TX500358"/>
    <x v="8"/>
    <x v="16"/>
    <x v="302"/>
    <x v="339"/>
    <x v="15"/>
    <d v="2025-01-19T00:00:00"/>
    <x v="2"/>
    <x v="1"/>
    <x v="2"/>
    <x v="0"/>
    <x v="3"/>
    <x v="2"/>
    <x v="2"/>
    <x v="2"/>
  </r>
  <r>
    <s v="TX500359"/>
    <x v="10"/>
    <x v="2"/>
    <x v="303"/>
    <x v="340"/>
    <x v="15"/>
    <d v="2025-01-16T00:00:00"/>
    <x v="2"/>
    <x v="1"/>
    <x v="2"/>
    <x v="0"/>
    <x v="3"/>
    <x v="7"/>
    <x v="2"/>
    <x v="2"/>
  </r>
  <r>
    <s v="TX500360"/>
    <x v="14"/>
    <x v="0"/>
    <x v="180"/>
    <x v="341"/>
    <x v="15"/>
    <d v="2025-01-17T00:00:00"/>
    <x v="1"/>
    <x v="0"/>
    <x v="2"/>
    <x v="0"/>
    <x v="3"/>
    <x v="3"/>
    <x v="2"/>
    <x v="1"/>
  </r>
  <r>
    <s v="TX500361"/>
    <x v="12"/>
    <x v="2"/>
    <x v="304"/>
    <x v="342"/>
    <x v="15"/>
    <d v="2025-01-22T00:00:00"/>
    <x v="2"/>
    <x v="1"/>
    <x v="4"/>
    <x v="0"/>
    <x v="3"/>
    <x v="4"/>
    <x v="2"/>
    <x v="2"/>
  </r>
  <r>
    <s v="TX500362"/>
    <x v="1"/>
    <x v="12"/>
    <x v="305"/>
    <x v="343"/>
    <x v="15"/>
    <d v="2025-01-17T00:00:00"/>
    <x v="3"/>
    <x v="0"/>
    <x v="2"/>
    <x v="0"/>
    <x v="24"/>
    <x v="3"/>
    <x v="2"/>
    <x v="3"/>
  </r>
  <r>
    <s v="TX500363"/>
    <x v="7"/>
    <x v="7"/>
    <x v="306"/>
    <x v="344"/>
    <x v="15"/>
    <d v="2025-01-20T00:00:00"/>
    <x v="1"/>
    <x v="1"/>
    <x v="2"/>
    <x v="0"/>
    <x v="6"/>
    <x v="5"/>
    <x v="2"/>
    <x v="1"/>
  </r>
  <r>
    <s v="TX500364"/>
    <x v="1"/>
    <x v="12"/>
    <x v="72"/>
    <x v="345"/>
    <x v="15"/>
    <d v="2025-01-18T00:00:00"/>
    <x v="2"/>
    <x v="1"/>
    <x v="2"/>
    <x v="0"/>
    <x v="6"/>
    <x v="1"/>
    <x v="2"/>
    <x v="2"/>
  </r>
  <r>
    <s v="TX500365"/>
    <x v="9"/>
    <x v="8"/>
    <x v="307"/>
    <x v="346"/>
    <x v="15"/>
    <d v="2025-01-19T00:00:00"/>
    <x v="1"/>
    <x v="2"/>
    <x v="2"/>
    <x v="0"/>
    <x v="8"/>
    <x v="2"/>
    <x v="2"/>
    <x v="1"/>
  </r>
  <r>
    <s v="TX500366"/>
    <x v="8"/>
    <x v="4"/>
    <x v="49"/>
    <x v="347"/>
    <x v="15"/>
    <d v="2025-01-18T00:00:00"/>
    <x v="2"/>
    <x v="2"/>
    <x v="1"/>
    <x v="0"/>
    <x v="8"/>
    <x v="1"/>
    <x v="2"/>
    <x v="2"/>
  </r>
  <r>
    <s v="TX500367"/>
    <x v="2"/>
    <x v="8"/>
    <x v="190"/>
    <x v="348"/>
    <x v="15"/>
    <d v="2025-01-17T00:00:00"/>
    <x v="0"/>
    <x v="0"/>
    <x v="0"/>
    <x v="0"/>
    <x v="8"/>
    <x v="3"/>
    <x v="2"/>
    <x v="0"/>
  </r>
  <r>
    <s v="TX500368"/>
    <x v="3"/>
    <x v="11"/>
    <x v="72"/>
    <x v="349"/>
    <x v="15"/>
    <d v="2025-01-17T00:00:00"/>
    <x v="2"/>
    <x v="1"/>
    <x v="0"/>
    <x v="0"/>
    <x v="9"/>
    <x v="3"/>
    <x v="2"/>
    <x v="2"/>
  </r>
  <r>
    <s v="TX500369"/>
    <x v="17"/>
    <x v="1"/>
    <x v="308"/>
    <x v="350"/>
    <x v="15"/>
    <d v="2025-01-21T00:00:00"/>
    <x v="1"/>
    <x v="4"/>
    <x v="4"/>
    <x v="0"/>
    <x v="10"/>
    <x v="0"/>
    <x v="2"/>
    <x v="1"/>
  </r>
  <r>
    <s v="TX500370"/>
    <x v="1"/>
    <x v="2"/>
    <x v="309"/>
    <x v="351"/>
    <x v="15"/>
    <d v="2025-01-17T00:00:00"/>
    <x v="2"/>
    <x v="0"/>
    <x v="2"/>
    <x v="0"/>
    <x v="11"/>
    <x v="3"/>
    <x v="2"/>
    <x v="2"/>
  </r>
  <r>
    <s v="TX500371"/>
    <x v="8"/>
    <x v="2"/>
    <x v="80"/>
    <x v="352"/>
    <x v="15"/>
    <d v="2025-01-18T00:00:00"/>
    <x v="2"/>
    <x v="2"/>
    <x v="0"/>
    <x v="0"/>
    <x v="18"/>
    <x v="1"/>
    <x v="2"/>
    <x v="2"/>
  </r>
  <r>
    <s v="TX500372"/>
    <x v="4"/>
    <x v="12"/>
    <x v="310"/>
    <x v="353"/>
    <x v="16"/>
    <d v="2025-01-18T00:00:00"/>
    <x v="1"/>
    <x v="2"/>
    <x v="2"/>
    <x v="0"/>
    <x v="21"/>
    <x v="3"/>
    <x v="2"/>
    <x v="1"/>
  </r>
  <r>
    <s v="TX500373"/>
    <x v="2"/>
    <x v="0"/>
    <x v="311"/>
    <x v="354"/>
    <x v="16"/>
    <d v="2025-01-27T00:00:00"/>
    <x v="1"/>
    <x v="0"/>
    <x v="0"/>
    <x v="0"/>
    <x v="1"/>
    <x v="14"/>
    <x v="2"/>
    <x v="1"/>
  </r>
  <r>
    <s v="TX500374"/>
    <x v="18"/>
    <x v="12"/>
    <x v="312"/>
    <x v="355"/>
    <x v="16"/>
    <d v="2025-01-18T00:00:00"/>
    <x v="0"/>
    <x v="2"/>
    <x v="0"/>
    <x v="0"/>
    <x v="3"/>
    <x v="3"/>
    <x v="2"/>
    <x v="0"/>
  </r>
  <r>
    <s v="TX500375"/>
    <x v="13"/>
    <x v="9"/>
    <x v="313"/>
    <x v="356"/>
    <x v="16"/>
    <d v="2025-01-17T00:00:00"/>
    <x v="1"/>
    <x v="1"/>
    <x v="0"/>
    <x v="0"/>
    <x v="3"/>
    <x v="7"/>
    <x v="2"/>
    <x v="1"/>
  </r>
  <r>
    <s v="TX500376"/>
    <x v="6"/>
    <x v="2"/>
    <x v="314"/>
    <x v="357"/>
    <x v="16"/>
    <d v="2025-01-19T00:00:00"/>
    <x v="2"/>
    <x v="0"/>
    <x v="0"/>
    <x v="0"/>
    <x v="3"/>
    <x v="1"/>
    <x v="2"/>
    <x v="2"/>
  </r>
  <r>
    <s v="TX500377"/>
    <x v="1"/>
    <x v="1"/>
    <x v="315"/>
    <x v="358"/>
    <x v="16"/>
    <d v="2025-01-20T00:00:00"/>
    <x v="3"/>
    <x v="4"/>
    <x v="0"/>
    <x v="0"/>
    <x v="3"/>
    <x v="2"/>
    <x v="2"/>
    <x v="3"/>
  </r>
  <r>
    <s v="TX500378"/>
    <x v="5"/>
    <x v="2"/>
    <x v="316"/>
    <x v="359"/>
    <x v="16"/>
    <d v="2025-01-21T00:00:00"/>
    <x v="2"/>
    <x v="0"/>
    <x v="0"/>
    <x v="0"/>
    <x v="3"/>
    <x v="5"/>
    <x v="2"/>
    <x v="2"/>
  </r>
  <r>
    <s v="TX500379"/>
    <x v="2"/>
    <x v="14"/>
    <x v="40"/>
    <x v="360"/>
    <x v="16"/>
    <d v="2025-01-19T00:00:00"/>
    <x v="2"/>
    <x v="1"/>
    <x v="4"/>
    <x v="0"/>
    <x v="3"/>
    <x v="1"/>
    <x v="2"/>
    <x v="2"/>
  </r>
  <r>
    <s v="TX500380"/>
    <x v="6"/>
    <x v="2"/>
    <x v="317"/>
    <x v="361"/>
    <x v="16"/>
    <d v="2025-01-18T00:00:00"/>
    <x v="2"/>
    <x v="0"/>
    <x v="0"/>
    <x v="0"/>
    <x v="3"/>
    <x v="3"/>
    <x v="2"/>
    <x v="2"/>
  </r>
  <r>
    <s v="TX500381"/>
    <x v="11"/>
    <x v="12"/>
    <x v="318"/>
    <x v="362"/>
    <x v="16"/>
    <d v="2025-01-17T00:00:00"/>
    <x v="1"/>
    <x v="0"/>
    <x v="0"/>
    <x v="0"/>
    <x v="3"/>
    <x v="7"/>
    <x v="2"/>
    <x v="1"/>
  </r>
  <r>
    <s v="TX500382"/>
    <x v="14"/>
    <x v="8"/>
    <x v="319"/>
    <x v="363"/>
    <x v="16"/>
    <d v="2025-01-18T00:00:00"/>
    <x v="3"/>
    <x v="0"/>
    <x v="1"/>
    <x v="0"/>
    <x v="3"/>
    <x v="3"/>
    <x v="2"/>
    <x v="3"/>
  </r>
  <r>
    <s v="TX500383"/>
    <x v="6"/>
    <x v="1"/>
    <x v="238"/>
    <x v="364"/>
    <x v="16"/>
    <d v="2025-01-18T00:00:00"/>
    <x v="1"/>
    <x v="1"/>
    <x v="0"/>
    <x v="0"/>
    <x v="6"/>
    <x v="3"/>
    <x v="2"/>
    <x v="1"/>
  </r>
  <r>
    <s v="TX500384"/>
    <x v="9"/>
    <x v="27"/>
    <x v="320"/>
    <x v="365"/>
    <x v="16"/>
    <d v="2025-01-18T00:00:00"/>
    <x v="2"/>
    <x v="1"/>
    <x v="0"/>
    <x v="0"/>
    <x v="6"/>
    <x v="3"/>
    <x v="2"/>
    <x v="2"/>
  </r>
  <r>
    <s v="TX500385"/>
    <x v="4"/>
    <x v="9"/>
    <x v="307"/>
    <x v="366"/>
    <x v="16"/>
    <d v="2025-01-19T00:00:00"/>
    <x v="2"/>
    <x v="1"/>
    <x v="0"/>
    <x v="0"/>
    <x v="7"/>
    <x v="1"/>
    <x v="2"/>
    <x v="2"/>
  </r>
  <r>
    <s v="TX500386"/>
    <x v="6"/>
    <x v="13"/>
    <x v="321"/>
    <x v="367"/>
    <x v="16"/>
    <d v="2025-01-20T00:00:00"/>
    <x v="0"/>
    <x v="2"/>
    <x v="0"/>
    <x v="0"/>
    <x v="7"/>
    <x v="2"/>
    <x v="2"/>
    <x v="0"/>
  </r>
  <r>
    <s v="TX500387"/>
    <x v="2"/>
    <x v="14"/>
    <x v="322"/>
    <x v="368"/>
    <x v="16"/>
    <d v="2025-01-18T00:00:00"/>
    <x v="1"/>
    <x v="2"/>
    <x v="1"/>
    <x v="0"/>
    <x v="7"/>
    <x v="3"/>
    <x v="2"/>
    <x v="1"/>
  </r>
  <r>
    <s v="TX500388"/>
    <x v="2"/>
    <x v="13"/>
    <x v="323"/>
    <x v="369"/>
    <x v="16"/>
    <d v="2025-01-18T00:00:00"/>
    <x v="1"/>
    <x v="2"/>
    <x v="0"/>
    <x v="0"/>
    <x v="8"/>
    <x v="3"/>
    <x v="2"/>
    <x v="1"/>
  </r>
  <r>
    <s v="TX500389"/>
    <x v="4"/>
    <x v="7"/>
    <x v="324"/>
    <x v="370"/>
    <x v="16"/>
    <d v="2025-01-21T00:00:00"/>
    <x v="2"/>
    <x v="2"/>
    <x v="0"/>
    <x v="0"/>
    <x v="8"/>
    <x v="5"/>
    <x v="2"/>
    <x v="2"/>
  </r>
  <r>
    <s v="TX500390"/>
    <x v="10"/>
    <x v="9"/>
    <x v="325"/>
    <x v="226"/>
    <x v="16"/>
    <d v="2025-01-20T00:00:00"/>
    <x v="1"/>
    <x v="1"/>
    <x v="0"/>
    <x v="0"/>
    <x v="8"/>
    <x v="2"/>
    <x v="2"/>
    <x v="1"/>
  </r>
  <r>
    <s v="TX500391"/>
    <x v="5"/>
    <x v="28"/>
    <x v="68"/>
    <x v="371"/>
    <x v="16"/>
    <d v="2025-01-17T00:00:00"/>
    <x v="2"/>
    <x v="2"/>
    <x v="1"/>
    <x v="0"/>
    <x v="17"/>
    <x v="7"/>
    <x v="2"/>
    <x v="2"/>
  </r>
  <r>
    <s v="TX500392"/>
    <x v="2"/>
    <x v="0"/>
    <x v="326"/>
    <x v="372"/>
    <x v="17"/>
    <d v="2025-01-19T00:00:00"/>
    <x v="1"/>
    <x v="1"/>
    <x v="0"/>
    <x v="0"/>
    <x v="11"/>
    <x v="3"/>
    <x v="2"/>
    <x v="1"/>
  </r>
  <r>
    <s v="TX500393"/>
    <x v="2"/>
    <x v="9"/>
    <x v="247"/>
    <x v="373"/>
    <x v="17"/>
    <d v="2025-01-21T00:00:00"/>
    <x v="2"/>
    <x v="1"/>
    <x v="4"/>
    <x v="0"/>
    <x v="18"/>
    <x v="2"/>
    <x v="2"/>
    <x v="2"/>
  </r>
  <r>
    <s v="TX500394"/>
    <x v="12"/>
    <x v="1"/>
    <x v="327"/>
    <x v="374"/>
    <x v="17"/>
    <d v="2025-01-21T00:00:00"/>
    <x v="1"/>
    <x v="1"/>
    <x v="1"/>
    <x v="0"/>
    <x v="13"/>
    <x v="2"/>
    <x v="2"/>
    <x v="1"/>
  </r>
  <r>
    <s v="TX500395"/>
    <x v="5"/>
    <x v="9"/>
    <x v="328"/>
    <x v="375"/>
    <x v="17"/>
    <d v="2025-01-24T00:00:00"/>
    <x v="1"/>
    <x v="3"/>
    <x v="0"/>
    <x v="0"/>
    <x v="21"/>
    <x v="4"/>
    <x v="2"/>
    <x v="1"/>
  </r>
  <r>
    <s v="TX500396"/>
    <x v="15"/>
    <x v="2"/>
    <x v="329"/>
    <x v="376"/>
    <x v="17"/>
    <d v="2025-01-20T00:00:00"/>
    <x v="3"/>
    <x v="1"/>
    <x v="0"/>
    <x v="0"/>
    <x v="21"/>
    <x v="1"/>
    <x v="2"/>
    <x v="3"/>
  </r>
  <r>
    <s v="TX500397"/>
    <x v="18"/>
    <x v="1"/>
    <x v="330"/>
    <x v="377"/>
    <x v="17"/>
    <d v="2025-01-23T00:00:00"/>
    <x v="1"/>
    <x v="1"/>
    <x v="0"/>
    <x v="0"/>
    <x v="21"/>
    <x v="0"/>
    <x v="2"/>
    <x v="1"/>
  </r>
  <r>
    <s v="TX500398"/>
    <x v="2"/>
    <x v="9"/>
    <x v="331"/>
    <x v="378"/>
    <x v="17"/>
    <d v="2025-01-18T00:00:00"/>
    <x v="2"/>
    <x v="4"/>
    <x v="0"/>
    <x v="0"/>
    <x v="1"/>
    <x v="7"/>
    <x v="2"/>
    <x v="2"/>
  </r>
  <r>
    <s v="TX500399"/>
    <x v="8"/>
    <x v="3"/>
    <x v="332"/>
    <x v="379"/>
    <x v="17"/>
    <d v="2025-01-20T00:00:00"/>
    <x v="1"/>
    <x v="1"/>
    <x v="4"/>
    <x v="0"/>
    <x v="34"/>
    <x v="1"/>
    <x v="2"/>
    <x v="1"/>
  </r>
  <r>
    <s v="TX500400"/>
    <x v="8"/>
    <x v="8"/>
    <x v="85"/>
    <x v="27"/>
    <x v="17"/>
    <d v="2025-01-19T00:00:00"/>
    <x v="1"/>
    <x v="0"/>
    <x v="0"/>
    <x v="0"/>
    <x v="3"/>
    <x v="3"/>
    <x v="2"/>
    <x v="1"/>
  </r>
  <r>
    <s v="TX500401"/>
    <x v="8"/>
    <x v="13"/>
    <x v="333"/>
    <x v="380"/>
    <x v="17"/>
    <d v="2025-01-21T00:00:00"/>
    <x v="1"/>
    <x v="3"/>
    <x v="2"/>
    <x v="0"/>
    <x v="3"/>
    <x v="2"/>
    <x v="2"/>
    <x v="1"/>
  </r>
  <r>
    <s v="TX500402"/>
    <x v="10"/>
    <x v="12"/>
    <x v="334"/>
    <x v="381"/>
    <x v="17"/>
    <d v="2025-01-18T00:00:00"/>
    <x v="2"/>
    <x v="1"/>
    <x v="1"/>
    <x v="0"/>
    <x v="3"/>
    <x v="7"/>
    <x v="2"/>
    <x v="2"/>
  </r>
  <r>
    <s v="TX500403"/>
    <x v="0"/>
    <x v="1"/>
    <x v="335"/>
    <x v="382"/>
    <x v="17"/>
    <d v="2025-01-20T00:00:00"/>
    <x v="2"/>
    <x v="1"/>
    <x v="2"/>
    <x v="0"/>
    <x v="3"/>
    <x v="1"/>
    <x v="2"/>
    <x v="2"/>
  </r>
  <r>
    <s v="TX500404"/>
    <x v="8"/>
    <x v="9"/>
    <x v="336"/>
    <x v="383"/>
    <x v="17"/>
    <d v="2025-01-20T00:00:00"/>
    <x v="3"/>
    <x v="0"/>
    <x v="0"/>
    <x v="0"/>
    <x v="3"/>
    <x v="1"/>
    <x v="2"/>
    <x v="3"/>
  </r>
  <r>
    <s v="TX500405"/>
    <x v="10"/>
    <x v="1"/>
    <x v="148"/>
    <x v="384"/>
    <x v="17"/>
    <d v="2025-01-19T00:00:00"/>
    <x v="2"/>
    <x v="1"/>
    <x v="0"/>
    <x v="0"/>
    <x v="6"/>
    <x v="3"/>
    <x v="2"/>
    <x v="2"/>
  </r>
  <r>
    <s v="TX500406"/>
    <x v="8"/>
    <x v="1"/>
    <x v="337"/>
    <x v="385"/>
    <x v="17"/>
    <d v="2025-01-20T00:00:00"/>
    <x v="2"/>
    <x v="3"/>
    <x v="2"/>
    <x v="0"/>
    <x v="6"/>
    <x v="1"/>
    <x v="2"/>
    <x v="2"/>
  </r>
  <r>
    <s v="TX500407"/>
    <x v="7"/>
    <x v="12"/>
    <x v="338"/>
    <x v="386"/>
    <x v="17"/>
    <d v="2025-01-20T00:00:00"/>
    <x v="2"/>
    <x v="0"/>
    <x v="0"/>
    <x v="0"/>
    <x v="8"/>
    <x v="1"/>
    <x v="2"/>
    <x v="2"/>
  </r>
  <r>
    <s v="TX500408"/>
    <x v="0"/>
    <x v="1"/>
    <x v="199"/>
    <x v="387"/>
    <x v="18"/>
    <d v="2025-01-20T00:00:00"/>
    <x v="1"/>
    <x v="0"/>
    <x v="2"/>
    <x v="0"/>
    <x v="8"/>
    <x v="3"/>
    <x v="3"/>
    <x v="1"/>
  </r>
  <r>
    <s v="TX500409"/>
    <x v="3"/>
    <x v="1"/>
    <x v="339"/>
    <x v="23"/>
    <x v="18"/>
    <d v="2025-01-20T00:00:00"/>
    <x v="1"/>
    <x v="2"/>
    <x v="1"/>
    <x v="0"/>
    <x v="8"/>
    <x v="3"/>
    <x v="3"/>
    <x v="1"/>
  </r>
  <r>
    <s v="TX500410"/>
    <x v="10"/>
    <x v="2"/>
    <x v="340"/>
    <x v="388"/>
    <x v="18"/>
    <d v="2025-01-20T00:00:00"/>
    <x v="1"/>
    <x v="2"/>
    <x v="0"/>
    <x v="0"/>
    <x v="9"/>
    <x v="3"/>
    <x v="3"/>
    <x v="1"/>
  </r>
  <r>
    <s v="TX500411"/>
    <x v="9"/>
    <x v="21"/>
    <x v="341"/>
    <x v="389"/>
    <x v="18"/>
    <d v="2025-01-22T00:00:00"/>
    <x v="2"/>
    <x v="4"/>
    <x v="1"/>
    <x v="0"/>
    <x v="11"/>
    <x v="2"/>
    <x v="3"/>
    <x v="2"/>
  </r>
  <r>
    <s v="TX500412"/>
    <x v="0"/>
    <x v="1"/>
    <x v="342"/>
    <x v="390"/>
    <x v="18"/>
    <d v="2025-01-21T00:00:00"/>
    <x v="1"/>
    <x v="3"/>
    <x v="2"/>
    <x v="0"/>
    <x v="32"/>
    <x v="1"/>
    <x v="3"/>
    <x v="1"/>
  </r>
  <r>
    <s v="TX500413"/>
    <x v="4"/>
    <x v="1"/>
    <x v="343"/>
    <x v="391"/>
    <x v="18"/>
    <d v="2025-01-22T00:00:00"/>
    <x v="1"/>
    <x v="0"/>
    <x v="0"/>
    <x v="0"/>
    <x v="13"/>
    <x v="2"/>
    <x v="3"/>
    <x v="1"/>
  </r>
  <r>
    <s v="TX500414"/>
    <x v="8"/>
    <x v="0"/>
    <x v="344"/>
    <x v="392"/>
    <x v="18"/>
    <d v="2025-01-27T00:00:00"/>
    <x v="2"/>
    <x v="1"/>
    <x v="0"/>
    <x v="0"/>
    <x v="2"/>
    <x v="9"/>
    <x v="3"/>
    <x v="2"/>
  </r>
  <r>
    <s v="TX500415"/>
    <x v="6"/>
    <x v="1"/>
    <x v="345"/>
    <x v="393"/>
    <x v="18"/>
    <d v="2025-01-22T00:00:00"/>
    <x v="0"/>
    <x v="2"/>
    <x v="2"/>
    <x v="0"/>
    <x v="22"/>
    <x v="2"/>
    <x v="3"/>
    <x v="0"/>
  </r>
  <r>
    <s v="TX500416"/>
    <x v="18"/>
    <x v="1"/>
    <x v="346"/>
    <x v="394"/>
    <x v="18"/>
    <d v="2025-01-21T00:00:00"/>
    <x v="2"/>
    <x v="0"/>
    <x v="0"/>
    <x v="0"/>
    <x v="3"/>
    <x v="1"/>
    <x v="3"/>
    <x v="2"/>
  </r>
  <r>
    <s v="TX500417"/>
    <x v="16"/>
    <x v="2"/>
    <x v="17"/>
    <x v="17"/>
    <x v="18"/>
    <d v="2025-01-20T00:00:00"/>
    <x v="3"/>
    <x v="3"/>
    <x v="2"/>
    <x v="0"/>
    <x v="3"/>
    <x v="3"/>
    <x v="3"/>
    <x v="3"/>
  </r>
  <r>
    <s v="TX500418"/>
    <x v="6"/>
    <x v="3"/>
    <x v="347"/>
    <x v="395"/>
    <x v="18"/>
    <d v="2025-01-20T00:00:00"/>
    <x v="1"/>
    <x v="1"/>
    <x v="2"/>
    <x v="0"/>
    <x v="3"/>
    <x v="3"/>
    <x v="3"/>
    <x v="1"/>
  </r>
  <r>
    <s v="TX500419"/>
    <x v="9"/>
    <x v="10"/>
    <x v="162"/>
    <x v="396"/>
    <x v="18"/>
    <d v="2025-01-19T00:00:00"/>
    <x v="2"/>
    <x v="3"/>
    <x v="0"/>
    <x v="0"/>
    <x v="3"/>
    <x v="7"/>
    <x v="3"/>
    <x v="2"/>
  </r>
  <r>
    <s v="TX500420"/>
    <x v="1"/>
    <x v="1"/>
    <x v="348"/>
    <x v="397"/>
    <x v="18"/>
    <d v="2025-01-23T00:00:00"/>
    <x v="1"/>
    <x v="3"/>
    <x v="4"/>
    <x v="0"/>
    <x v="3"/>
    <x v="5"/>
    <x v="3"/>
    <x v="1"/>
  </r>
  <r>
    <s v="TX500421"/>
    <x v="17"/>
    <x v="18"/>
    <x v="140"/>
    <x v="398"/>
    <x v="18"/>
    <d v="2025-01-20T00:00:00"/>
    <x v="1"/>
    <x v="1"/>
    <x v="0"/>
    <x v="0"/>
    <x v="3"/>
    <x v="3"/>
    <x v="3"/>
    <x v="1"/>
  </r>
  <r>
    <s v="TX500422"/>
    <x v="2"/>
    <x v="7"/>
    <x v="349"/>
    <x v="399"/>
    <x v="18"/>
    <d v="2025-01-20T00:00:00"/>
    <x v="2"/>
    <x v="4"/>
    <x v="2"/>
    <x v="0"/>
    <x v="3"/>
    <x v="3"/>
    <x v="3"/>
    <x v="2"/>
  </r>
  <r>
    <s v="TX500423"/>
    <x v="18"/>
    <x v="3"/>
    <x v="112"/>
    <x v="400"/>
    <x v="18"/>
    <d v="2025-01-22T00:00:00"/>
    <x v="1"/>
    <x v="3"/>
    <x v="2"/>
    <x v="0"/>
    <x v="3"/>
    <x v="2"/>
    <x v="3"/>
    <x v="1"/>
  </r>
  <r>
    <s v="TX500424"/>
    <x v="2"/>
    <x v="8"/>
    <x v="350"/>
    <x v="401"/>
    <x v="18"/>
    <d v="2025-01-25T00:00:00"/>
    <x v="3"/>
    <x v="0"/>
    <x v="0"/>
    <x v="0"/>
    <x v="3"/>
    <x v="4"/>
    <x v="3"/>
    <x v="3"/>
  </r>
  <r>
    <s v="TX500425"/>
    <x v="10"/>
    <x v="3"/>
    <x v="351"/>
    <x v="402"/>
    <x v="18"/>
    <d v="2025-01-22T00:00:00"/>
    <x v="2"/>
    <x v="3"/>
    <x v="1"/>
    <x v="0"/>
    <x v="3"/>
    <x v="2"/>
    <x v="3"/>
    <x v="2"/>
  </r>
  <r>
    <s v="TX500426"/>
    <x v="8"/>
    <x v="8"/>
    <x v="170"/>
    <x v="403"/>
    <x v="18"/>
    <d v="2025-01-21T00:00:00"/>
    <x v="2"/>
    <x v="4"/>
    <x v="0"/>
    <x v="0"/>
    <x v="3"/>
    <x v="1"/>
    <x v="3"/>
    <x v="2"/>
  </r>
  <r>
    <s v="TX500427"/>
    <x v="6"/>
    <x v="27"/>
    <x v="352"/>
    <x v="404"/>
    <x v="18"/>
    <d v="2025-01-22T00:00:00"/>
    <x v="2"/>
    <x v="4"/>
    <x v="0"/>
    <x v="0"/>
    <x v="3"/>
    <x v="2"/>
    <x v="3"/>
    <x v="2"/>
  </r>
  <r>
    <s v="TX500428"/>
    <x v="18"/>
    <x v="15"/>
    <x v="353"/>
    <x v="405"/>
    <x v="18"/>
    <d v="2025-01-21T00:00:00"/>
    <x v="1"/>
    <x v="0"/>
    <x v="2"/>
    <x v="0"/>
    <x v="3"/>
    <x v="1"/>
    <x v="3"/>
    <x v="1"/>
  </r>
  <r>
    <s v="TX500429"/>
    <x v="0"/>
    <x v="8"/>
    <x v="170"/>
    <x v="403"/>
    <x v="18"/>
    <d v="2025-01-20T00:00:00"/>
    <x v="2"/>
    <x v="1"/>
    <x v="1"/>
    <x v="0"/>
    <x v="3"/>
    <x v="3"/>
    <x v="3"/>
    <x v="2"/>
  </r>
  <r>
    <s v="TX500430"/>
    <x v="0"/>
    <x v="1"/>
    <x v="255"/>
    <x v="406"/>
    <x v="18"/>
    <d v="2025-01-20T00:00:00"/>
    <x v="2"/>
    <x v="2"/>
    <x v="2"/>
    <x v="0"/>
    <x v="3"/>
    <x v="3"/>
    <x v="3"/>
    <x v="2"/>
  </r>
  <r>
    <s v="TX500431"/>
    <x v="8"/>
    <x v="2"/>
    <x v="165"/>
    <x v="407"/>
    <x v="18"/>
    <d v="2025-01-23T00:00:00"/>
    <x v="2"/>
    <x v="0"/>
    <x v="1"/>
    <x v="0"/>
    <x v="3"/>
    <x v="5"/>
    <x v="3"/>
    <x v="2"/>
  </r>
  <r>
    <s v="TX500432"/>
    <x v="12"/>
    <x v="1"/>
    <x v="165"/>
    <x v="408"/>
    <x v="18"/>
    <d v="2025-01-24T00:00:00"/>
    <x v="2"/>
    <x v="0"/>
    <x v="2"/>
    <x v="0"/>
    <x v="37"/>
    <x v="0"/>
    <x v="3"/>
    <x v="2"/>
  </r>
  <r>
    <s v="TX500433"/>
    <x v="10"/>
    <x v="2"/>
    <x v="98"/>
    <x v="409"/>
    <x v="18"/>
    <d v="2025-01-26T00:00:00"/>
    <x v="2"/>
    <x v="2"/>
    <x v="0"/>
    <x v="0"/>
    <x v="24"/>
    <x v="6"/>
    <x v="3"/>
    <x v="2"/>
  </r>
  <r>
    <s v="TX500434"/>
    <x v="5"/>
    <x v="16"/>
    <x v="316"/>
    <x v="410"/>
    <x v="18"/>
    <d v="2025-01-22T00:00:00"/>
    <x v="1"/>
    <x v="2"/>
    <x v="4"/>
    <x v="0"/>
    <x v="25"/>
    <x v="2"/>
    <x v="3"/>
    <x v="1"/>
  </r>
  <r>
    <s v="TX500435"/>
    <x v="9"/>
    <x v="1"/>
    <x v="108"/>
    <x v="411"/>
    <x v="18"/>
    <d v="2025-01-20T00:00:00"/>
    <x v="2"/>
    <x v="1"/>
    <x v="2"/>
    <x v="0"/>
    <x v="6"/>
    <x v="3"/>
    <x v="3"/>
    <x v="2"/>
  </r>
  <r>
    <s v="TX500436"/>
    <x v="8"/>
    <x v="12"/>
    <x v="354"/>
    <x v="412"/>
    <x v="18"/>
    <d v="2025-01-20T00:00:00"/>
    <x v="1"/>
    <x v="0"/>
    <x v="0"/>
    <x v="0"/>
    <x v="6"/>
    <x v="3"/>
    <x v="3"/>
    <x v="1"/>
  </r>
  <r>
    <s v="TX500437"/>
    <x v="8"/>
    <x v="2"/>
    <x v="25"/>
    <x v="413"/>
    <x v="18"/>
    <d v="2025-01-20T00:00:00"/>
    <x v="2"/>
    <x v="0"/>
    <x v="2"/>
    <x v="0"/>
    <x v="8"/>
    <x v="3"/>
    <x v="3"/>
    <x v="2"/>
  </r>
  <r>
    <s v="TX500438"/>
    <x v="10"/>
    <x v="2"/>
    <x v="355"/>
    <x v="414"/>
    <x v="18"/>
    <d v="2025-01-30T00:00:00"/>
    <x v="1"/>
    <x v="2"/>
    <x v="0"/>
    <x v="0"/>
    <x v="8"/>
    <x v="11"/>
    <x v="3"/>
    <x v="1"/>
  </r>
  <r>
    <s v="TX500439"/>
    <x v="8"/>
    <x v="1"/>
    <x v="356"/>
    <x v="415"/>
    <x v="19"/>
    <d v="2025-01-22T00:00:00"/>
    <x v="2"/>
    <x v="1"/>
    <x v="0"/>
    <x v="0"/>
    <x v="8"/>
    <x v="1"/>
    <x v="3"/>
    <x v="2"/>
  </r>
  <r>
    <s v="TX500440"/>
    <x v="6"/>
    <x v="9"/>
    <x v="357"/>
    <x v="416"/>
    <x v="19"/>
    <d v="2025-01-22T00:00:00"/>
    <x v="2"/>
    <x v="0"/>
    <x v="2"/>
    <x v="0"/>
    <x v="8"/>
    <x v="1"/>
    <x v="3"/>
    <x v="2"/>
  </r>
  <r>
    <s v="TX500441"/>
    <x v="9"/>
    <x v="1"/>
    <x v="93"/>
    <x v="95"/>
    <x v="19"/>
    <d v="2025-01-22T00:00:00"/>
    <x v="1"/>
    <x v="0"/>
    <x v="1"/>
    <x v="0"/>
    <x v="17"/>
    <x v="1"/>
    <x v="3"/>
    <x v="1"/>
  </r>
  <r>
    <s v="TX500442"/>
    <x v="2"/>
    <x v="7"/>
    <x v="358"/>
    <x v="417"/>
    <x v="19"/>
    <d v="2025-01-23T00:00:00"/>
    <x v="2"/>
    <x v="2"/>
    <x v="1"/>
    <x v="0"/>
    <x v="17"/>
    <x v="2"/>
    <x v="3"/>
    <x v="2"/>
  </r>
  <r>
    <s v="TX500443"/>
    <x v="8"/>
    <x v="20"/>
    <x v="359"/>
    <x v="346"/>
    <x v="19"/>
    <d v="2025-01-22T00:00:00"/>
    <x v="3"/>
    <x v="4"/>
    <x v="1"/>
    <x v="0"/>
    <x v="26"/>
    <x v="1"/>
    <x v="3"/>
    <x v="3"/>
  </r>
  <r>
    <s v="TX500444"/>
    <x v="17"/>
    <x v="2"/>
    <x v="351"/>
    <x v="418"/>
    <x v="19"/>
    <d v="2025-01-21T00:00:00"/>
    <x v="1"/>
    <x v="1"/>
    <x v="0"/>
    <x v="0"/>
    <x v="11"/>
    <x v="3"/>
    <x v="3"/>
    <x v="1"/>
  </r>
  <r>
    <s v="TX500445"/>
    <x v="1"/>
    <x v="20"/>
    <x v="360"/>
    <x v="419"/>
    <x v="19"/>
    <d v="2025-01-22T00:00:00"/>
    <x v="2"/>
    <x v="0"/>
    <x v="2"/>
    <x v="0"/>
    <x v="11"/>
    <x v="1"/>
    <x v="3"/>
    <x v="2"/>
  </r>
  <r>
    <s v="TX500446"/>
    <x v="2"/>
    <x v="1"/>
    <x v="361"/>
    <x v="420"/>
    <x v="19"/>
    <d v="2025-01-21T00:00:00"/>
    <x v="2"/>
    <x v="0"/>
    <x v="1"/>
    <x v="0"/>
    <x v="11"/>
    <x v="3"/>
    <x v="3"/>
    <x v="2"/>
  </r>
  <r>
    <s v="TX500447"/>
    <x v="4"/>
    <x v="16"/>
    <x v="362"/>
    <x v="421"/>
    <x v="19"/>
    <d v="2025-01-21T00:00:00"/>
    <x v="2"/>
    <x v="4"/>
    <x v="0"/>
    <x v="0"/>
    <x v="13"/>
    <x v="3"/>
    <x v="3"/>
    <x v="2"/>
  </r>
  <r>
    <s v="TX500448"/>
    <x v="6"/>
    <x v="1"/>
    <x v="219"/>
    <x v="422"/>
    <x v="19"/>
    <d v="2025-01-21T00:00:00"/>
    <x v="1"/>
    <x v="1"/>
    <x v="2"/>
    <x v="0"/>
    <x v="13"/>
    <x v="3"/>
    <x v="3"/>
    <x v="1"/>
  </r>
  <r>
    <s v="TX500449"/>
    <x v="6"/>
    <x v="3"/>
    <x v="363"/>
    <x v="423"/>
    <x v="19"/>
    <d v="2025-01-23T00:00:00"/>
    <x v="2"/>
    <x v="2"/>
    <x v="2"/>
    <x v="0"/>
    <x v="21"/>
    <x v="2"/>
    <x v="3"/>
    <x v="2"/>
  </r>
  <r>
    <s v="TX500450"/>
    <x v="8"/>
    <x v="8"/>
    <x v="364"/>
    <x v="424"/>
    <x v="19"/>
    <d v="2025-01-22T00:00:00"/>
    <x v="2"/>
    <x v="0"/>
    <x v="0"/>
    <x v="0"/>
    <x v="1"/>
    <x v="1"/>
    <x v="3"/>
    <x v="2"/>
  </r>
  <r>
    <s v="TX500451"/>
    <x v="8"/>
    <x v="0"/>
    <x v="365"/>
    <x v="425"/>
    <x v="19"/>
    <d v="2025-01-22T00:00:00"/>
    <x v="0"/>
    <x v="2"/>
    <x v="1"/>
    <x v="0"/>
    <x v="3"/>
    <x v="1"/>
    <x v="3"/>
    <x v="0"/>
  </r>
  <r>
    <s v="TX500452"/>
    <x v="18"/>
    <x v="1"/>
    <x v="78"/>
    <x v="426"/>
    <x v="19"/>
    <d v="2025-01-26T00:00:00"/>
    <x v="2"/>
    <x v="0"/>
    <x v="2"/>
    <x v="0"/>
    <x v="3"/>
    <x v="4"/>
    <x v="3"/>
    <x v="2"/>
  </r>
  <r>
    <s v="TX500453"/>
    <x v="7"/>
    <x v="2"/>
    <x v="232"/>
    <x v="427"/>
    <x v="19"/>
    <d v="2025-01-21T00:00:00"/>
    <x v="2"/>
    <x v="0"/>
    <x v="1"/>
    <x v="0"/>
    <x v="3"/>
    <x v="3"/>
    <x v="3"/>
    <x v="2"/>
  </r>
  <r>
    <s v="TX500454"/>
    <x v="6"/>
    <x v="13"/>
    <x v="366"/>
    <x v="428"/>
    <x v="19"/>
    <d v="2025-01-22T00:00:00"/>
    <x v="2"/>
    <x v="0"/>
    <x v="0"/>
    <x v="0"/>
    <x v="3"/>
    <x v="1"/>
    <x v="3"/>
    <x v="2"/>
  </r>
  <r>
    <s v="TX500455"/>
    <x v="8"/>
    <x v="29"/>
    <x v="367"/>
    <x v="429"/>
    <x v="19"/>
    <d v="2025-01-21T00:00:00"/>
    <x v="2"/>
    <x v="3"/>
    <x v="0"/>
    <x v="0"/>
    <x v="3"/>
    <x v="3"/>
    <x v="3"/>
    <x v="2"/>
  </r>
  <r>
    <s v="TX500456"/>
    <x v="6"/>
    <x v="13"/>
    <x v="368"/>
    <x v="430"/>
    <x v="19"/>
    <d v="2025-01-31T00:00:00"/>
    <x v="2"/>
    <x v="0"/>
    <x v="4"/>
    <x v="0"/>
    <x v="3"/>
    <x v="11"/>
    <x v="3"/>
    <x v="2"/>
  </r>
  <r>
    <s v="TX500457"/>
    <x v="12"/>
    <x v="2"/>
    <x v="369"/>
    <x v="431"/>
    <x v="19"/>
    <d v="2025-01-20T00:00:00"/>
    <x v="2"/>
    <x v="1"/>
    <x v="1"/>
    <x v="0"/>
    <x v="43"/>
    <x v="7"/>
    <x v="3"/>
    <x v="2"/>
  </r>
  <r>
    <s v="TX500458"/>
    <x v="0"/>
    <x v="0"/>
    <x v="370"/>
    <x v="432"/>
    <x v="20"/>
    <d v="2025-01-23T00:00:00"/>
    <x v="2"/>
    <x v="2"/>
    <x v="0"/>
    <x v="0"/>
    <x v="5"/>
    <x v="1"/>
    <x v="3"/>
    <x v="2"/>
  </r>
  <r>
    <s v="TX500459"/>
    <x v="6"/>
    <x v="0"/>
    <x v="371"/>
    <x v="433"/>
    <x v="20"/>
    <d v="2025-01-23T00:00:00"/>
    <x v="2"/>
    <x v="0"/>
    <x v="2"/>
    <x v="0"/>
    <x v="6"/>
    <x v="1"/>
    <x v="3"/>
    <x v="2"/>
  </r>
  <r>
    <s v="TX500460"/>
    <x v="10"/>
    <x v="1"/>
    <x v="372"/>
    <x v="434"/>
    <x v="20"/>
    <d v="2025-01-22T00:00:00"/>
    <x v="1"/>
    <x v="2"/>
    <x v="0"/>
    <x v="0"/>
    <x v="8"/>
    <x v="3"/>
    <x v="3"/>
    <x v="1"/>
  </r>
  <r>
    <s v="TX500461"/>
    <x v="2"/>
    <x v="0"/>
    <x v="373"/>
    <x v="435"/>
    <x v="20"/>
    <d v="2025-01-24T00:00:00"/>
    <x v="2"/>
    <x v="0"/>
    <x v="2"/>
    <x v="0"/>
    <x v="9"/>
    <x v="2"/>
    <x v="3"/>
    <x v="2"/>
  </r>
  <r>
    <s v="TX500462"/>
    <x v="6"/>
    <x v="12"/>
    <x v="364"/>
    <x v="436"/>
    <x v="20"/>
    <d v="2025-01-25T00:00:00"/>
    <x v="1"/>
    <x v="1"/>
    <x v="0"/>
    <x v="0"/>
    <x v="9"/>
    <x v="5"/>
    <x v="3"/>
    <x v="1"/>
  </r>
  <r>
    <s v="TX500463"/>
    <x v="1"/>
    <x v="1"/>
    <x v="156"/>
    <x v="164"/>
    <x v="20"/>
    <d v="2025-01-22T00:00:00"/>
    <x v="1"/>
    <x v="3"/>
    <x v="0"/>
    <x v="0"/>
    <x v="10"/>
    <x v="3"/>
    <x v="3"/>
    <x v="1"/>
  </r>
  <r>
    <s v="TX500464"/>
    <x v="2"/>
    <x v="7"/>
    <x v="213"/>
    <x v="437"/>
    <x v="20"/>
    <d v="2025-01-23T00:00:00"/>
    <x v="1"/>
    <x v="0"/>
    <x v="0"/>
    <x v="0"/>
    <x v="11"/>
    <x v="1"/>
    <x v="3"/>
    <x v="1"/>
  </r>
  <r>
    <s v="TX500465"/>
    <x v="4"/>
    <x v="1"/>
    <x v="9"/>
    <x v="438"/>
    <x v="20"/>
    <d v="2025-01-23T00:00:00"/>
    <x v="0"/>
    <x v="1"/>
    <x v="2"/>
    <x v="0"/>
    <x v="13"/>
    <x v="1"/>
    <x v="3"/>
    <x v="0"/>
  </r>
  <r>
    <s v="TX500466"/>
    <x v="1"/>
    <x v="9"/>
    <x v="374"/>
    <x v="439"/>
    <x v="20"/>
    <d v="2025-01-22T00:00:00"/>
    <x v="1"/>
    <x v="0"/>
    <x v="0"/>
    <x v="0"/>
    <x v="21"/>
    <x v="3"/>
    <x v="3"/>
    <x v="1"/>
  </r>
  <r>
    <s v="TX500467"/>
    <x v="6"/>
    <x v="0"/>
    <x v="286"/>
    <x v="319"/>
    <x v="20"/>
    <d v="2025-01-22T00:00:00"/>
    <x v="2"/>
    <x v="0"/>
    <x v="1"/>
    <x v="0"/>
    <x v="21"/>
    <x v="3"/>
    <x v="3"/>
    <x v="2"/>
  </r>
  <r>
    <s v="TX500468"/>
    <x v="6"/>
    <x v="0"/>
    <x v="325"/>
    <x v="440"/>
    <x v="20"/>
    <d v="2025-01-25T00:00:00"/>
    <x v="2"/>
    <x v="3"/>
    <x v="0"/>
    <x v="0"/>
    <x v="1"/>
    <x v="5"/>
    <x v="3"/>
    <x v="2"/>
  </r>
  <r>
    <s v="TX500469"/>
    <x v="5"/>
    <x v="9"/>
    <x v="11"/>
    <x v="441"/>
    <x v="20"/>
    <d v="2025-01-22T00:00:00"/>
    <x v="1"/>
    <x v="0"/>
    <x v="0"/>
    <x v="0"/>
    <x v="22"/>
    <x v="3"/>
    <x v="3"/>
    <x v="1"/>
  </r>
  <r>
    <s v="TX500470"/>
    <x v="8"/>
    <x v="2"/>
    <x v="375"/>
    <x v="442"/>
    <x v="20"/>
    <d v="2025-01-22T00:00:00"/>
    <x v="1"/>
    <x v="2"/>
    <x v="1"/>
    <x v="0"/>
    <x v="3"/>
    <x v="3"/>
    <x v="3"/>
    <x v="1"/>
  </r>
  <r>
    <s v="TX500471"/>
    <x v="2"/>
    <x v="1"/>
    <x v="376"/>
    <x v="443"/>
    <x v="20"/>
    <d v="2025-01-22T00:00:00"/>
    <x v="2"/>
    <x v="2"/>
    <x v="0"/>
    <x v="0"/>
    <x v="3"/>
    <x v="3"/>
    <x v="3"/>
    <x v="2"/>
  </r>
  <r>
    <s v="TX500472"/>
    <x v="8"/>
    <x v="12"/>
    <x v="152"/>
    <x v="444"/>
    <x v="20"/>
    <d v="2025-01-22T00:00:00"/>
    <x v="3"/>
    <x v="0"/>
    <x v="2"/>
    <x v="0"/>
    <x v="3"/>
    <x v="3"/>
    <x v="3"/>
    <x v="3"/>
  </r>
  <r>
    <s v="TX500473"/>
    <x v="5"/>
    <x v="1"/>
    <x v="153"/>
    <x v="445"/>
    <x v="20"/>
    <d v="2025-01-24T00:00:00"/>
    <x v="1"/>
    <x v="1"/>
    <x v="2"/>
    <x v="0"/>
    <x v="3"/>
    <x v="2"/>
    <x v="3"/>
    <x v="1"/>
  </r>
  <r>
    <s v="TX500474"/>
    <x v="2"/>
    <x v="1"/>
    <x v="211"/>
    <x v="446"/>
    <x v="20"/>
    <d v="2025-01-22T00:00:00"/>
    <x v="0"/>
    <x v="0"/>
    <x v="0"/>
    <x v="0"/>
    <x v="3"/>
    <x v="3"/>
    <x v="3"/>
    <x v="0"/>
  </r>
  <r>
    <s v="TX500475"/>
    <x v="8"/>
    <x v="0"/>
    <x v="359"/>
    <x v="447"/>
    <x v="20"/>
    <d v="2025-01-22T00:00:00"/>
    <x v="2"/>
    <x v="0"/>
    <x v="4"/>
    <x v="0"/>
    <x v="3"/>
    <x v="3"/>
    <x v="3"/>
    <x v="2"/>
  </r>
  <r>
    <s v="TX500476"/>
    <x v="6"/>
    <x v="13"/>
    <x v="377"/>
    <x v="448"/>
    <x v="20"/>
    <d v="2025-01-24T00:00:00"/>
    <x v="1"/>
    <x v="1"/>
    <x v="1"/>
    <x v="0"/>
    <x v="3"/>
    <x v="2"/>
    <x v="3"/>
    <x v="1"/>
  </r>
  <r>
    <s v="TX500477"/>
    <x v="10"/>
    <x v="3"/>
    <x v="72"/>
    <x v="449"/>
    <x v="20"/>
    <d v="2025-01-24T00:00:00"/>
    <x v="2"/>
    <x v="3"/>
    <x v="1"/>
    <x v="0"/>
    <x v="3"/>
    <x v="2"/>
    <x v="3"/>
    <x v="2"/>
  </r>
  <r>
    <s v="TX500478"/>
    <x v="9"/>
    <x v="9"/>
    <x v="378"/>
    <x v="450"/>
    <x v="20"/>
    <d v="2025-01-22T00:00:00"/>
    <x v="2"/>
    <x v="1"/>
    <x v="4"/>
    <x v="0"/>
    <x v="3"/>
    <x v="3"/>
    <x v="3"/>
    <x v="2"/>
  </r>
  <r>
    <s v="TX500479"/>
    <x v="15"/>
    <x v="1"/>
    <x v="379"/>
    <x v="451"/>
    <x v="20"/>
    <d v="2025-01-25T00:00:00"/>
    <x v="2"/>
    <x v="3"/>
    <x v="0"/>
    <x v="0"/>
    <x v="3"/>
    <x v="5"/>
    <x v="3"/>
    <x v="2"/>
  </r>
  <r>
    <s v="TX500480"/>
    <x v="0"/>
    <x v="13"/>
    <x v="242"/>
    <x v="452"/>
    <x v="20"/>
    <d v="2025-01-22T00:00:00"/>
    <x v="1"/>
    <x v="0"/>
    <x v="0"/>
    <x v="0"/>
    <x v="3"/>
    <x v="3"/>
    <x v="3"/>
    <x v="1"/>
  </r>
  <r>
    <s v="TX500481"/>
    <x v="4"/>
    <x v="1"/>
    <x v="380"/>
    <x v="453"/>
    <x v="20"/>
    <d v="2025-01-24T00:00:00"/>
    <x v="1"/>
    <x v="2"/>
    <x v="2"/>
    <x v="0"/>
    <x v="3"/>
    <x v="2"/>
    <x v="3"/>
    <x v="1"/>
  </r>
  <r>
    <s v="TX500482"/>
    <x v="15"/>
    <x v="8"/>
    <x v="136"/>
    <x v="454"/>
    <x v="20"/>
    <d v="2025-01-22T00:00:00"/>
    <x v="1"/>
    <x v="0"/>
    <x v="0"/>
    <x v="0"/>
    <x v="37"/>
    <x v="3"/>
    <x v="3"/>
    <x v="1"/>
  </r>
  <r>
    <s v="TX500483"/>
    <x v="6"/>
    <x v="1"/>
    <x v="381"/>
    <x v="455"/>
    <x v="21"/>
    <d v="2025-01-25T00:00:00"/>
    <x v="2"/>
    <x v="1"/>
    <x v="1"/>
    <x v="0"/>
    <x v="25"/>
    <x v="2"/>
    <x v="3"/>
    <x v="2"/>
  </r>
  <r>
    <s v="TX500484"/>
    <x v="15"/>
    <x v="30"/>
    <x v="382"/>
    <x v="456"/>
    <x v="21"/>
    <d v="2025-01-25T00:00:00"/>
    <x v="1"/>
    <x v="0"/>
    <x v="0"/>
    <x v="0"/>
    <x v="25"/>
    <x v="2"/>
    <x v="3"/>
    <x v="1"/>
  </r>
  <r>
    <s v="TX500485"/>
    <x v="8"/>
    <x v="27"/>
    <x v="383"/>
    <x v="457"/>
    <x v="21"/>
    <d v="2025-01-29T00:00:00"/>
    <x v="2"/>
    <x v="2"/>
    <x v="2"/>
    <x v="0"/>
    <x v="23"/>
    <x v="6"/>
    <x v="3"/>
    <x v="2"/>
  </r>
  <r>
    <s v="TX500486"/>
    <x v="0"/>
    <x v="2"/>
    <x v="384"/>
    <x v="458"/>
    <x v="21"/>
    <d v="2025-01-27T00:00:00"/>
    <x v="2"/>
    <x v="2"/>
    <x v="2"/>
    <x v="0"/>
    <x v="8"/>
    <x v="0"/>
    <x v="3"/>
    <x v="2"/>
  </r>
  <r>
    <s v="TX500487"/>
    <x v="5"/>
    <x v="5"/>
    <x v="385"/>
    <x v="459"/>
    <x v="21"/>
    <d v="2025-01-23T00:00:00"/>
    <x v="1"/>
    <x v="1"/>
    <x v="0"/>
    <x v="0"/>
    <x v="17"/>
    <x v="3"/>
    <x v="3"/>
    <x v="1"/>
  </r>
  <r>
    <s v="TX500488"/>
    <x v="18"/>
    <x v="0"/>
    <x v="92"/>
    <x v="460"/>
    <x v="21"/>
    <d v="2025-01-23T00:00:00"/>
    <x v="1"/>
    <x v="0"/>
    <x v="1"/>
    <x v="0"/>
    <x v="17"/>
    <x v="3"/>
    <x v="3"/>
    <x v="1"/>
  </r>
  <r>
    <s v="TX500489"/>
    <x v="18"/>
    <x v="0"/>
    <x v="365"/>
    <x v="425"/>
    <x v="21"/>
    <d v="2025-01-24T00:00:00"/>
    <x v="0"/>
    <x v="1"/>
    <x v="0"/>
    <x v="0"/>
    <x v="9"/>
    <x v="1"/>
    <x v="3"/>
    <x v="0"/>
  </r>
  <r>
    <s v="TX500490"/>
    <x v="18"/>
    <x v="1"/>
    <x v="386"/>
    <x v="461"/>
    <x v="21"/>
    <d v="2025-01-24T00:00:00"/>
    <x v="2"/>
    <x v="1"/>
    <x v="0"/>
    <x v="0"/>
    <x v="10"/>
    <x v="1"/>
    <x v="3"/>
    <x v="2"/>
  </r>
  <r>
    <s v="TX500491"/>
    <x v="4"/>
    <x v="1"/>
    <x v="387"/>
    <x v="462"/>
    <x v="21"/>
    <d v="2025-01-23T00:00:00"/>
    <x v="2"/>
    <x v="1"/>
    <x v="0"/>
    <x v="0"/>
    <x v="10"/>
    <x v="3"/>
    <x v="3"/>
    <x v="2"/>
  </r>
  <r>
    <s v="TX500492"/>
    <x v="9"/>
    <x v="0"/>
    <x v="256"/>
    <x v="463"/>
    <x v="21"/>
    <d v="2025-01-24T00:00:00"/>
    <x v="2"/>
    <x v="3"/>
    <x v="3"/>
    <x v="0"/>
    <x v="11"/>
    <x v="1"/>
    <x v="3"/>
    <x v="2"/>
  </r>
  <r>
    <s v="TX500493"/>
    <x v="8"/>
    <x v="1"/>
    <x v="325"/>
    <x v="464"/>
    <x v="21"/>
    <d v="2025-01-24T00:00:00"/>
    <x v="2"/>
    <x v="4"/>
    <x v="0"/>
    <x v="0"/>
    <x v="11"/>
    <x v="1"/>
    <x v="3"/>
    <x v="2"/>
  </r>
  <r>
    <s v="TX500494"/>
    <x v="8"/>
    <x v="7"/>
    <x v="388"/>
    <x v="465"/>
    <x v="21"/>
    <d v="2025-01-24T00:00:00"/>
    <x v="2"/>
    <x v="2"/>
    <x v="0"/>
    <x v="0"/>
    <x v="11"/>
    <x v="1"/>
    <x v="3"/>
    <x v="2"/>
  </r>
  <r>
    <s v="TX500495"/>
    <x v="7"/>
    <x v="12"/>
    <x v="298"/>
    <x v="335"/>
    <x v="21"/>
    <d v="2025-01-23T00:00:00"/>
    <x v="2"/>
    <x v="2"/>
    <x v="1"/>
    <x v="0"/>
    <x v="18"/>
    <x v="3"/>
    <x v="3"/>
    <x v="2"/>
  </r>
  <r>
    <s v="TX500496"/>
    <x v="19"/>
    <x v="1"/>
    <x v="389"/>
    <x v="466"/>
    <x v="21"/>
    <d v="2025-01-23T00:00:00"/>
    <x v="2"/>
    <x v="0"/>
    <x v="1"/>
    <x v="0"/>
    <x v="13"/>
    <x v="3"/>
    <x v="3"/>
    <x v="2"/>
  </r>
  <r>
    <s v="TX500497"/>
    <x v="10"/>
    <x v="4"/>
    <x v="390"/>
    <x v="467"/>
    <x v="21"/>
    <d v="2025-01-23T00:00:00"/>
    <x v="1"/>
    <x v="3"/>
    <x v="0"/>
    <x v="0"/>
    <x v="13"/>
    <x v="3"/>
    <x v="3"/>
    <x v="1"/>
  </r>
  <r>
    <s v="TX500498"/>
    <x v="11"/>
    <x v="1"/>
    <x v="391"/>
    <x v="468"/>
    <x v="21"/>
    <d v="2025-01-26T00:00:00"/>
    <x v="2"/>
    <x v="4"/>
    <x v="2"/>
    <x v="0"/>
    <x v="44"/>
    <x v="5"/>
    <x v="3"/>
    <x v="2"/>
  </r>
  <r>
    <s v="TX500499"/>
    <x v="10"/>
    <x v="12"/>
    <x v="392"/>
    <x v="55"/>
    <x v="21"/>
    <d v="2025-01-23T00:00:00"/>
    <x v="1"/>
    <x v="0"/>
    <x v="2"/>
    <x v="0"/>
    <x v="22"/>
    <x v="3"/>
    <x v="3"/>
    <x v="1"/>
  </r>
  <r>
    <s v="TX500500"/>
    <x v="8"/>
    <x v="3"/>
    <x v="199"/>
    <x v="217"/>
    <x v="21"/>
    <d v="2025-01-23T00:00:00"/>
    <x v="3"/>
    <x v="4"/>
    <x v="3"/>
    <x v="0"/>
    <x v="3"/>
    <x v="3"/>
    <x v="3"/>
    <x v="3"/>
  </r>
  <r>
    <s v="TX500501"/>
    <x v="10"/>
    <x v="1"/>
    <x v="162"/>
    <x v="170"/>
    <x v="21"/>
    <d v="2025-01-22T00:00:00"/>
    <x v="0"/>
    <x v="1"/>
    <x v="1"/>
    <x v="0"/>
    <x v="3"/>
    <x v="7"/>
    <x v="3"/>
    <x v="0"/>
  </r>
  <r>
    <s v="TX500502"/>
    <x v="9"/>
    <x v="1"/>
    <x v="393"/>
    <x v="388"/>
    <x v="21"/>
    <d v="2025-01-23T00:00:00"/>
    <x v="1"/>
    <x v="0"/>
    <x v="1"/>
    <x v="0"/>
    <x v="3"/>
    <x v="3"/>
    <x v="3"/>
    <x v="1"/>
  </r>
  <r>
    <s v="TX500503"/>
    <x v="11"/>
    <x v="0"/>
    <x v="394"/>
    <x v="469"/>
    <x v="21"/>
    <d v="2025-01-26T00:00:00"/>
    <x v="2"/>
    <x v="1"/>
    <x v="0"/>
    <x v="0"/>
    <x v="3"/>
    <x v="5"/>
    <x v="3"/>
    <x v="2"/>
  </r>
  <r>
    <s v="TX500504"/>
    <x v="17"/>
    <x v="0"/>
    <x v="380"/>
    <x v="390"/>
    <x v="21"/>
    <d v="2025-01-25T00:00:00"/>
    <x v="2"/>
    <x v="2"/>
    <x v="1"/>
    <x v="0"/>
    <x v="3"/>
    <x v="2"/>
    <x v="3"/>
    <x v="2"/>
  </r>
  <r>
    <s v="TX500505"/>
    <x v="6"/>
    <x v="1"/>
    <x v="329"/>
    <x v="470"/>
    <x v="21"/>
    <d v="2025-01-25T00:00:00"/>
    <x v="2"/>
    <x v="0"/>
    <x v="2"/>
    <x v="0"/>
    <x v="3"/>
    <x v="2"/>
    <x v="3"/>
    <x v="2"/>
  </r>
  <r>
    <s v="TX500506"/>
    <x v="16"/>
    <x v="11"/>
    <x v="395"/>
    <x v="471"/>
    <x v="21"/>
    <d v="2025-01-26T00:00:00"/>
    <x v="2"/>
    <x v="3"/>
    <x v="0"/>
    <x v="0"/>
    <x v="3"/>
    <x v="5"/>
    <x v="3"/>
    <x v="2"/>
  </r>
  <r>
    <s v="TX500507"/>
    <x v="2"/>
    <x v="0"/>
    <x v="140"/>
    <x v="472"/>
    <x v="21"/>
    <d v="2025-01-25T00:00:00"/>
    <x v="2"/>
    <x v="1"/>
    <x v="0"/>
    <x v="0"/>
    <x v="3"/>
    <x v="2"/>
    <x v="3"/>
    <x v="2"/>
  </r>
  <r>
    <s v="TX500508"/>
    <x v="6"/>
    <x v="0"/>
    <x v="27"/>
    <x v="473"/>
    <x v="21"/>
    <d v="2025-01-24T00:00:00"/>
    <x v="1"/>
    <x v="1"/>
    <x v="0"/>
    <x v="0"/>
    <x v="3"/>
    <x v="1"/>
    <x v="3"/>
    <x v="1"/>
  </r>
  <r>
    <s v="TX500509"/>
    <x v="8"/>
    <x v="1"/>
    <x v="334"/>
    <x v="474"/>
    <x v="21"/>
    <d v="2025-01-23T00:00:00"/>
    <x v="1"/>
    <x v="1"/>
    <x v="0"/>
    <x v="0"/>
    <x v="6"/>
    <x v="3"/>
    <x v="3"/>
    <x v="1"/>
  </r>
  <r>
    <s v="TX500510"/>
    <x v="1"/>
    <x v="0"/>
    <x v="184"/>
    <x v="475"/>
    <x v="21"/>
    <d v="2025-01-24T00:00:00"/>
    <x v="2"/>
    <x v="4"/>
    <x v="1"/>
    <x v="0"/>
    <x v="8"/>
    <x v="1"/>
    <x v="3"/>
    <x v="2"/>
  </r>
  <r>
    <s v="TX500511"/>
    <x v="13"/>
    <x v="2"/>
    <x v="396"/>
    <x v="476"/>
    <x v="21"/>
    <d v="2025-01-24T00:00:00"/>
    <x v="2"/>
    <x v="4"/>
    <x v="1"/>
    <x v="0"/>
    <x v="8"/>
    <x v="1"/>
    <x v="3"/>
    <x v="2"/>
  </r>
  <r>
    <s v="TX500512"/>
    <x v="3"/>
    <x v="12"/>
    <x v="321"/>
    <x v="477"/>
    <x v="21"/>
    <d v="2025-01-22T00:00:00"/>
    <x v="0"/>
    <x v="2"/>
    <x v="0"/>
    <x v="0"/>
    <x v="8"/>
    <x v="7"/>
    <x v="3"/>
    <x v="0"/>
  </r>
  <r>
    <s v="TX500513"/>
    <x v="15"/>
    <x v="4"/>
    <x v="397"/>
    <x v="478"/>
    <x v="21"/>
    <d v="2025-01-23T00:00:00"/>
    <x v="2"/>
    <x v="1"/>
    <x v="0"/>
    <x v="0"/>
    <x v="8"/>
    <x v="3"/>
    <x v="3"/>
    <x v="2"/>
  </r>
  <r>
    <s v="TX500514"/>
    <x v="8"/>
    <x v="9"/>
    <x v="398"/>
    <x v="479"/>
    <x v="21"/>
    <d v="2025-01-24T00:00:00"/>
    <x v="1"/>
    <x v="4"/>
    <x v="1"/>
    <x v="0"/>
    <x v="9"/>
    <x v="1"/>
    <x v="3"/>
    <x v="1"/>
  </r>
  <r>
    <s v="TX500515"/>
    <x v="10"/>
    <x v="1"/>
    <x v="390"/>
    <x v="480"/>
    <x v="22"/>
    <d v="2025-01-25T00:00:00"/>
    <x v="1"/>
    <x v="0"/>
    <x v="2"/>
    <x v="0"/>
    <x v="11"/>
    <x v="1"/>
    <x v="3"/>
    <x v="1"/>
  </r>
  <r>
    <s v="TX500516"/>
    <x v="8"/>
    <x v="31"/>
    <x v="399"/>
    <x v="481"/>
    <x v="22"/>
    <d v="2025-01-24T00:00:00"/>
    <x v="0"/>
    <x v="3"/>
    <x v="2"/>
    <x v="0"/>
    <x v="11"/>
    <x v="3"/>
    <x v="3"/>
    <x v="0"/>
  </r>
  <r>
    <s v="TX500517"/>
    <x v="10"/>
    <x v="1"/>
    <x v="400"/>
    <x v="482"/>
    <x v="22"/>
    <d v="2025-01-25T00:00:00"/>
    <x v="2"/>
    <x v="0"/>
    <x v="0"/>
    <x v="0"/>
    <x v="18"/>
    <x v="1"/>
    <x v="3"/>
    <x v="2"/>
  </r>
  <r>
    <s v="TX500518"/>
    <x v="0"/>
    <x v="1"/>
    <x v="401"/>
    <x v="483"/>
    <x v="22"/>
    <d v="2025-01-26T00:00:00"/>
    <x v="2"/>
    <x v="1"/>
    <x v="2"/>
    <x v="0"/>
    <x v="45"/>
    <x v="2"/>
    <x v="3"/>
    <x v="2"/>
  </r>
  <r>
    <s v="TX500519"/>
    <x v="4"/>
    <x v="15"/>
    <x v="72"/>
    <x v="484"/>
    <x v="22"/>
    <d v="2025-01-27T00:00:00"/>
    <x v="2"/>
    <x v="0"/>
    <x v="0"/>
    <x v="0"/>
    <x v="21"/>
    <x v="5"/>
    <x v="3"/>
    <x v="2"/>
  </r>
  <r>
    <s v="TX500520"/>
    <x v="4"/>
    <x v="2"/>
    <x v="402"/>
    <x v="485"/>
    <x v="22"/>
    <d v="2025-01-26T00:00:00"/>
    <x v="2"/>
    <x v="1"/>
    <x v="1"/>
    <x v="0"/>
    <x v="2"/>
    <x v="2"/>
    <x v="3"/>
    <x v="2"/>
  </r>
  <r>
    <s v="TX500521"/>
    <x v="4"/>
    <x v="1"/>
    <x v="403"/>
    <x v="486"/>
    <x v="22"/>
    <d v="2025-01-24T00:00:00"/>
    <x v="1"/>
    <x v="0"/>
    <x v="1"/>
    <x v="0"/>
    <x v="2"/>
    <x v="3"/>
    <x v="3"/>
    <x v="1"/>
  </r>
  <r>
    <s v="TX500522"/>
    <x v="7"/>
    <x v="2"/>
    <x v="404"/>
    <x v="487"/>
    <x v="22"/>
    <d v="2025-01-23T00:00:00"/>
    <x v="2"/>
    <x v="2"/>
    <x v="1"/>
    <x v="0"/>
    <x v="3"/>
    <x v="7"/>
    <x v="3"/>
    <x v="2"/>
  </r>
  <r>
    <s v="TX500523"/>
    <x v="2"/>
    <x v="1"/>
    <x v="405"/>
    <x v="488"/>
    <x v="22"/>
    <d v="2025-01-23T00:00:00"/>
    <x v="0"/>
    <x v="0"/>
    <x v="0"/>
    <x v="0"/>
    <x v="3"/>
    <x v="7"/>
    <x v="3"/>
    <x v="0"/>
  </r>
  <r>
    <s v="TX500524"/>
    <x v="9"/>
    <x v="12"/>
    <x v="9"/>
    <x v="70"/>
    <x v="22"/>
    <d v="2025-01-24T00:00:00"/>
    <x v="2"/>
    <x v="2"/>
    <x v="2"/>
    <x v="0"/>
    <x v="3"/>
    <x v="3"/>
    <x v="3"/>
    <x v="2"/>
  </r>
  <r>
    <s v="TX500525"/>
    <x v="12"/>
    <x v="11"/>
    <x v="108"/>
    <x v="489"/>
    <x v="22"/>
    <d v="2025-01-24T00:00:00"/>
    <x v="2"/>
    <x v="0"/>
    <x v="0"/>
    <x v="0"/>
    <x v="3"/>
    <x v="3"/>
    <x v="3"/>
    <x v="2"/>
  </r>
  <r>
    <s v="TX500526"/>
    <x v="8"/>
    <x v="1"/>
    <x v="143"/>
    <x v="150"/>
    <x v="22"/>
    <d v="2025-01-24T00:00:00"/>
    <x v="1"/>
    <x v="1"/>
    <x v="0"/>
    <x v="0"/>
    <x v="3"/>
    <x v="3"/>
    <x v="3"/>
    <x v="1"/>
  </r>
  <r>
    <s v="TX500527"/>
    <x v="18"/>
    <x v="32"/>
    <x v="326"/>
    <x v="490"/>
    <x v="22"/>
    <d v="2025-01-24T00:00:00"/>
    <x v="1"/>
    <x v="0"/>
    <x v="2"/>
    <x v="0"/>
    <x v="3"/>
    <x v="3"/>
    <x v="3"/>
    <x v="1"/>
  </r>
  <r>
    <s v="TX500528"/>
    <x v="14"/>
    <x v="1"/>
    <x v="406"/>
    <x v="491"/>
    <x v="22"/>
    <d v="2025-01-25T00:00:00"/>
    <x v="2"/>
    <x v="1"/>
    <x v="0"/>
    <x v="0"/>
    <x v="3"/>
    <x v="1"/>
    <x v="3"/>
    <x v="2"/>
  </r>
  <r>
    <s v="TX500529"/>
    <x v="4"/>
    <x v="14"/>
    <x v="407"/>
    <x v="492"/>
    <x v="22"/>
    <d v="2025-01-24T00:00:00"/>
    <x v="2"/>
    <x v="2"/>
    <x v="1"/>
    <x v="0"/>
    <x v="3"/>
    <x v="3"/>
    <x v="3"/>
    <x v="2"/>
  </r>
  <r>
    <s v="TX500530"/>
    <x v="10"/>
    <x v="1"/>
    <x v="110"/>
    <x v="493"/>
    <x v="22"/>
    <d v="2025-01-24T00:00:00"/>
    <x v="2"/>
    <x v="3"/>
    <x v="0"/>
    <x v="0"/>
    <x v="3"/>
    <x v="3"/>
    <x v="3"/>
    <x v="2"/>
  </r>
  <r>
    <s v="TX500531"/>
    <x v="0"/>
    <x v="12"/>
    <x v="408"/>
    <x v="438"/>
    <x v="22"/>
    <d v="2025-01-24T00:00:00"/>
    <x v="2"/>
    <x v="3"/>
    <x v="1"/>
    <x v="0"/>
    <x v="3"/>
    <x v="3"/>
    <x v="3"/>
    <x v="2"/>
  </r>
  <r>
    <s v="TX500532"/>
    <x v="8"/>
    <x v="1"/>
    <x v="409"/>
    <x v="494"/>
    <x v="22"/>
    <d v="2025-01-24T00:00:00"/>
    <x v="2"/>
    <x v="0"/>
    <x v="0"/>
    <x v="0"/>
    <x v="6"/>
    <x v="3"/>
    <x v="3"/>
    <x v="2"/>
  </r>
  <r>
    <s v="TX500533"/>
    <x v="1"/>
    <x v="1"/>
    <x v="410"/>
    <x v="495"/>
    <x v="22"/>
    <d v="2025-01-26T00:00:00"/>
    <x v="2"/>
    <x v="0"/>
    <x v="0"/>
    <x v="0"/>
    <x v="6"/>
    <x v="2"/>
    <x v="3"/>
    <x v="2"/>
  </r>
  <r>
    <s v="TX500534"/>
    <x v="6"/>
    <x v="0"/>
    <x v="394"/>
    <x v="469"/>
    <x v="22"/>
    <d v="2025-01-24T00:00:00"/>
    <x v="2"/>
    <x v="3"/>
    <x v="2"/>
    <x v="0"/>
    <x v="6"/>
    <x v="3"/>
    <x v="3"/>
    <x v="2"/>
  </r>
  <r>
    <s v="TX500535"/>
    <x v="8"/>
    <x v="1"/>
    <x v="266"/>
    <x v="496"/>
    <x v="22"/>
    <d v="2025-01-27T00:00:00"/>
    <x v="2"/>
    <x v="2"/>
    <x v="0"/>
    <x v="0"/>
    <x v="7"/>
    <x v="5"/>
    <x v="3"/>
    <x v="2"/>
  </r>
  <r>
    <s v="TX500536"/>
    <x v="9"/>
    <x v="0"/>
    <x v="411"/>
    <x v="497"/>
    <x v="22"/>
    <d v="2025-01-26T00:00:00"/>
    <x v="2"/>
    <x v="2"/>
    <x v="0"/>
    <x v="0"/>
    <x v="7"/>
    <x v="2"/>
    <x v="3"/>
    <x v="2"/>
  </r>
  <r>
    <s v="TX500537"/>
    <x v="16"/>
    <x v="5"/>
    <x v="412"/>
    <x v="498"/>
    <x v="22"/>
    <d v="2025-01-24T00:00:00"/>
    <x v="1"/>
    <x v="2"/>
    <x v="1"/>
    <x v="0"/>
    <x v="7"/>
    <x v="3"/>
    <x v="3"/>
    <x v="1"/>
  </r>
  <r>
    <s v="TX500538"/>
    <x v="0"/>
    <x v="1"/>
    <x v="413"/>
    <x v="499"/>
    <x v="22"/>
    <d v="2025-01-25T00:00:00"/>
    <x v="2"/>
    <x v="4"/>
    <x v="4"/>
    <x v="0"/>
    <x v="8"/>
    <x v="1"/>
    <x v="3"/>
    <x v="2"/>
  </r>
  <r>
    <s v="TX500539"/>
    <x v="15"/>
    <x v="0"/>
    <x v="308"/>
    <x v="500"/>
    <x v="22"/>
    <d v="2025-01-24T00:00:00"/>
    <x v="1"/>
    <x v="3"/>
    <x v="1"/>
    <x v="0"/>
    <x v="8"/>
    <x v="3"/>
    <x v="3"/>
    <x v="1"/>
  </r>
  <r>
    <s v="TX500540"/>
    <x v="7"/>
    <x v="9"/>
    <x v="414"/>
    <x v="501"/>
    <x v="22"/>
    <d v="2025-01-24T00:00:00"/>
    <x v="2"/>
    <x v="4"/>
    <x v="0"/>
    <x v="0"/>
    <x v="8"/>
    <x v="3"/>
    <x v="3"/>
    <x v="2"/>
  </r>
  <r>
    <s v="TX500541"/>
    <x v="8"/>
    <x v="27"/>
    <x v="415"/>
    <x v="502"/>
    <x v="22"/>
    <d v="2025-01-25T00:00:00"/>
    <x v="1"/>
    <x v="3"/>
    <x v="2"/>
    <x v="0"/>
    <x v="8"/>
    <x v="1"/>
    <x v="3"/>
    <x v="1"/>
  </r>
  <r>
    <s v="TX500542"/>
    <x v="8"/>
    <x v="12"/>
    <x v="53"/>
    <x v="503"/>
    <x v="22"/>
    <d v="2025-01-24T00:00:00"/>
    <x v="1"/>
    <x v="1"/>
    <x v="0"/>
    <x v="0"/>
    <x v="10"/>
    <x v="3"/>
    <x v="3"/>
    <x v="1"/>
  </r>
  <r>
    <s v="TX500543"/>
    <x v="9"/>
    <x v="2"/>
    <x v="206"/>
    <x v="223"/>
    <x v="22"/>
    <d v="2025-01-25T00:00:00"/>
    <x v="2"/>
    <x v="1"/>
    <x v="1"/>
    <x v="0"/>
    <x v="10"/>
    <x v="1"/>
    <x v="3"/>
    <x v="2"/>
  </r>
  <r>
    <s v="TX500544"/>
    <x v="11"/>
    <x v="0"/>
    <x v="387"/>
    <x v="504"/>
    <x v="22"/>
    <d v="2025-01-25T00:00:00"/>
    <x v="2"/>
    <x v="1"/>
    <x v="2"/>
    <x v="0"/>
    <x v="11"/>
    <x v="1"/>
    <x v="3"/>
    <x v="2"/>
  </r>
  <r>
    <s v="TX500545"/>
    <x v="2"/>
    <x v="7"/>
    <x v="416"/>
    <x v="505"/>
    <x v="22"/>
    <d v="2025-01-25T00:00:00"/>
    <x v="2"/>
    <x v="2"/>
    <x v="2"/>
    <x v="0"/>
    <x v="32"/>
    <x v="1"/>
    <x v="3"/>
    <x v="2"/>
  </r>
  <r>
    <s v="TX500546"/>
    <x v="6"/>
    <x v="17"/>
    <x v="417"/>
    <x v="506"/>
    <x v="23"/>
    <d v="2025-01-27T00:00:00"/>
    <x v="2"/>
    <x v="1"/>
    <x v="2"/>
    <x v="0"/>
    <x v="38"/>
    <x v="2"/>
    <x v="3"/>
    <x v="2"/>
  </r>
  <r>
    <s v="TX500547"/>
    <x v="7"/>
    <x v="12"/>
    <x v="418"/>
    <x v="507"/>
    <x v="23"/>
    <d v="2025-01-25T00:00:00"/>
    <x v="0"/>
    <x v="2"/>
    <x v="0"/>
    <x v="0"/>
    <x v="19"/>
    <x v="3"/>
    <x v="3"/>
    <x v="0"/>
  </r>
  <r>
    <s v="TX500548"/>
    <x v="9"/>
    <x v="0"/>
    <x v="419"/>
    <x v="508"/>
    <x v="23"/>
    <d v="2025-01-27T00:00:00"/>
    <x v="1"/>
    <x v="1"/>
    <x v="2"/>
    <x v="0"/>
    <x v="12"/>
    <x v="2"/>
    <x v="3"/>
    <x v="1"/>
  </r>
  <r>
    <s v="TX500549"/>
    <x v="0"/>
    <x v="2"/>
    <x v="243"/>
    <x v="509"/>
    <x v="23"/>
    <d v="2025-01-24T00:00:00"/>
    <x v="2"/>
    <x v="4"/>
    <x v="0"/>
    <x v="0"/>
    <x v="13"/>
    <x v="7"/>
    <x v="3"/>
    <x v="2"/>
  </r>
  <r>
    <s v="TX500550"/>
    <x v="1"/>
    <x v="0"/>
    <x v="196"/>
    <x v="510"/>
    <x v="23"/>
    <d v="2025-01-25T00:00:00"/>
    <x v="3"/>
    <x v="4"/>
    <x v="1"/>
    <x v="0"/>
    <x v="46"/>
    <x v="3"/>
    <x v="3"/>
    <x v="3"/>
  </r>
  <r>
    <s v="TX500551"/>
    <x v="6"/>
    <x v="0"/>
    <x v="420"/>
    <x v="255"/>
    <x v="23"/>
    <d v="2025-01-25T00:00:00"/>
    <x v="1"/>
    <x v="3"/>
    <x v="1"/>
    <x v="0"/>
    <x v="1"/>
    <x v="3"/>
    <x v="3"/>
    <x v="1"/>
  </r>
  <r>
    <s v="TX500552"/>
    <x v="8"/>
    <x v="2"/>
    <x v="421"/>
    <x v="511"/>
    <x v="23"/>
    <d v="2025-01-25T00:00:00"/>
    <x v="2"/>
    <x v="0"/>
    <x v="0"/>
    <x v="0"/>
    <x v="44"/>
    <x v="3"/>
    <x v="3"/>
    <x v="2"/>
  </r>
  <r>
    <s v="TX500553"/>
    <x v="6"/>
    <x v="3"/>
    <x v="92"/>
    <x v="512"/>
    <x v="23"/>
    <d v="2025-01-25T00:00:00"/>
    <x v="2"/>
    <x v="0"/>
    <x v="0"/>
    <x v="0"/>
    <x v="3"/>
    <x v="3"/>
    <x v="3"/>
    <x v="2"/>
  </r>
  <r>
    <s v="TX500554"/>
    <x v="12"/>
    <x v="0"/>
    <x v="422"/>
    <x v="513"/>
    <x v="23"/>
    <d v="2025-01-24T00:00:00"/>
    <x v="2"/>
    <x v="1"/>
    <x v="1"/>
    <x v="0"/>
    <x v="3"/>
    <x v="7"/>
    <x v="3"/>
    <x v="2"/>
  </r>
  <r>
    <s v="TX500555"/>
    <x v="8"/>
    <x v="2"/>
    <x v="423"/>
    <x v="514"/>
    <x v="23"/>
    <d v="2025-01-25T00:00:00"/>
    <x v="2"/>
    <x v="1"/>
    <x v="2"/>
    <x v="0"/>
    <x v="3"/>
    <x v="3"/>
    <x v="3"/>
    <x v="2"/>
  </r>
  <r>
    <s v="TX500556"/>
    <x v="6"/>
    <x v="2"/>
    <x v="424"/>
    <x v="515"/>
    <x v="23"/>
    <d v="2025-01-25T00:00:00"/>
    <x v="2"/>
    <x v="3"/>
    <x v="0"/>
    <x v="0"/>
    <x v="3"/>
    <x v="3"/>
    <x v="3"/>
    <x v="2"/>
  </r>
  <r>
    <s v="TX500557"/>
    <x v="5"/>
    <x v="0"/>
    <x v="425"/>
    <x v="516"/>
    <x v="23"/>
    <d v="2025-01-27T00:00:00"/>
    <x v="2"/>
    <x v="4"/>
    <x v="0"/>
    <x v="0"/>
    <x v="3"/>
    <x v="2"/>
    <x v="3"/>
    <x v="2"/>
  </r>
  <r>
    <s v="TX500558"/>
    <x v="6"/>
    <x v="1"/>
    <x v="197"/>
    <x v="517"/>
    <x v="23"/>
    <d v="2025-01-26T00:00:00"/>
    <x v="2"/>
    <x v="3"/>
    <x v="0"/>
    <x v="0"/>
    <x v="3"/>
    <x v="1"/>
    <x v="3"/>
    <x v="2"/>
  </r>
  <r>
    <s v="TX500559"/>
    <x v="1"/>
    <x v="0"/>
    <x v="7"/>
    <x v="518"/>
    <x v="23"/>
    <d v="2025-01-25T00:00:00"/>
    <x v="1"/>
    <x v="0"/>
    <x v="1"/>
    <x v="0"/>
    <x v="3"/>
    <x v="3"/>
    <x v="3"/>
    <x v="1"/>
  </r>
  <r>
    <s v="TX500560"/>
    <x v="2"/>
    <x v="2"/>
    <x v="54"/>
    <x v="54"/>
    <x v="23"/>
    <d v="2025-01-29T00:00:00"/>
    <x v="1"/>
    <x v="0"/>
    <x v="2"/>
    <x v="0"/>
    <x v="6"/>
    <x v="0"/>
    <x v="3"/>
    <x v="1"/>
  </r>
  <r>
    <s v="TX500561"/>
    <x v="0"/>
    <x v="2"/>
    <x v="426"/>
    <x v="519"/>
    <x v="23"/>
    <d v="2025-01-25T00:00:00"/>
    <x v="2"/>
    <x v="0"/>
    <x v="1"/>
    <x v="0"/>
    <x v="6"/>
    <x v="3"/>
    <x v="3"/>
    <x v="2"/>
  </r>
  <r>
    <s v="TX500562"/>
    <x v="2"/>
    <x v="1"/>
    <x v="427"/>
    <x v="520"/>
    <x v="23"/>
    <d v="2025-01-26T00:00:00"/>
    <x v="1"/>
    <x v="1"/>
    <x v="0"/>
    <x v="0"/>
    <x v="6"/>
    <x v="1"/>
    <x v="3"/>
    <x v="1"/>
  </r>
  <r>
    <s v="TX500563"/>
    <x v="4"/>
    <x v="1"/>
    <x v="399"/>
    <x v="521"/>
    <x v="23"/>
    <d v="2025-01-27T00:00:00"/>
    <x v="1"/>
    <x v="2"/>
    <x v="2"/>
    <x v="0"/>
    <x v="6"/>
    <x v="2"/>
    <x v="3"/>
    <x v="1"/>
  </r>
  <r>
    <s v="TX500564"/>
    <x v="1"/>
    <x v="1"/>
    <x v="428"/>
    <x v="522"/>
    <x v="24"/>
    <d v="2025-01-28T00:00:00"/>
    <x v="1"/>
    <x v="1"/>
    <x v="1"/>
    <x v="0"/>
    <x v="7"/>
    <x v="2"/>
    <x v="3"/>
    <x v="1"/>
  </r>
  <r>
    <s v="TX500565"/>
    <x v="3"/>
    <x v="9"/>
    <x v="429"/>
    <x v="523"/>
    <x v="24"/>
    <d v="2025-01-27T00:00:00"/>
    <x v="2"/>
    <x v="1"/>
    <x v="0"/>
    <x v="0"/>
    <x v="8"/>
    <x v="1"/>
    <x v="3"/>
    <x v="2"/>
  </r>
  <r>
    <s v="TX500566"/>
    <x v="8"/>
    <x v="5"/>
    <x v="430"/>
    <x v="524"/>
    <x v="24"/>
    <d v="2025-02-01T00:00:00"/>
    <x v="1"/>
    <x v="0"/>
    <x v="0"/>
    <x v="0"/>
    <x v="8"/>
    <x v="6"/>
    <x v="3"/>
    <x v="1"/>
  </r>
  <r>
    <s v="TX500567"/>
    <x v="0"/>
    <x v="0"/>
    <x v="9"/>
    <x v="525"/>
    <x v="24"/>
    <d v="2025-01-26T00:00:00"/>
    <x v="2"/>
    <x v="0"/>
    <x v="1"/>
    <x v="0"/>
    <x v="17"/>
    <x v="3"/>
    <x v="3"/>
    <x v="2"/>
  </r>
  <r>
    <s v="TX500568"/>
    <x v="2"/>
    <x v="15"/>
    <x v="22"/>
    <x v="526"/>
    <x v="24"/>
    <d v="2025-02-07T00:00:00"/>
    <x v="2"/>
    <x v="3"/>
    <x v="1"/>
    <x v="0"/>
    <x v="11"/>
    <x v="10"/>
    <x v="3"/>
    <x v="2"/>
  </r>
  <r>
    <s v="TX500569"/>
    <x v="1"/>
    <x v="0"/>
    <x v="431"/>
    <x v="527"/>
    <x v="24"/>
    <d v="2025-01-28T00:00:00"/>
    <x v="2"/>
    <x v="0"/>
    <x v="1"/>
    <x v="0"/>
    <x v="11"/>
    <x v="2"/>
    <x v="3"/>
    <x v="2"/>
  </r>
  <r>
    <s v="TX500570"/>
    <x v="6"/>
    <x v="0"/>
    <x v="432"/>
    <x v="528"/>
    <x v="24"/>
    <d v="2025-01-27T00:00:00"/>
    <x v="1"/>
    <x v="0"/>
    <x v="0"/>
    <x v="0"/>
    <x v="13"/>
    <x v="1"/>
    <x v="3"/>
    <x v="1"/>
  </r>
  <r>
    <s v="TX500571"/>
    <x v="2"/>
    <x v="1"/>
    <x v="433"/>
    <x v="529"/>
    <x v="24"/>
    <d v="2025-01-27T00:00:00"/>
    <x v="1"/>
    <x v="0"/>
    <x v="0"/>
    <x v="0"/>
    <x v="21"/>
    <x v="1"/>
    <x v="3"/>
    <x v="1"/>
  </r>
  <r>
    <s v="TX500572"/>
    <x v="6"/>
    <x v="1"/>
    <x v="434"/>
    <x v="142"/>
    <x v="24"/>
    <d v="2025-01-26T00:00:00"/>
    <x v="2"/>
    <x v="1"/>
    <x v="1"/>
    <x v="0"/>
    <x v="21"/>
    <x v="3"/>
    <x v="3"/>
    <x v="2"/>
  </r>
  <r>
    <s v="TX500573"/>
    <x v="2"/>
    <x v="0"/>
    <x v="435"/>
    <x v="530"/>
    <x v="24"/>
    <d v="2025-01-26T00:00:00"/>
    <x v="1"/>
    <x v="0"/>
    <x v="0"/>
    <x v="0"/>
    <x v="1"/>
    <x v="3"/>
    <x v="3"/>
    <x v="1"/>
  </r>
  <r>
    <s v="TX500574"/>
    <x v="4"/>
    <x v="9"/>
    <x v="436"/>
    <x v="531"/>
    <x v="24"/>
    <d v="2025-01-30T00:00:00"/>
    <x v="2"/>
    <x v="1"/>
    <x v="1"/>
    <x v="0"/>
    <x v="22"/>
    <x v="0"/>
    <x v="3"/>
    <x v="2"/>
  </r>
  <r>
    <s v="TX500575"/>
    <x v="2"/>
    <x v="12"/>
    <x v="437"/>
    <x v="532"/>
    <x v="24"/>
    <d v="2025-01-25T00:00:00"/>
    <x v="2"/>
    <x v="1"/>
    <x v="1"/>
    <x v="0"/>
    <x v="3"/>
    <x v="7"/>
    <x v="3"/>
    <x v="2"/>
  </r>
  <r>
    <s v="TX500576"/>
    <x v="0"/>
    <x v="12"/>
    <x v="438"/>
    <x v="533"/>
    <x v="24"/>
    <d v="2025-01-28T00:00:00"/>
    <x v="1"/>
    <x v="4"/>
    <x v="0"/>
    <x v="0"/>
    <x v="3"/>
    <x v="2"/>
    <x v="3"/>
    <x v="1"/>
  </r>
  <r>
    <s v="TX500577"/>
    <x v="10"/>
    <x v="0"/>
    <x v="439"/>
    <x v="534"/>
    <x v="24"/>
    <d v="2025-01-27T00:00:00"/>
    <x v="1"/>
    <x v="0"/>
    <x v="4"/>
    <x v="0"/>
    <x v="3"/>
    <x v="1"/>
    <x v="3"/>
    <x v="1"/>
  </r>
  <r>
    <s v="TX500578"/>
    <x v="12"/>
    <x v="12"/>
    <x v="440"/>
    <x v="403"/>
    <x v="24"/>
    <d v="2025-01-26T00:00:00"/>
    <x v="2"/>
    <x v="3"/>
    <x v="0"/>
    <x v="0"/>
    <x v="47"/>
    <x v="3"/>
    <x v="3"/>
    <x v="2"/>
  </r>
  <r>
    <s v="TX500579"/>
    <x v="0"/>
    <x v="9"/>
    <x v="441"/>
    <x v="535"/>
    <x v="24"/>
    <d v="2025-01-29T00:00:00"/>
    <x v="2"/>
    <x v="0"/>
    <x v="0"/>
    <x v="0"/>
    <x v="8"/>
    <x v="5"/>
    <x v="3"/>
    <x v="2"/>
  </r>
  <r>
    <s v="TX500580"/>
    <x v="6"/>
    <x v="2"/>
    <x v="171"/>
    <x v="33"/>
    <x v="24"/>
    <d v="2025-01-28T00:00:00"/>
    <x v="2"/>
    <x v="4"/>
    <x v="0"/>
    <x v="0"/>
    <x v="8"/>
    <x v="2"/>
    <x v="3"/>
    <x v="2"/>
  </r>
  <r>
    <s v="TX500581"/>
    <x v="12"/>
    <x v="0"/>
    <x v="442"/>
    <x v="479"/>
    <x v="24"/>
    <d v="2025-01-25T00:00:00"/>
    <x v="2"/>
    <x v="0"/>
    <x v="2"/>
    <x v="0"/>
    <x v="8"/>
    <x v="7"/>
    <x v="3"/>
    <x v="2"/>
  </r>
  <r>
    <s v="TX500582"/>
    <x v="10"/>
    <x v="12"/>
    <x v="337"/>
    <x v="536"/>
    <x v="24"/>
    <d v="2025-01-27T00:00:00"/>
    <x v="2"/>
    <x v="1"/>
    <x v="4"/>
    <x v="0"/>
    <x v="8"/>
    <x v="1"/>
    <x v="3"/>
    <x v="2"/>
  </r>
  <r>
    <s v="TX500583"/>
    <x v="8"/>
    <x v="5"/>
    <x v="133"/>
    <x v="537"/>
    <x v="25"/>
    <d v="2025-01-26T00:00:00"/>
    <x v="2"/>
    <x v="4"/>
    <x v="1"/>
    <x v="0"/>
    <x v="26"/>
    <x v="7"/>
    <x v="4"/>
    <x v="2"/>
  </r>
  <r>
    <s v="TX500584"/>
    <x v="10"/>
    <x v="0"/>
    <x v="365"/>
    <x v="425"/>
    <x v="25"/>
    <d v="2025-01-26T00:00:00"/>
    <x v="1"/>
    <x v="0"/>
    <x v="1"/>
    <x v="0"/>
    <x v="9"/>
    <x v="7"/>
    <x v="4"/>
    <x v="1"/>
  </r>
  <r>
    <s v="TX500585"/>
    <x v="17"/>
    <x v="0"/>
    <x v="134"/>
    <x v="538"/>
    <x v="25"/>
    <d v="2025-01-28T00:00:00"/>
    <x v="2"/>
    <x v="0"/>
    <x v="1"/>
    <x v="0"/>
    <x v="9"/>
    <x v="1"/>
    <x v="4"/>
    <x v="2"/>
  </r>
  <r>
    <s v="TX500586"/>
    <x v="10"/>
    <x v="2"/>
    <x v="443"/>
    <x v="539"/>
    <x v="25"/>
    <d v="2025-01-29T00:00:00"/>
    <x v="2"/>
    <x v="4"/>
    <x v="1"/>
    <x v="0"/>
    <x v="11"/>
    <x v="2"/>
    <x v="4"/>
    <x v="2"/>
  </r>
  <r>
    <s v="TX500587"/>
    <x v="6"/>
    <x v="9"/>
    <x v="84"/>
    <x v="540"/>
    <x v="25"/>
    <d v="2025-01-31T00:00:00"/>
    <x v="2"/>
    <x v="1"/>
    <x v="2"/>
    <x v="0"/>
    <x v="11"/>
    <x v="0"/>
    <x v="4"/>
    <x v="2"/>
  </r>
  <r>
    <s v="TX500588"/>
    <x v="1"/>
    <x v="7"/>
    <x v="444"/>
    <x v="541"/>
    <x v="25"/>
    <d v="2025-01-27T00:00:00"/>
    <x v="1"/>
    <x v="1"/>
    <x v="0"/>
    <x v="0"/>
    <x v="11"/>
    <x v="3"/>
    <x v="4"/>
    <x v="1"/>
  </r>
  <r>
    <s v="TX500589"/>
    <x v="2"/>
    <x v="0"/>
    <x v="66"/>
    <x v="542"/>
    <x v="25"/>
    <d v="2025-01-27T00:00:00"/>
    <x v="2"/>
    <x v="0"/>
    <x v="1"/>
    <x v="0"/>
    <x v="20"/>
    <x v="3"/>
    <x v="4"/>
    <x v="2"/>
  </r>
  <r>
    <s v="TX500590"/>
    <x v="2"/>
    <x v="2"/>
    <x v="445"/>
    <x v="543"/>
    <x v="25"/>
    <d v="2025-01-27T00:00:00"/>
    <x v="2"/>
    <x v="2"/>
    <x v="1"/>
    <x v="0"/>
    <x v="13"/>
    <x v="3"/>
    <x v="4"/>
    <x v="2"/>
  </r>
  <r>
    <s v="TX500591"/>
    <x v="8"/>
    <x v="2"/>
    <x v="446"/>
    <x v="544"/>
    <x v="25"/>
    <d v="2025-01-27T00:00:00"/>
    <x v="1"/>
    <x v="0"/>
    <x v="0"/>
    <x v="0"/>
    <x v="1"/>
    <x v="3"/>
    <x v="4"/>
    <x v="1"/>
  </r>
  <r>
    <s v="TX500592"/>
    <x v="2"/>
    <x v="1"/>
    <x v="447"/>
    <x v="545"/>
    <x v="25"/>
    <d v="2025-01-27T00:00:00"/>
    <x v="2"/>
    <x v="3"/>
    <x v="0"/>
    <x v="0"/>
    <x v="2"/>
    <x v="3"/>
    <x v="4"/>
    <x v="2"/>
  </r>
  <r>
    <s v="TX500593"/>
    <x v="3"/>
    <x v="1"/>
    <x v="15"/>
    <x v="546"/>
    <x v="25"/>
    <d v="2025-01-26T00:00:00"/>
    <x v="2"/>
    <x v="2"/>
    <x v="2"/>
    <x v="0"/>
    <x v="22"/>
    <x v="7"/>
    <x v="4"/>
    <x v="2"/>
  </r>
  <r>
    <s v="TX500594"/>
    <x v="8"/>
    <x v="1"/>
    <x v="383"/>
    <x v="547"/>
    <x v="25"/>
    <d v="2025-01-27T00:00:00"/>
    <x v="2"/>
    <x v="1"/>
    <x v="0"/>
    <x v="0"/>
    <x v="3"/>
    <x v="3"/>
    <x v="4"/>
    <x v="2"/>
  </r>
  <r>
    <s v="TX500595"/>
    <x v="4"/>
    <x v="1"/>
    <x v="448"/>
    <x v="548"/>
    <x v="25"/>
    <d v="2025-01-30T00:00:00"/>
    <x v="1"/>
    <x v="2"/>
    <x v="2"/>
    <x v="0"/>
    <x v="3"/>
    <x v="5"/>
    <x v="4"/>
    <x v="1"/>
  </r>
  <r>
    <s v="TX500596"/>
    <x v="10"/>
    <x v="3"/>
    <x v="32"/>
    <x v="549"/>
    <x v="25"/>
    <d v="2025-01-28T00:00:00"/>
    <x v="1"/>
    <x v="4"/>
    <x v="2"/>
    <x v="0"/>
    <x v="3"/>
    <x v="1"/>
    <x v="4"/>
    <x v="1"/>
  </r>
  <r>
    <s v="TX500597"/>
    <x v="5"/>
    <x v="1"/>
    <x v="88"/>
    <x v="90"/>
    <x v="25"/>
    <d v="2025-01-27T00:00:00"/>
    <x v="2"/>
    <x v="2"/>
    <x v="0"/>
    <x v="0"/>
    <x v="3"/>
    <x v="3"/>
    <x v="4"/>
    <x v="2"/>
  </r>
  <r>
    <s v="TX500598"/>
    <x v="2"/>
    <x v="0"/>
    <x v="449"/>
    <x v="550"/>
    <x v="25"/>
    <d v="2025-01-26T00:00:00"/>
    <x v="2"/>
    <x v="2"/>
    <x v="2"/>
    <x v="0"/>
    <x v="3"/>
    <x v="7"/>
    <x v="4"/>
    <x v="2"/>
  </r>
  <r>
    <s v="TX500599"/>
    <x v="4"/>
    <x v="27"/>
    <x v="450"/>
    <x v="551"/>
    <x v="25"/>
    <d v="2025-01-28T00:00:00"/>
    <x v="1"/>
    <x v="1"/>
    <x v="0"/>
    <x v="0"/>
    <x v="3"/>
    <x v="1"/>
    <x v="4"/>
    <x v="1"/>
  </r>
  <r>
    <s v="TX500600"/>
    <x v="6"/>
    <x v="12"/>
    <x v="451"/>
    <x v="552"/>
    <x v="25"/>
    <d v="2025-01-27T00:00:00"/>
    <x v="2"/>
    <x v="0"/>
    <x v="1"/>
    <x v="0"/>
    <x v="3"/>
    <x v="3"/>
    <x v="4"/>
    <x v="2"/>
  </r>
  <r>
    <s v="TX500601"/>
    <x v="8"/>
    <x v="12"/>
    <x v="452"/>
    <x v="553"/>
    <x v="25"/>
    <d v="2025-01-29T00:00:00"/>
    <x v="1"/>
    <x v="0"/>
    <x v="2"/>
    <x v="0"/>
    <x v="3"/>
    <x v="2"/>
    <x v="4"/>
    <x v="1"/>
  </r>
  <r>
    <s v="TX500602"/>
    <x v="7"/>
    <x v="13"/>
    <x v="453"/>
    <x v="554"/>
    <x v="25"/>
    <d v="2025-01-27T00:00:00"/>
    <x v="2"/>
    <x v="1"/>
    <x v="1"/>
    <x v="0"/>
    <x v="37"/>
    <x v="3"/>
    <x v="4"/>
    <x v="2"/>
  </r>
  <r>
    <s v="TX500603"/>
    <x v="1"/>
    <x v="30"/>
    <x v="207"/>
    <x v="555"/>
    <x v="25"/>
    <d v="2025-01-27T00:00:00"/>
    <x v="2"/>
    <x v="0"/>
    <x v="0"/>
    <x v="0"/>
    <x v="16"/>
    <x v="3"/>
    <x v="4"/>
    <x v="2"/>
  </r>
  <r>
    <s v="TX500604"/>
    <x v="1"/>
    <x v="12"/>
    <x v="334"/>
    <x v="381"/>
    <x v="25"/>
    <d v="2025-01-28T00:00:00"/>
    <x v="1"/>
    <x v="0"/>
    <x v="2"/>
    <x v="0"/>
    <x v="8"/>
    <x v="1"/>
    <x v="4"/>
    <x v="1"/>
  </r>
  <r>
    <s v="TX500605"/>
    <x v="2"/>
    <x v="0"/>
    <x v="454"/>
    <x v="556"/>
    <x v="25"/>
    <d v="2025-01-27T00:00:00"/>
    <x v="1"/>
    <x v="3"/>
    <x v="2"/>
    <x v="0"/>
    <x v="8"/>
    <x v="3"/>
    <x v="4"/>
    <x v="1"/>
  </r>
  <r>
    <s v="TX500606"/>
    <x v="14"/>
    <x v="2"/>
    <x v="406"/>
    <x v="557"/>
    <x v="25"/>
    <d v="2025-01-28T00:00:00"/>
    <x v="2"/>
    <x v="1"/>
    <x v="0"/>
    <x v="0"/>
    <x v="9"/>
    <x v="1"/>
    <x v="4"/>
    <x v="2"/>
  </r>
  <r>
    <s v="TX500607"/>
    <x v="0"/>
    <x v="1"/>
    <x v="455"/>
    <x v="558"/>
    <x v="25"/>
    <d v="2025-01-26T00:00:00"/>
    <x v="2"/>
    <x v="3"/>
    <x v="0"/>
    <x v="0"/>
    <x v="48"/>
    <x v="7"/>
    <x v="4"/>
    <x v="2"/>
  </r>
  <r>
    <s v="TX500608"/>
    <x v="3"/>
    <x v="2"/>
    <x v="456"/>
    <x v="338"/>
    <x v="25"/>
    <d v="2025-01-29T00:00:00"/>
    <x v="1"/>
    <x v="3"/>
    <x v="0"/>
    <x v="0"/>
    <x v="18"/>
    <x v="2"/>
    <x v="4"/>
    <x v="1"/>
  </r>
  <r>
    <s v="TX500609"/>
    <x v="1"/>
    <x v="8"/>
    <x v="56"/>
    <x v="559"/>
    <x v="25"/>
    <d v="2025-01-28T00:00:00"/>
    <x v="2"/>
    <x v="1"/>
    <x v="0"/>
    <x v="0"/>
    <x v="19"/>
    <x v="1"/>
    <x v="4"/>
    <x v="2"/>
  </r>
  <r>
    <s v="TX500610"/>
    <x v="1"/>
    <x v="13"/>
    <x v="8"/>
    <x v="560"/>
    <x v="25"/>
    <d v="2025-01-30T00:00:00"/>
    <x v="2"/>
    <x v="4"/>
    <x v="1"/>
    <x v="0"/>
    <x v="19"/>
    <x v="5"/>
    <x v="4"/>
    <x v="2"/>
  </r>
  <r>
    <s v="TX500611"/>
    <x v="0"/>
    <x v="28"/>
    <x v="457"/>
    <x v="561"/>
    <x v="25"/>
    <d v="2025-01-27T00:00:00"/>
    <x v="2"/>
    <x v="3"/>
    <x v="0"/>
    <x v="0"/>
    <x v="21"/>
    <x v="3"/>
    <x v="4"/>
    <x v="2"/>
  </r>
  <r>
    <s v="TX500612"/>
    <x v="7"/>
    <x v="1"/>
    <x v="452"/>
    <x v="85"/>
    <x v="25"/>
    <d v="2025-01-27T00:00:00"/>
    <x v="2"/>
    <x v="0"/>
    <x v="2"/>
    <x v="0"/>
    <x v="1"/>
    <x v="3"/>
    <x v="4"/>
    <x v="2"/>
  </r>
  <r>
    <s v="TX500613"/>
    <x v="8"/>
    <x v="12"/>
    <x v="3"/>
    <x v="562"/>
    <x v="25"/>
    <d v="2025-01-27T00:00:00"/>
    <x v="2"/>
    <x v="1"/>
    <x v="0"/>
    <x v="0"/>
    <x v="22"/>
    <x v="3"/>
    <x v="4"/>
    <x v="2"/>
  </r>
  <r>
    <s v="TX500614"/>
    <x v="10"/>
    <x v="33"/>
    <x v="458"/>
    <x v="563"/>
    <x v="25"/>
    <d v="2025-01-28T00:00:00"/>
    <x v="2"/>
    <x v="4"/>
    <x v="1"/>
    <x v="0"/>
    <x v="3"/>
    <x v="1"/>
    <x v="4"/>
    <x v="2"/>
  </r>
  <r>
    <s v="TX500615"/>
    <x v="9"/>
    <x v="12"/>
    <x v="38"/>
    <x v="101"/>
    <x v="25"/>
    <d v="2025-01-28T00:00:00"/>
    <x v="1"/>
    <x v="0"/>
    <x v="4"/>
    <x v="0"/>
    <x v="3"/>
    <x v="1"/>
    <x v="4"/>
    <x v="1"/>
  </r>
  <r>
    <s v="TX500616"/>
    <x v="0"/>
    <x v="1"/>
    <x v="292"/>
    <x v="564"/>
    <x v="25"/>
    <d v="2025-01-27T00:00:00"/>
    <x v="1"/>
    <x v="4"/>
    <x v="1"/>
    <x v="0"/>
    <x v="3"/>
    <x v="3"/>
    <x v="4"/>
    <x v="1"/>
  </r>
  <r>
    <s v="TX500617"/>
    <x v="8"/>
    <x v="1"/>
    <x v="296"/>
    <x v="565"/>
    <x v="25"/>
    <d v="2025-01-27T00:00:00"/>
    <x v="1"/>
    <x v="2"/>
    <x v="2"/>
    <x v="0"/>
    <x v="3"/>
    <x v="3"/>
    <x v="4"/>
    <x v="1"/>
  </r>
  <r>
    <s v="TX500618"/>
    <x v="7"/>
    <x v="0"/>
    <x v="224"/>
    <x v="242"/>
    <x v="26"/>
    <d v="2025-01-28T00:00:00"/>
    <x v="2"/>
    <x v="2"/>
    <x v="1"/>
    <x v="0"/>
    <x v="3"/>
    <x v="3"/>
    <x v="4"/>
    <x v="2"/>
  </r>
  <r>
    <s v="TX500619"/>
    <x v="1"/>
    <x v="7"/>
    <x v="459"/>
    <x v="566"/>
    <x v="26"/>
    <d v="2025-01-28T00:00:00"/>
    <x v="1"/>
    <x v="0"/>
    <x v="2"/>
    <x v="0"/>
    <x v="5"/>
    <x v="3"/>
    <x v="4"/>
    <x v="1"/>
  </r>
  <r>
    <s v="TX500620"/>
    <x v="12"/>
    <x v="13"/>
    <x v="18"/>
    <x v="567"/>
    <x v="26"/>
    <d v="2025-01-27T00:00:00"/>
    <x v="1"/>
    <x v="1"/>
    <x v="2"/>
    <x v="0"/>
    <x v="5"/>
    <x v="7"/>
    <x v="4"/>
    <x v="1"/>
  </r>
  <r>
    <s v="TX500621"/>
    <x v="1"/>
    <x v="0"/>
    <x v="460"/>
    <x v="568"/>
    <x v="26"/>
    <d v="2025-01-31T00:00:00"/>
    <x v="2"/>
    <x v="1"/>
    <x v="2"/>
    <x v="0"/>
    <x v="23"/>
    <x v="5"/>
    <x v="4"/>
    <x v="2"/>
  </r>
  <r>
    <s v="TX500622"/>
    <x v="7"/>
    <x v="0"/>
    <x v="461"/>
    <x v="569"/>
    <x v="26"/>
    <d v="2025-01-27T00:00:00"/>
    <x v="1"/>
    <x v="0"/>
    <x v="4"/>
    <x v="0"/>
    <x v="8"/>
    <x v="7"/>
    <x v="4"/>
    <x v="1"/>
  </r>
  <r>
    <s v="TX500623"/>
    <x v="15"/>
    <x v="1"/>
    <x v="462"/>
    <x v="353"/>
    <x v="26"/>
    <d v="2025-02-01T00:00:00"/>
    <x v="2"/>
    <x v="0"/>
    <x v="0"/>
    <x v="0"/>
    <x v="17"/>
    <x v="0"/>
    <x v="4"/>
    <x v="2"/>
  </r>
  <r>
    <s v="TX500624"/>
    <x v="6"/>
    <x v="1"/>
    <x v="366"/>
    <x v="570"/>
    <x v="26"/>
    <d v="2025-01-28T00:00:00"/>
    <x v="0"/>
    <x v="0"/>
    <x v="2"/>
    <x v="0"/>
    <x v="11"/>
    <x v="3"/>
    <x v="4"/>
    <x v="0"/>
  </r>
  <r>
    <s v="TX500625"/>
    <x v="0"/>
    <x v="32"/>
    <x v="463"/>
    <x v="281"/>
    <x v="26"/>
    <d v="2025-01-29T00:00:00"/>
    <x v="2"/>
    <x v="3"/>
    <x v="2"/>
    <x v="0"/>
    <x v="18"/>
    <x v="1"/>
    <x v="4"/>
    <x v="2"/>
  </r>
  <r>
    <s v="TX500626"/>
    <x v="10"/>
    <x v="7"/>
    <x v="180"/>
    <x v="501"/>
    <x v="26"/>
    <d v="2025-01-29T00:00:00"/>
    <x v="2"/>
    <x v="2"/>
    <x v="2"/>
    <x v="0"/>
    <x v="18"/>
    <x v="1"/>
    <x v="4"/>
    <x v="2"/>
  </r>
  <r>
    <s v="TX500627"/>
    <x v="8"/>
    <x v="1"/>
    <x v="464"/>
    <x v="556"/>
    <x v="26"/>
    <d v="2025-01-28T00:00:00"/>
    <x v="2"/>
    <x v="2"/>
    <x v="0"/>
    <x v="0"/>
    <x v="18"/>
    <x v="3"/>
    <x v="4"/>
    <x v="2"/>
  </r>
  <r>
    <s v="TX500628"/>
    <x v="8"/>
    <x v="2"/>
    <x v="465"/>
    <x v="571"/>
    <x v="26"/>
    <d v="2025-01-28T00:00:00"/>
    <x v="2"/>
    <x v="2"/>
    <x v="0"/>
    <x v="0"/>
    <x v="21"/>
    <x v="3"/>
    <x v="4"/>
    <x v="2"/>
  </r>
  <r>
    <s v="TX500629"/>
    <x v="4"/>
    <x v="0"/>
    <x v="466"/>
    <x v="572"/>
    <x v="26"/>
    <d v="2025-01-29T00:00:00"/>
    <x v="2"/>
    <x v="0"/>
    <x v="1"/>
    <x v="0"/>
    <x v="21"/>
    <x v="1"/>
    <x v="4"/>
    <x v="2"/>
  </r>
  <r>
    <s v="TX500630"/>
    <x v="8"/>
    <x v="1"/>
    <x v="237"/>
    <x v="573"/>
    <x v="26"/>
    <d v="2025-01-30T00:00:00"/>
    <x v="1"/>
    <x v="1"/>
    <x v="2"/>
    <x v="0"/>
    <x v="21"/>
    <x v="2"/>
    <x v="4"/>
    <x v="1"/>
  </r>
  <r>
    <s v="TX500631"/>
    <x v="2"/>
    <x v="0"/>
    <x v="467"/>
    <x v="574"/>
    <x v="27"/>
    <d v="2025-01-29T00:00:00"/>
    <x v="2"/>
    <x v="1"/>
    <x v="1"/>
    <x v="0"/>
    <x v="22"/>
    <x v="3"/>
    <x v="4"/>
    <x v="2"/>
  </r>
  <r>
    <s v="TX500632"/>
    <x v="9"/>
    <x v="9"/>
    <x v="124"/>
    <x v="575"/>
    <x v="27"/>
    <d v="2025-01-29T00:00:00"/>
    <x v="1"/>
    <x v="0"/>
    <x v="2"/>
    <x v="0"/>
    <x v="3"/>
    <x v="3"/>
    <x v="4"/>
    <x v="1"/>
  </r>
  <r>
    <s v="TX500633"/>
    <x v="14"/>
    <x v="9"/>
    <x v="468"/>
    <x v="576"/>
    <x v="27"/>
    <d v="2025-01-29T00:00:00"/>
    <x v="1"/>
    <x v="2"/>
    <x v="2"/>
    <x v="0"/>
    <x v="3"/>
    <x v="3"/>
    <x v="4"/>
    <x v="1"/>
  </r>
  <r>
    <s v="TX500634"/>
    <x v="17"/>
    <x v="2"/>
    <x v="469"/>
    <x v="577"/>
    <x v="27"/>
    <d v="2025-01-29T00:00:00"/>
    <x v="2"/>
    <x v="1"/>
    <x v="1"/>
    <x v="0"/>
    <x v="3"/>
    <x v="3"/>
    <x v="4"/>
    <x v="2"/>
  </r>
  <r>
    <s v="TX500635"/>
    <x v="0"/>
    <x v="9"/>
    <x v="49"/>
    <x v="340"/>
    <x v="27"/>
    <d v="2025-02-04T00:00:00"/>
    <x v="2"/>
    <x v="0"/>
    <x v="2"/>
    <x v="0"/>
    <x v="3"/>
    <x v="6"/>
    <x v="4"/>
    <x v="2"/>
  </r>
  <r>
    <s v="TX500636"/>
    <x v="13"/>
    <x v="0"/>
    <x v="79"/>
    <x v="578"/>
    <x v="27"/>
    <d v="2025-01-28T00:00:00"/>
    <x v="1"/>
    <x v="0"/>
    <x v="1"/>
    <x v="0"/>
    <x v="3"/>
    <x v="7"/>
    <x v="4"/>
    <x v="1"/>
  </r>
  <r>
    <s v="TX500637"/>
    <x v="4"/>
    <x v="9"/>
    <x v="237"/>
    <x v="579"/>
    <x v="27"/>
    <d v="2025-02-02T00:00:00"/>
    <x v="1"/>
    <x v="0"/>
    <x v="0"/>
    <x v="0"/>
    <x v="3"/>
    <x v="0"/>
    <x v="4"/>
    <x v="1"/>
  </r>
  <r>
    <s v="TX500638"/>
    <x v="8"/>
    <x v="2"/>
    <x v="429"/>
    <x v="580"/>
    <x v="27"/>
    <d v="2025-01-30T00:00:00"/>
    <x v="2"/>
    <x v="0"/>
    <x v="0"/>
    <x v="0"/>
    <x v="3"/>
    <x v="1"/>
    <x v="4"/>
    <x v="2"/>
  </r>
  <r>
    <s v="TX500639"/>
    <x v="1"/>
    <x v="5"/>
    <x v="470"/>
    <x v="581"/>
    <x v="27"/>
    <d v="2025-01-30T00:00:00"/>
    <x v="2"/>
    <x v="2"/>
    <x v="0"/>
    <x v="0"/>
    <x v="3"/>
    <x v="1"/>
    <x v="4"/>
    <x v="2"/>
  </r>
  <r>
    <s v="TX500640"/>
    <x v="13"/>
    <x v="11"/>
    <x v="128"/>
    <x v="582"/>
    <x v="27"/>
    <d v="2025-01-30T00:00:00"/>
    <x v="2"/>
    <x v="0"/>
    <x v="2"/>
    <x v="0"/>
    <x v="3"/>
    <x v="1"/>
    <x v="4"/>
    <x v="2"/>
  </r>
  <r>
    <s v="TX500641"/>
    <x v="0"/>
    <x v="1"/>
    <x v="243"/>
    <x v="583"/>
    <x v="27"/>
    <d v="2025-01-31T00:00:00"/>
    <x v="1"/>
    <x v="0"/>
    <x v="0"/>
    <x v="0"/>
    <x v="3"/>
    <x v="2"/>
    <x v="4"/>
    <x v="1"/>
  </r>
  <r>
    <s v="TX500642"/>
    <x v="6"/>
    <x v="12"/>
    <x v="471"/>
    <x v="584"/>
    <x v="27"/>
    <d v="2025-01-30T00:00:00"/>
    <x v="2"/>
    <x v="4"/>
    <x v="0"/>
    <x v="0"/>
    <x v="3"/>
    <x v="1"/>
    <x v="4"/>
    <x v="2"/>
  </r>
  <r>
    <s v="TX500643"/>
    <x v="6"/>
    <x v="9"/>
    <x v="472"/>
    <x v="585"/>
    <x v="27"/>
    <d v="2025-01-30T00:00:00"/>
    <x v="1"/>
    <x v="0"/>
    <x v="1"/>
    <x v="0"/>
    <x v="4"/>
    <x v="1"/>
    <x v="4"/>
    <x v="1"/>
  </r>
  <r>
    <s v="TX500644"/>
    <x v="6"/>
    <x v="1"/>
    <x v="367"/>
    <x v="586"/>
    <x v="27"/>
    <d v="2025-01-29T00:00:00"/>
    <x v="2"/>
    <x v="0"/>
    <x v="0"/>
    <x v="0"/>
    <x v="6"/>
    <x v="3"/>
    <x v="4"/>
    <x v="2"/>
  </r>
  <r>
    <s v="TX500645"/>
    <x v="6"/>
    <x v="8"/>
    <x v="473"/>
    <x v="587"/>
    <x v="27"/>
    <d v="2025-01-30T00:00:00"/>
    <x v="2"/>
    <x v="1"/>
    <x v="0"/>
    <x v="0"/>
    <x v="6"/>
    <x v="1"/>
    <x v="4"/>
    <x v="2"/>
  </r>
  <r>
    <s v="TX500646"/>
    <x v="2"/>
    <x v="21"/>
    <x v="474"/>
    <x v="588"/>
    <x v="27"/>
    <d v="2025-02-02T00:00:00"/>
    <x v="2"/>
    <x v="0"/>
    <x v="2"/>
    <x v="0"/>
    <x v="6"/>
    <x v="0"/>
    <x v="4"/>
    <x v="2"/>
  </r>
  <r>
    <s v="TX500647"/>
    <x v="2"/>
    <x v="1"/>
    <x v="371"/>
    <x v="589"/>
    <x v="28"/>
    <d v="2025-01-29T00:00:00"/>
    <x v="0"/>
    <x v="1"/>
    <x v="2"/>
    <x v="0"/>
    <x v="7"/>
    <x v="7"/>
    <x v="4"/>
    <x v="0"/>
  </r>
  <r>
    <s v="TX500648"/>
    <x v="3"/>
    <x v="12"/>
    <x v="475"/>
    <x v="590"/>
    <x v="28"/>
    <d v="2025-02-02T00:00:00"/>
    <x v="2"/>
    <x v="3"/>
    <x v="2"/>
    <x v="0"/>
    <x v="7"/>
    <x v="5"/>
    <x v="4"/>
    <x v="2"/>
  </r>
  <r>
    <s v="TX500649"/>
    <x v="14"/>
    <x v="0"/>
    <x v="476"/>
    <x v="591"/>
    <x v="28"/>
    <d v="2025-02-03T00:00:00"/>
    <x v="2"/>
    <x v="3"/>
    <x v="0"/>
    <x v="0"/>
    <x v="8"/>
    <x v="0"/>
    <x v="4"/>
    <x v="2"/>
  </r>
  <r>
    <s v="TX500650"/>
    <x v="12"/>
    <x v="2"/>
    <x v="477"/>
    <x v="592"/>
    <x v="28"/>
    <d v="2025-01-30T00:00:00"/>
    <x v="1"/>
    <x v="2"/>
    <x v="1"/>
    <x v="0"/>
    <x v="8"/>
    <x v="3"/>
    <x v="4"/>
    <x v="1"/>
  </r>
  <r>
    <s v="TX500651"/>
    <x v="0"/>
    <x v="13"/>
    <x v="478"/>
    <x v="593"/>
    <x v="28"/>
    <d v="2025-02-09T00:00:00"/>
    <x v="2"/>
    <x v="0"/>
    <x v="2"/>
    <x v="0"/>
    <x v="8"/>
    <x v="11"/>
    <x v="4"/>
    <x v="2"/>
  </r>
  <r>
    <s v="TX500652"/>
    <x v="7"/>
    <x v="0"/>
    <x v="21"/>
    <x v="594"/>
    <x v="28"/>
    <d v="2025-02-01T00:00:00"/>
    <x v="2"/>
    <x v="2"/>
    <x v="0"/>
    <x v="0"/>
    <x v="17"/>
    <x v="2"/>
    <x v="4"/>
    <x v="2"/>
  </r>
  <r>
    <s v="TX500653"/>
    <x v="1"/>
    <x v="12"/>
    <x v="280"/>
    <x v="595"/>
    <x v="28"/>
    <d v="2025-01-30T00:00:00"/>
    <x v="1"/>
    <x v="2"/>
    <x v="2"/>
    <x v="0"/>
    <x v="17"/>
    <x v="3"/>
    <x v="4"/>
    <x v="1"/>
  </r>
  <r>
    <s v="TX500654"/>
    <x v="6"/>
    <x v="2"/>
    <x v="197"/>
    <x v="214"/>
    <x v="28"/>
    <d v="2025-02-04T00:00:00"/>
    <x v="2"/>
    <x v="0"/>
    <x v="0"/>
    <x v="0"/>
    <x v="9"/>
    <x v="4"/>
    <x v="4"/>
    <x v="2"/>
  </r>
  <r>
    <s v="TX500655"/>
    <x v="10"/>
    <x v="7"/>
    <x v="51"/>
    <x v="596"/>
    <x v="28"/>
    <d v="2025-01-30T00:00:00"/>
    <x v="1"/>
    <x v="0"/>
    <x v="2"/>
    <x v="0"/>
    <x v="10"/>
    <x v="3"/>
    <x v="4"/>
    <x v="1"/>
  </r>
  <r>
    <s v="TX500656"/>
    <x v="7"/>
    <x v="1"/>
    <x v="479"/>
    <x v="597"/>
    <x v="28"/>
    <d v="2025-02-02T00:00:00"/>
    <x v="2"/>
    <x v="4"/>
    <x v="2"/>
    <x v="0"/>
    <x v="11"/>
    <x v="5"/>
    <x v="4"/>
    <x v="2"/>
  </r>
  <r>
    <s v="TX500657"/>
    <x v="0"/>
    <x v="1"/>
    <x v="35"/>
    <x v="35"/>
    <x v="28"/>
    <d v="2025-01-31T00:00:00"/>
    <x v="1"/>
    <x v="1"/>
    <x v="0"/>
    <x v="0"/>
    <x v="11"/>
    <x v="1"/>
    <x v="4"/>
    <x v="1"/>
  </r>
  <r>
    <s v="TX500658"/>
    <x v="2"/>
    <x v="12"/>
    <x v="480"/>
    <x v="598"/>
    <x v="28"/>
    <d v="2025-01-30T00:00:00"/>
    <x v="1"/>
    <x v="2"/>
    <x v="0"/>
    <x v="0"/>
    <x v="11"/>
    <x v="3"/>
    <x v="4"/>
    <x v="1"/>
  </r>
  <r>
    <s v="TX500659"/>
    <x v="6"/>
    <x v="2"/>
    <x v="242"/>
    <x v="599"/>
    <x v="28"/>
    <d v="2025-02-04T00:00:00"/>
    <x v="2"/>
    <x v="1"/>
    <x v="2"/>
    <x v="0"/>
    <x v="45"/>
    <x v="4"/>
    <x v="4"/>
    <x v="2"/>
  </r>
  <r>
    <s v="TX500660"/>
    <x v="8"/>
    <x v="12"/>
    <x v="51"/>
    <x v="451"/>
    <x v="28"/>
    <d v="2025-01-31T00:00:00"/>
    <x v="2"/>
    <x v="1"/>
    <x v="2"/>
    <x v="0"/>
    <x v="21"/>
    <x v="1"/>
    <x v="4"/>
    <x v="2"/>
  </r>
  <r>
    <s v="TX500661"/>
    <x v="2"/>
    <x v="1"/>
    <x v="481"/>
    <x v="600"/>
    <x v="28"/>
    <d v="2025-01-30T00:00:00"/>
    <x v="2"/>
    <x v="2"/>
    <x v="0"/>
    <x v="0"/>
    <x v="44"/>
    <x v="3"/>
    <x v="4"/>
    <x v="2"/>
  </r>
  <r>
    <s v="TX500662"/>
    <x v="10"/>
    <x v="0"/>
    <x v="269"/>
    <x v="601"/>
    <x v="28"/>
    <d v="2025-01-31T00:00:00"/>
    <x v="1"/>
    <x v="0"/>
    <x v="0"/>
    <x v="0"/>
    <x v="3"/>
    <x v="1"/>
    <x v="4"/>
    <x v="1"/>
  </r>
  <r>
    <s v="TX500663"/>
    <x v="2"/>
    <x v="9"/>
    <x v="482"/>
    <x v="602"/>
    <x v="28"/>
    <d v="2025-01-30T00:00:00"/>
    <x v="2"/>
    <x v="0"/>
    <x v="0"/>
    <x v="0"/>
    <x v="3"/>
    <x v="3"/>
    <x v="4"/>
    <x v="2"/>
  </r>
  <r>
    <s v="TX500664"/>
    <x v="0"/>
    <x v="13"/>
    <x v="483"/>
    <x v="60"/>
    <x v="28"/>
    <d v="2025-01-31T00:00:00"/>
    <x v="1"/>
    <x v="2"/>
    <x v="2"/>
    <x v="0"/>
    <x v="3"/>
    <x v="1"/>
    <x v="4"/>
    <x v="1"/>
  </r>
  <r>
    <s v="TX500665"/>
    <x v="9"/>
    <x v="4"/>
    <x v="484"/>
    <x v="603"/>
    <x v="28"/>
    <d v="2025-01-31T00:00:00"/>
    <x v="1"/>
    <x v="2"/>
    <x v="0"/>
    <x v="0"/>
    <x v="3"/>
    <x v="1"/>
    <x v="4"/>
    <x v="1"/>
  </r>
  <r>
    <s v="TX500666"/>
    <x v="1"/>
    <x v="34"/>
    <x v="204"/>
    <x v="604"/>
    <x v="28"/>
    <d v="2025-01-29T00:00:00"/>
    <x v="2"/>
    <x v="3"/>
    <x v="1"/>
    <x v="0"/>
    <x v="3"/>
    <x v="7"/>
    <x v="4"/>
    <x v="2"/>
  </r>
  <r>
    <s v="TX500667"/>
    <x v="2"/>
    <x v="11"/>
    <x v="140"/>
    <x v="605"/>
    <x v="28"/>
    <d v="2025-01-31T00:00:00"/>
    <x v="1"/>
    <x v="0"/>
    <x v="2"/>
    <x v="0"/>
    <x v="3"/>
    <x v="1"/>
    <x v="4"/>
    <x v="1"/>
  </r>
  <r>
    <s v="TX500668"/>
    <x v="12"/>
    <x v="0"/>
    <x v="6"/>
    <x v="6"/>
    <x v="28"/>
    <d v="2025-01-30T00:00:00"/>
    <x v="2"/>
    <x v="2"/>
    <x v="2"/>
    <x v="0"/>
    <x v="3"/>
    <x v="3"/>
    <x v="4"/>
    <x v="2"/>
  </r>
  <r>
    <s v="TX500669"/>
    <x v="15"/>
    <x v="3"/>
    <x v="273"/>
    <x v="606"/>
    <x v="28"/>
    <d v="2025-01-30T00:00:00"/>
    <x v="2"/>
    <x v="4"/>
    <x v="1"/>
    <x v="0"/>
    <x v="3"/>
    <x v="3"/>
    <x v="4"/>
    <x v="2"/>
  </r>
  <r>
    <s v="TX500670"/>
    <x v="0"/>
    <x v="0"/>
    <x v="268"/>
    <x v="607"/>
    <x v="28"/>
    <d v="2025-02-05T00:00:00"/>
    <x v="2"/>
    <x v="2"/>
    <x v="0"/>
    <x v="0"/>
    <x v="3"/>
    <x v="6"/>
    <x v="4"/>
    <x v="2"/>
  </r>
  <r>
    <s v="TX500671"/>
    <x v="12"/>
    <x v="12"/>
    <x v="153"/>
    <x v="608"/>
    <x v="28"/>
    <d v="2025-02-09T00:00:00"/>
    <x v="2"/>
    <x v="0"/>
    <x v="0"/>
    <x v="0"/>
    <x v="3"/>
    <x v="11"/>
    <x v="4"/>
    <x v="2"/>
  </r>
  <r>
    <s v="TX500672"/>
    <x v="7"/>
    <x v="1"/>
    <x v="485"/>
    <x v="609"/>
    <x v="28"/>
    <d v="2025-02-04T00:00:00"/>
    <x v="2"/>
    <x v="0"/>
    <x v="2"/>
    <x v="0"/>
    <x v="3"/>
    <x v="4"/>
    <x v="4"/>
    <x v="2"/>
  </r>
  <r>
    <s v="TX500673"/>
    <x v="8"/>
    <x v="9"/>
    <x v="291"/>
    <x v="326"/>
    <x v="28"/>
    <d v="2025-01-31T00:00:00"/>
    <x v="2"/>
    <x v="0"/>
    <x v="2"/>
    <x v="0"/>
    <x v="3"/>
    <x v="1"/>
    <x v="4"/>
    <x v="2"/>
  </r>
  <r>
    <s v="TX500674"/>
    <x v="17"/>
    <x v="2"/>
    <x v="486"/>
    <x v="610"/>
    <x v="28"/>
    <d v="2025-01-29T00:00:00"/>
    <x v="0"/>
    <x v="0"/>
    <x v="1"/>
    <x v="0"/>
    <x v="3"/>
    <x v="7"/>
    <x v="4"/>
    <x v="0"/>
  </r>
  <r>
    <s v="TX500675"/>
    <x v="11"/>
    <x v="12"/>
    <x v="20"/>
    <x v="122"/>
    <x v="28"/>
    <d v="2025-02-05T00:00:00"/>
    <x v="2"/>
    <x v="1"/>
    <x v="2"/>
    <x v="0"/>
    <x v="6"/>
    <x v="6"/>
    <x v="4"/>
    <x v="2"/>
  </r>
  <r>
    <s v="TX500676"/>
    <x v="1"/>
    <x v="0"/>
    <x v="487"/>
    <x v="611"/>
    <x v="28"/>
    <d v="2025-01-31T00:00:00"/>
    <x v="2"/>
    <x v="4"/>
    <x v="1"/>
    <x v="0"/>
    <x v="6"/>
    <x v="1"/>
    <x v="4"/>
    <x v="2"/>
  </r>
  <r>
    <s v="TX500677"/>
    <x v="2"/>
    <x v="0"/>
    <x v="488"/>
    <x v="612"/>
    <x v="28"/>
    <d v="2025-01-30T00:00:00"/>
    <x v="1"/>
    <x v="2"/>
    <x v="0"/>
    <x v="0"/>
    <x v="6"/>
    <x v="3"/>
    <x v="4"/>
    <x v="1"/>
  </r>
  <r>
    <s v="TX500678"/>
    <x v="9"/>
    <x v="1"/>
    <x v="489"/>
    <x v="613"/>
    <x v="28"/>
    <d v="2025-01-31T00:00:00"/>
    <x v="2"/>
    <x v="4"/>
    <x v="1"/>
    <x v="0"/>
    <x v="6"/>
    <x v="1"/>
    <x v="4"/>
    <x v="2"/>
  </r>
  <r>
    <s v="TX500679"/>
    <x v="0"/>
    <x v="0"/>
    <x v="490"/>
    <x v="614"/>
    <x v="29"/>
    <d v="2025-02-02T00:00:00"/>
    <x v="2"/>
    <x v="2"/>
    <x v="1"/>
    <x v="0"/>
    <x v="7"/>
    <x v="2"/>
    <x v="4"/>
    <x v="2"/>
  </r>
  <r>
    <s v="TX500680"/>
    <x v="9"/>
    <x v="1"/>
    <x v="363"/>
    <x v="330"/>
    <x v="29"/>
    <d v="2025-02-01T00:00:00"/>
    <x v="2"/>
    <x v="3"/>
    <x v="2"/>
    <x v="0"/>
    <x v="8"/>
    <x v="1"/>
    <x v="4"/>
    <x v="2"/>
  </r>
  <r>
    <s v="TX500681"/>
    <x v="10"/>
    <x v="12"/>
    <x v="491"/>
    <x v="615"/>
    <x v="29"/>
    <d v="2025-02-03T00:00:00"/>
    <x v="2"/>
    <x v="0"/>
    <x v="0"/>
    <x v="0"/>
    <x v="8"/>
    <x v="5"/>
    <x v="4"/>
    <x v="2"/>
  </r>
  <r>
    <s v="TX500682"/>
    <x v="12"/>
    <x v="1"/>
    <x v="39"/>
    <x v="616"/>
    <x v="29"/>
    <d v="2025-01-31T00:00:00"/>
    <x v="2"/>
    <x v="1"/>
    <x v="2"/>
    <x v="0"/>
    <x v="8"/>
    <x v="3"/>
    <x v="4"/>
    <x v="2"/>
  </r>
  <r>
    <s v="TX500683"/>
    <x v="6"/>
    <x v="11"/>
    <x v="492"/>
    <x v="617"/>
    <x v="29"/>
    <d v="2025-02-01T00:00:00"/>
    <x v="1"/>
    <x v="0"/>
    <x v="2"/>
    <x v="0"/>
    <x v="8"/>
    <x v="1"/>
    <x v="4"/>
    <x v="1"/>
  </r>
  <r>
    <s v="TX500684"/>
    <x v="6"/>
    <x v="0"/>
    <x v="493"/>
    <x v="618"/>
    <x v="29"/>
    <d v="2025-01-30T00:00:00"/>
    <x v="1"/>
    <x v="1"/>
    <x v="0"/>
    <x v="0"/>
    <x v="8"/>
    <x v="7"/>
    <x v="4"/>
    <x v="1"/>
  </r>
  <r>
    <s v="TX500685"/>
    <x v="14"/>
    <x v="12"/>
    <x v="494"/>
    <x v="619"/>
    <x v="29"/>
    <d v="2025-01-31T00:00:00"/>
    <x v="1"/>
    <x v="1"/>
    <x v="0"/>
    <x v="0"/>
    <x v="8"/>
    <x v="3"/>
    <x v="4"/>
    <x v="1"/>
  </r>
  <r>
    <s v="TX500686"/>
    <x v="17"/>
    <x v="13"/>
    <x v="217"/>
    <x v="620"/>
    <x v="29"/>
    <d v="2025-01-31T00:00:00"/>
    <x v="2"/>
    <x v="2"/>
    <x v="0"/>
    <x v="0"/>
    <x v="17"/>
    <x v="3"/>
    <x v="4"/>
    <x v="2"/>
  </r>
  <r>
    <s v="TX500687"/>
    <x v="3"/>
    <x v="3"/>
    <x v="337"/>
    <x v="621"/>
    <x v="29"/>
    <d v="2025-01-31T00:00:00"/>
    <x v="2"/>
    <x v="0"/>
    <x v="2"/>
    <x v="0"/>
    <x v="9"/>
    <x v="3"/>
    <x v="4"/>
    <x v="2"/>
  </r>
  <r>
    <s v="TX500688"/>
    <x v="5"/>
    <x v="1"/>
    <x v="495"/>
    <x v="622"/>
    <x v="29"/>
    <d v="2025-02-02T00:00:00"/>
    <x v="2"/>
    <x v="3"/>
    <x v="0"/>
    <x v="0"/>
    <x v="11"/>
    <x v="2"/>
    <x v="4"/>
    <x v="2"/>
  </r>
  <r>
    <s v="TX500689"/>
    <x v="3"/>
    <x v="1"/>
    <x v="310"/>
    <x v="623"/>
    <x v="29"/>
    <d v="2025-01-31T00:00:00"/>
    <x v="2"/>
    <x v="3"/>
    <x v="0"/>
    <x v="0"/>
    <x v="11"/>
    <x v="3"/>
    <x v="4"/>
    <x v="2"/>
  </r>
  <r>
    <s v="TX500690"/>
    <x v="0"/>
    <x v="0"/>
    <x v="439"/>
    <x v="534"/>
    <x v="29"/>
    <d v="2025-01-31T00:00:00"/>
    <x v="0"/>
    <x v="1"/>
    <x v="1"/>
    <x v="0"/>
    <x v="19"/>
    <x v="3"/>
    <x v="4"/>
    <x v="0"/>
  </r>
  <r>
    <s v="TX500691"/>
    <x v="10"/>
    <x v="12"/>
    <x v="217"/>
    <x v="624"/>
    <x v="29"/>
    <d v="2025-02-01T00:00:00"/>
    <x v="1"/>
    <x v="0"/>
    <x v="0"/>
    <x v="0"/>
    <x v="31"/>
    <x v="1"/>
    <x v="4"/>
    <x v="1"/>
  </r>
  <r>
    <s v="TX500692"/>
    <x v="10"/>
    <x v="0"/>
    <x v="49"/>
    <x v="49"/>
    <x v="29"/>
    <d v="2025-02-01T00:00:00"/>
    <x v="2"/>
    <x v="1"/>
    <x v="2"/>
    <x v="0"/>
    <x v="13"/>
    <x v="1"/>
    <x v="4"/>
    <x v="2"/>
  </r>
  <r>
    <s v="TX500693"/>
    <x v="4"/>
    <x v="0"/>
    <x v="34"/>
    <x v="109"/>
    <x v="29"/>
    <d v="2025-02-02T00:00:00"/>
    <x v="1"/>
    <x v="3"/>
    <x v="0"/>
    <x v="0"/>
    <x v="21"/>
    <x v="2"/>
    <x v="4"/>
    <x v="1"/>
  </r>
  <r>
    <s v="TX500694"/>
    <x v="1"/>
    <x v="2"/>
    <x v="142"/>
    <x v="625"/>
    <x v="29"/>
    <d v="2025-02-01T00:00:00"/>
    <x v="1"/>
    <x v="2"/>
    <x v="1"/>
    <x v="0"/>
    <x v="1"/>
    <x v="1"/>
    <x v="4"/>
    <x v="1"/>
  </r>
  <r>
    <s v="TX500695"/>
    <x v="9"/>
    <x v="1"/>
    <x v="171"/>
    <x v="626"/>
    <x v="29"/>
    <d v="2025-01-31T00:00:00"/>
    <x v="1"/>
    <x v="1"/>
    <x v="1"/>
    <x v="0"/>
    <x v="22"/>
    <x v="3"/>
    <x v="4"/>
    <x v="1"/>
  </r>
  <r>
    <s v="TX500696"/>
    <x v="6"/>
    <x v="1"/>
    <x v="325"/>
    <x v="464"/>
    <x v="29"/>
    <d v="2025-02-02T00:00:00"/>
    <x v="2"/>
    <x v="3"/>
    <x v="0"/>
    <x v="0"/>
    <x v="22"/>
    <x v="2"/>
    <x v="4"/>
    <x v="2"/>
  </r>
  <r>
    <s v="TX500697"/>
    <x v="8"/>
    <x v="1"/>
    <x v="496"/>
    <x v="627"/>
    <x v="29"/>
    <d v="2025-01-31T00:00:00"/>
    <x v="2"/>
    <x v="0"/>
    <x v="0"/>
    <x v="0"/>
    <x v="34"/>
    <x v="3"/>
    <x v="4"/>
    <x v="2"/>
  </r>
  <r>
    <s v="TX500698"/>
    <x v="9"/>
    <x v="1"/>
    <x v="56"/>
    <x v="628"/>
    <x v="29"/>
    <d v="2025-01-31T00:00:00"/>
    <x v="1"/>
    <x v="1"/>
    <x v="0"/>
    <x v="0"/>
    <x v="3"/>
    <x v="3"/>
    <x v="4"/>
    <x v="1"/>
  </r>
  <r>
    <s v="TX500699"/>
    <x v="7"/>
    <x v="12"/>
    <x v="497"/>
    <x v="629"/>
    <x v="29"/>
    <d v="2025-02-01T00:00:00"/>
    <x v="0"/>
    <x v="4"/>
    <x v="1"/>
    <x v="0"/>
    <x v="3"/>
    <x v="1"/>
    <x v="4"/>
    <x v="0"/>
  </r>
  <r>
    <s v="TX500700"/>
    <x v="7"/>
    <x v="2"/>
    <x v="304"/>
    <x v="342"/>
    <x v="29"/>
    <d v="2025-01-31T00:00:00"/>
    <x v="1"/>
    <x v="0"/>
    <x v="0"/>
    <x v="0"/>
    <x v="3"/>
    <x v="3"/>
    <x v="4"/>
    <x v="1"/>
  </r>
  <r>
    <s v="TX500701"/>
    <x v="9"/>
    <x v="0"/>
    <x v="10"/>
    <x v="630"/>
    <x v="29"/>
    <d v="2025-02-01T00:00:00"/>
    <x v="2"/>
    <x v="4"/>
    <x v="2"/>
    <x v="0"/>
    <x v="3"/>
    <x v="1"/>
    <x v="4"/>
    <x v="2"/>
  </r>
  <r>
    <s v="TX500702"/>
    <x v="6"/>
    <x v="0"/>
    <x v="317"/>
    <x v="631"/>
    <x v="29"/>
    <d v="2025-01-31T00:00:00"/>
    <x v="1"/>
    <x v="1"/>
    <x v="0"/>
    <x v="0"/>
    <x v="3"/>
    <x v="3"/>
    <x v="4"/>
    <x v="1"/>
  </r>
  <r>
    <s v="TX500703"/>
    <x v="8"/>
    <x v="12"/>
    <x v="498"/>
    <x v="632"/>
    <x v="29"/>
    <d v="2025-01-30T00:00:00"/>
    <x v="1"/>
    <x v="1"/>
    <x v="0"/>
    <x v="0"/>
    <x v="3"/>
    <x v="7"/>
    <x v="4"/>
    <x v="1"/>
  </r>
  <r>
    <s v="TX500704"/>
    <x v="2"/>
    <x v="0"/>
    <x v="499"/>
    <x v="633"/>
    <x v="29"/>
    <d v="2025-02-03T00:00:00"/>
    <x v="1"/>
    <x v="0"/>
    <x v="2"/>
    <x v="0"/>
    <x v="3"/>
    <x v="5"/>
    <x v="4"/>
    <x v="1"/>
  </r>
  <r>
    <s v="TX500705"/>
    <x v="7"/>
    <x v="1"/>
    <x v="163"/>
    <x v="634"/>
    <x v="29"/>
    <d v="2025-01-31T00:00:00"/>
    <x v="1"/>
    <x v="3"/>
    <x v="1"/>
    <x v="0"/>
    <x v="3"/>
    <x v="3"/>
    <x v="4"/>
    <x v="1"/>
  </r>
  <r>
    <s v="TX500706"/>
    <x v="9"/>
    <x v="13"/>
    <x v="18"/>
    <x v="567"/>
    <x v="29"/>
    <d v="2025-01-31T00:00:00"/>
    <x v="2"/>
    <x v="0"/>
    <x v="0"/>
    <x v="0"/>
    <x v="3"/>
    <x v="3"/>
    <x v="4"/>
    <x v="2"/>
  </r>
  <r>
    <s v="TX500707"/>
    <x v="2"/>
    <x v="9"/>
    <x v="22"/>
    <x v="635"/>
    <x v="29"/>
    <d v="2025-02-01T00:00:00"/>
    <x v="1"/>
    <x v="3"/>
    <x v="2"/>
    <x v="0"/>
    <x v="24"/>
    <x v="1"/>
    <x v="4"/>
    <x v="1"/>
  </r>
  <r>
    <s v="TX500708"/>
    <x v="6"/>
    <x v="0"/>
    <x v="222"/>
    <x v="636"/>
    <x v="30"/>
    <d v="2025-02-05T00:00:00"/>
    <x v="1"/>
    <x v="0"/>
    <x v="2"/>
    <x v="0"/>
    <x v="49"/>
    <x v="0"/>
    <x v="4"/>
    <x v="1"/>
  </r>
  <r>
    <s v="TX500709"/>
    <x v="8"/>
    <x v="7"/>
    <x v="115"/>
    <x v="637"/>
    <x v="30"/>
    <d v="2025-02-04T00:00:00"/>
    <x v="1"/>
    <x v="2"/>
    <x v="0"/>
    <x v="0"/>
    <x v="25"/>
    <x v="5"/>
    <x v="4"/>
    <x v="1"/>
  </r>
  <r>
    <s v="TX500710"/>
    <x v="8"/>
    <x v="9"/>
    <x v="500"/>
    <x v="638"/>
    <x v="30"/>
    <d v="2025-02-02T00:00:00"/>
    <x v="1"/>
    <x v="1"/>
    <x v="0"/>
    <x v="0"/>
    <x v="6"/>
    <x v="1"/>
    <x v="4"/>
    <x v="1"/>
  </r>
  <r>
    <s v="TX500711"/>
    <x v="10"/>
    <x v="1"/>
    <x v="62"/>
    <x v="639"/>
    <x v="30"/>
    <d v="2025-02-02T00:00:00"/>
    <x v="0"/>
    <x v="2"/>
    <x v="1"/>
    <x v="0"/>
    <x v="6"/>
    <x v="1"/>
    <x v="4"/>
    <x v="0"/>
  </r>
  <r>
    <s v="TX500712"/>
    <x v="0"/>
    <x v="8"/>
    <x v="0"/>
    <x v="640"/>
    <x v="30"/>
    <d v="2025-02-01T00:00:00"/>
    <x v="2"/>
    <x v="0"/>
    <x v="2"/>
    <x v="0"/>
    <x v="6"/>
    <x v="3"/>
    <x v="4"/>
    <x v="2"/>
  </r>
  <r>
    <s v="TX500713"/>
    <x v="16"/>
    <x v="1"/>
    <x v="379"/>
    <x v="451"/>
    <x v="30"/>
    <d v="2025-02-04T00:00:00"/>
    <x v="1"/>
    <x v="1"/>
    <x v="2"/>
    <x v="0"/>
    <x v="6"/>
    <x v="5"/>
    <x v="4"/>
    <x v="1"/>
  </r>
  <r>
    <s v="TX500714"/>
    <x v="2"/>
    <x v="1"/>
    <x v="501"/>
    <x v="641"/>
    <x v="30"/>
    <d v="2025-02-03T00:00:00"/>
    <x v="2"/>
    <x v="1"/>
    <x v="2"/>
    <x v="0"/>
    <x v="7"/>
    <x v="2"/>
    <x v="4"/>
    <x v="2"/>
  </r>
  <r>
    <s v="TX500715"/>
    <x v="8"/>
    <x v="1"/>
    <x v="372"/>
    <x v="434"/>
    <x v="30"/>
    <d v="2025-02-01T00:00:00"/>
    <x v="1"/>
    <x v="3"/>
    <x v="2"/>
    <x v="0"/>
    <x v="8"/>
    <x v="3"/>
    <x v="4"/>
    <x v="1"/>
  </r>
  <r>
    <s v="TX500716"/>
    <x v="12"/>
    <x v="12"/>
    <x v="502"/>
    <x v="642"/>
    <x v="30"/>
    <d v="2025-02-01T00:00:00"/>
    <x v="1"/>
    <x v="0"/>
    <x v="0"/>
    <x v="0"/>
    <x v="8"/>
    <x v="3"/>
    <x v="4"/>
    <x v="1"/>
  </r>
  <r>
    <s v="TX500717"/>
    <x v="9"/>
    <x v="12"/>
    <x v="486"/>
    <x v="643"/>
    <x v="30"/>
    <d v="2025-02-01T00:00:00"/>
    <x v="2"/>
    <x v="0"/>
    <x v="2"/>
    <x v="0"/>
    <x v="8"/>
    <x v="3"/>
    <x v="4"/>
    <x v="2"/>
  </r>
  <r>
    <s v="TX500718"/>
    <x v="10"/>
    <x v="1"/>
    <x v="343"/>
    <x v="391"/>
    <x v="30"/>
    <d v="2025-01-31T00:00:00"/>
    <x v="1"/>
    <x v="2"/>
    <x v="2"/>
    <x v="0"/>
    <x v="8"/>
    <x v="7"/>
    <x v="4"/>
    <x v="1"/>
  </r>
  <r>
    <s v="TX500719"/>
    <x v="10"/>
    <x v="13"/>
    <x v="18"/>
    <x v="567"/>
    <x v="30"/>
    <d v="2025-01-31T00:00:00"/>
    <x v="2"/>
    <x v="3"/>
    <x v="0"/>
    <x v="0"/>
    <x v="8"/>
    <x v="7"/>
    <x v="4"/>
    <x v="2"/>
  </r>
  <r>
    <s v="TX500720"/>
    <x v="17"/>
    <x v="5"/>
    <x v="195"/>
    <x v="644"/>
    <x v="30"/>
    <d v="2025-02-01T00:00:00"/>
    <x v="1"/>
    <x v="4"/>
    <x v="2"/>
    <x v="0"/>
    <x v="17"/>
    <x v="3"/>
    <x v="4"/>
    <x v="1"/>
  </r>
  <r>
    <s v="TX500721"/>
    <x v="8"/>
    <x v="12"/>
    <x v="243"/>
    <x v="645"/>
    <x v="30"/>
    <d v="2025-01-31T00:00:00"/>
    <x v="1"/>
    <x v="0"/>
    <x v="2"/>
    <x v="0"/>
    <x v="26"/>
    <x v="7"/>
    <x v="4"/>
    <x v="1"/>
  </r>
  <r>
    <s v="TX500722"/>
    <x v="0"/>
    <x v="3"/>
    <x v="503"/>
    <x v="646"/>
    <x v="30"/>
    <d v="2025-02-01T00:00:00"/>
    <x v="2"/>
    <x v="2"/>
    <x v="0"/>
    <x v="0"/>
    <x v="41"/>
    <x v="3"/>
    <x v="4"/>
    <x v="2"/>
  </r>
  <r>
    <s v="TX500723"/>
    <x v="5"/>
    <x v="2"/>
    <x v="504"/>
    <x v="647"/>
    <x v="30"/>
    <d v="2025-02-03T00:00:00"/>
    <x v="1"/>
    <x v="0"/>
    <x v="0"/>
    <x v="0"/>
    <x v="10"/>
    <x v="2"/>
    <x v="4"/>
    <x v="1"/>
  </r>
  <r>
    <s v="TX500724"/>
    <x v="18"/>
    <x v="0"/>
    <x v="505"/>
    <x v="648"/>
    <x v="30"/>
    <d v="2025-02-03T00:00:00"/>
    <x v="1"/>
    <x v="0"/>
    <x v="2"/>
    <x v="0"/>
    <x v="11"/>
    <x v="2"/>
    <x v="4"/>
    <x v="1"/>
  </r>
  <r>
    <s v="TX500725"/>
    <x v="12"/>
    <x v="13"/>
    <x v="506"/>
    <x v="649"/>
    <x v="30"/>
    <d v="2025-01-31T00:00:00"/>
    <x v="1"/>
    <x v="1"/>
    <x v="4"/>
    <x v="0"/>
    <x v="13"/>
    <x v="7"/>
    <x v="4"/>
    <x v="1"/>
  </r>
  <r>
    <s v="TX500726"/>
    <x v="6"/>
    <x v="2"/>
    <x v="507"/>
    <x v="650"/>
    <x v="30"/>
    <d v="2025-02-02T00:00:00"/>
    <x v="2"/>
    <x v="3"/>
    <x v="0"/>
    <x v="0"/>
    <x v="21"/>
    <x v="1"/>
    <x v="4"/>
    <x v="2"/>
  </r>
  <r>
    <s v="TX500727"/>
    <x v="1"/>
    <x v="13"/>
    <x v="508"/>
    <x v="651"/>
    <x v="30"/>
    <d v="2025-02-02T00:00:00"/>
    <x v="3"/>
    <x v="3"/>
    <x v="4"/>
    <x v="0"/>
    <x v="44"/>
    <x v="1"/>
    <x v="4"/>
    <x v="3"/>
  </r>
  <r>
    <s v="TX500728"/>
    <x v="6"/>
    <x v="15"/>
    <x v="509"/>
    <x v="652"/>
    <x v="30"/>
    <d v="2025-02-02T00:00:00"/>
    <x v="2"/>
    <x v="0"/>
    <x v="2"/>
    <x v="0"/>
    <x v="3"/>
    <x v="1"/>
    <x v="4"/>
    <x v="2"/>
  </r>
  <r>
    <s v="TX500729"/>
    <x v="7"/>
    <x v="13"/>
    <x v="510"/>
    <x v="653"/>
    <x v="30"/>
    <d v="2025-02-01T00:00:00"/>
    <x v="2"/>
    <x v="2"/>
    <x v="4"/>
    <x v="0"/>
    <x v="3"/>
    <x v="3"/>
    <x v="4"/>
    <x v="2"/>
  </r>
  <r>
    <s v="TX500730"/>
    <x v="1"/>
    <x v="11"/>
    <x v="511"/>
    <x v="654"/>
    <x v="30"/>
    <d v="2025-02-02T00:00:00"/>
    <x v="2"/>
    <x v="1"/>
    <x v="2"/>
    <x v="0"/>
    <x v="3"/>
    <x v="1"/>
    <x v="4"/>
    <x v="2"/>
  </r>
  <r>
    <s v="TX500731"/>
    <x v="10"/>
    <x v="1"/>
    <x v="512"/>
    <x v="655"/>
    <x v="31"/>
    <d v="2025-02-04T00:00:00"/>
    <x v="2"/>
    <x v="3"/>
    <x v="2"/>
    <x v="0"/>
    <x v="3"/>
    <x v="2"/>
    <x v="4"/>
    <x v="2"/>
  </r>
  <r>
    <s v="TX500732"/>
    <x v="2"/>
    <x v="2"/>
    <x v="513"/>
    <x v="656"/>
    <x v="31"/>
    <d v="2025-02-02T00:00:00"/>
    <x v="3"/>
    <x v="2"/>
    <x v="2"/>
    <x v="0"/>
    <x v="3"/>
    <x v="3"/>
    <x v="4"/>
    <x v="3"/>
  </r>
  <r>
    <s v="TX500733"/>
    <x v="11"/>
    <x v="9"/>
    <x v="413"/>
    <x v="657"/>
    <x v="31"/>
    <d v="2025-02-04T00:00:00"/>
    <x v="2"/>
    <x v="2"/>
    <x v="0"/>
    <x v="0"/>
    <x v="23"/>
    <x v="2"/>
    <x v="4"/>
    <x v="2"/>
  </r>
  <r>
    <s v="TX500734"/>
    <x v="7"/>
    <x v="7"/>
    <x v="8"/>
    <x v="658"/>
    <x v="31"/>
    <d v="2025-02-01T00:00:00"/>
    <x v="2"/>
    <x v="0"/>
    <x v="1"/>
    <x v="0"/>
    <x v="6"/>
    <x v="7"/>
    <x v="4"/>
    <x v="2"/>
  </r>
  <r>
    <s v="TX500735"/>
    <x v="9"/>
    <x v="1"/>
    <x v="514"/>
    <x v="659"/>
    <x v="31"/>
    <d v="2025-02-02T00:00:00"/>
    <x v="2"/>
    <x v="2"/>
    <x v="0"/>
    <x v="0"/>
    <x v="6"/>
    <x v="3"/>
    <x v="4"/>
    <x v="2"/>
  </r>
  <r>
    <s v="TX500736"/>
    <x v="8"/>
    <x v="1"/>
    <x v="8"/>
    <x v="660"/>
    <x v="31"/>
    <d v="2025-02-04T00:00:00"/>
    <x v="0"/>
    <x v="0"/>
    <x v="1"/>
    <x v="0"/>
    <x v="6"/>
    <x v="2"/>
    <x v="4"/>
    <x v="0"/>
  </r>
  <r>
    <s v="TX500737"/>
    <x v="10"/>
    <x v="1"/>
    <x v="515"/>
    <x v="661"/>
    <x v="31"/>
    <d v="2025-02-01T00:00:00"/>
    <x v="2"/>
    <x v="0"/>
    <x v="3"/>
    <x v="0"/>
    <x v="6"/>
    <x v="7"/>
    <x v="4"/>
    <x v="2"/>
  </r>
  <r>
    <s v="TX500738"/>
    <x v="8"/>
    <x v="21"/>
    <x v="261"/>
    <x v="662"/>
    <x v="31"/>
    <d v="2025-02-02T00:00:00"/>
    <x v="0"/>
    <x v="0"/>
    <x v="1"/>
    <x v="0"/>
    <x v="8"/>
    <x v="3"/>
    <x v="4"/>
    <x v="0"/>
  </r>
  <r>
    <s v="TX500739"/>
    <x v="6"/>
    <x v="35"/>
    <x v="443"/>
    <x v="663"/>
    <x v="31"/>
    <d v="2025-02-02T00:00:00"/>
    <x v="2"/>
    <x v="0"/>
    <x v="0"/>
    <x v="0"/>
    <x v="8"/>
    <x v="3"/>
    <x v="4"/>
    <x v="2"/>
  </r>
  <r>
    <s v="TX500740"/>
    <x v="6"/>
    <x v="11"/>
    <x v="516"/>
    <x v="664"/>
    <x v="31"/>
    <d v="2025-02-04T00:00:00"/>
    <x v="2"/>
    <x v="4"/>
    <x v="0"/>
    <x v="0"/>
    <x v="8"/>
    <x v="2"/>
    <x v="4"/>
    <x v="2"/>
  </r>
  <r>
    <s v="TX500741"/>
    <x v="3"/>
    <x v="34"/>
    <x v="1"/>
    <x v="665"/>
    <x v="31"/>
    <d v="2025-02-05T00:00:00"/>
    <x v="2"/>
    <x v="2"/>
    <x v="2"/>
    <x v="0"/>
    <x v="11"/>
    <x v="5"/>
    <x v="4"/>
    <x v="2"/>
  </r>
  <r>
    <s v="TX500742"/>
    <x v="2"/>
    <x v="1"/>
    <x v="517"/>
    <x v="666"/>
    <x v="31"/>
    <d v="2025-02-02T00:00:00"/>
    <x v="1"/>
    <x v="0"/>
    <x v="0"/>
    <x v="0"/>
    <x v="19"/>
    <x v="3"/>
    <x v="4"/>
    <x v="1"/>
  </r>
  <r>
    <s v="TX500743"/>
    <x v="6"/>
    <x v="1"/>
    <x v="518"/>
    <x v="667"/>
    <x v="31"/>
    <d v="2025-02-02T00:00:00"/>
    <x v="2"/>
    <x v="2"/>
    <x v="2"/>
    <x v="0"/>
    <x v="21"/>
    <x v="3"/>
    <x v="4"/>
    <x v="2"/>
  </r>
  <r>
    <s v="TX500744"/>
    <x v="3"/>
    <x v="2"/>
    <x v="519"/>
    <x v="668"/>
    <x v="31"/>
    <d v="2025-02-02T00:00:00"/>
    <x v="0"/>
    <x v="4"/>
    <x v="2"/>
    <x v="0"/>
    <x v="21"/>
    <x v="3"/>
    <x v="4"/>
    <x v="0"/>
  </r>
  <r>
    <s v="TX500745"/>
    <x v="4"/>
    <x v="9"/>
    <x v="84"/>
    <x v="540"/>
    <x v="32"/>
    <d v="2025-02-10T00:00:00"/>
    <x v="2"/>
    <x v="0"/>
    <x v="1"/>
    <x v="0"/>
    <x v="21"/>
    <x v="9"/>
    <x v="5"/>
    <x v="2"/>
  </r>
  <r>
    <s v="TX500746"/>
    <x v="10"/>
    <x v="2"/>
    <x v="277"/>
    <x v="122"/>
    <x v="32"/>
    <d v="2025-02-04T00:00:00"/>
    <x v="2"/>
    <x v="0"/>
    <x v="0"/>
    <x v="0"/>
    <x v="1"/>
    <x v="1"/>
    <x v="5"/>
    <x v="2"/>
  </r>
  <r>
    <s v="TX500747"/>
    <x v="6"/>
    <x v="11"/>
    <x v="146"/>
    <x v="669"/>
    <x v="32"/>
    <d v="2025-02-06T00:00:00"/>
    <x v="1"/>
    <x v="1"/>
    <x v="2"/>
    <x v="0"/>
    <x v="22"/>
    <x v="5"/>
    <x v="5"/>
    <x v="1"/>
  </r>
  <r>
    <s v="TX500748"/>
    <x v="8"/>
    <x v="0"/>
    <x v="465"/>
    <x v="670"/>
    <x v="32"/>
    <d v="2025-02-05T00:00:00"/>
    <x v="2"/>
    <x v="0"/>
    <x v="4"/>
    <x v="0"/>
    <x v="22"/>
    <x v="2"/>
    <x v="5"/>
    <x v="2"/>
  </r>
  <r>
    <s v="TX500749"/>
    <x v="1"/>
    <x v="5"/>
    <x v="520"/>
    <x v="671"/>
    <x v="32"/>
    <d v="2025-02-04T00:00:00"/>
    <x v="1"/>
    <x v="1"/>
    <x v="0"/>
    <x v="0"/>
    <x v="3"/>
    <x v="1"/>
    <x v="5"/>
    <x v="1"/>
  </r>
  <r>
    <s v="TX500750"/>
    <x v="6"/>
    <x v="2"/>
    <x v="521"/>
    <x v="672"/>
    <x v="32"/>
    <d v="2025-02-03T00:00:00"/>
    <x v="0"/>
    <x v="4"/>
    <x v="4"/>
    <x v="0"/>
    <x v="3"/>
    <x v="3"/>
    <x v="5"/>
    <x v="0"/>
  </r>
  <r>
    <s v="TX500751"/>
    <x v="8"/>
    <x v="1"/>
    <x v="446"/>
    <x v="673"/>
    <x v="32"/>
    <d v="2025-02-04T00:00:00"/>
    <x v="1"/>
    <x v="0"/>
    <x v="1"/>
    <x v="0"/>
    <x v="3"/>
    <x v="1"/>
    <x v="5"/>
    <x v="1"/>
  </r>
  <r>
    <s v="TX500752"/>
    <x v="6"/>
    <x v="12"/>
    <x v="522"/>
    <x v="162"/>
    <x v="32"/>
    <d v="2025-02-08T00:00:00"/>
    <x v="2"/>
    <x v="0"/>
    <x v="1"/>
    <x v="0"/>
    <x v="3"/>
    <x v="4"/>
    <x v="5"/>
    <x v="2"/>
  </r>
  <r>
    <s v="TX500753"/>
    <x v="8"/>
    <x v="5"/>
    <x v="136"/>
    <x v="674"/>
    <x v="32"/>
    <d v="2025-02-05T00:00:00"/>
    <x v="1"/>
    <x v="2"/>
    <x v="1"/>
    <x v="0"/>
    <x v="3"/>
    <x v="2"/>
    <x v="5"/>
    <x v="1"/>
  </r>
  <r>
    <s v="TX500754"/>
    <x v="15"/>
    <x v="12"/>
    <x v="128"/>
    <x v="675"/>
    <x v="32"/>
    <d v="2025-02-03T00:00:00"/>
    <x v="1"/>
    <x v="0"/>
    <x v="0"/>
    <x v="0"/>
    <x v="3"/>
    <x v="3"/>
    <x v="5"/>
    <x v="1"/>
  </r>
  <r>
    <s v="TX500755"/>
    <x v="10"/>
    <x v="0"/>
    <x v="523"/>
    <x v="676"/>
    <x v="32"/>
    <d v="2025-02-03T00:00:00"/>
    <x v="2"/>
    <x v="2"/>
    <x v="0"/>
    <x v="0"/>
    <x v="7"/>
    <x v="3"/>
    <x v="5"/>
    <x v="2"/>
  </r>
  <r>
    <s v="TX500756"/>
    <x v="2"/>
    <x v="14"/>
    <x v="417"/>
    <x v="677"/>
    <x v="32"/>
    <d v="2025-02-04T00:00:00"/>
    <x v="1"/>
    <x v="4"/>
    <x v="0"/>
    <x v="0"/>
    <x v="18"/>
    <x v="1"/>
    <x v="5"/>
    <x v="1"/>
  </r>
  <r>
    <s v="TX500757"/>
    <x v="5"/>
    <x v="0"/>
    <x v="524"/>
    <x v="236"/>
    <x v="32"/>
    <d v="2025-02-03T00:00:00"/>
    <x v="2"/>
    <x v="0"/>
    <x v="1"/>
    <x v="0"/>
    <x v="19"/>
    <x v="3"/>
    <x v="5"/>
    <x v="2"/>
  </r>
  <r>
    <s v="TX500758"/>
    <x v="6"/>
    <x v="12"/>
    <x v="525"/>
    <x v="678"/>
    <x v="32"/>
    <d v="2025-02-05T00:00:00"/>
    <x v="2"/>
    <x v="0"/>
    <x v="0"/>
    <x v="0"/>
    <x v="13"/>
    <x v="2"/>
    <x v="5"/>
    <x v="2"/>
  </r>
  <r>
    <s v="TX500759"/>
    <x v="1"/>
    <x v="2"/>
    <x v="242"/>
    <x v="599"/>
    <x v="32"/>
    <d v="2025-02-07T00:00:00"/>
    <x v="2"/>
    <x v="0"/>
    <x v="1"/>
    <x v="0"/>
    <x v="21"/>
    <x v="0"/>
    <x v="5"/>
    <x v="2"/>
  </r>
  <r>
    <s v="TX500760"/>
    <x v="6"/>
    <x v="12"/>
    <x v="526"/>
    <x v="679"/>
    <x v="32"/>
    <d v="2025-02-06T00:00:00"/>
    <x v="1"/>
    <x v="1"/>
    <x v="4"/>
    <x v="0"/>
    <x v="2"/>
    <x v="5"/>
    <x v="5"/>
    <x v="1"/>
  </r>
  <r>
    <s v="TX500761"/>
    <x v="2"/>
    <x v="3"/>
    <x v="320"/>
    <x v="680"/>
    <x v="32"/>
    <d v="2025-02-04T00:00:00"/>
    <x v="2"/>
    <x v="0"/>
    <x v="1"/>
    <x v="0"/>
    <x v="2"/>
    <x v="1"/>
    <x v="5"/>
    <x v="2"/>
  </r>
  <r>
    <s v="TX500762"/>
    <x v="10"/>
    <x v="1"/>
    <x v="80"/>
    <x v="681"/>
    <x v="32"/>
    <d v="2025-02-06T00:00:00"/>
    <x v="1"/>
    <x v="3"/>
    <x v="2"/>
    <x v="0"/>
    <x v="22"/>
    <x v="5"/>
    <x v="5"/>
    <x v="1"/>
  </r>
  <r>
    <s v="TX500763"/>
    <x v="4"/>
    <x v="8"/>
    <x v="365"/>
    <x v="416"/>
    <x v="32"/>
    <d v="2025-02-04T00:00:00"/>
    <x v="1"/>
    <x v="2"/>
    <x v="1"/>
    <x v="0"/>
    <x v="3"/>
    <x v="1"/>
    <x v="5"/>
    <x v="1"/>
  </r>
  <r>
    <s v="TX500764"/>
    <x v="7"/>
    <x v="12"/>
    <x v="527"/>
    <x v="682"/>
    <x v="32"/>
    <d v="2025-02-05T00:00:00"/>
    <x v="2"/>
    <x v="0"/>
    <x v="2"/>
    <x v="0"/>
    <x v="3"/>
    <x v="2"/>
    <x v="5"/>
    <x v="2"/>
  </r>
  <r>
    <s v="TX500765"/>
    <x v="6"/>
    <x v="0"/>
    <x v="366"/>
    <x v="683"/>
    <x v="32"/>
    <d v="2025-02-11T00:00:00"/>
    <x v="2"/>
    <x v="0"/>
    <x v="2"/>
    <x v="0"/>
    <x v="3"/>
    <x v="8"/>
    <x v="5"/>
    <x v="2"/>
  </r>
  <r>
    <s v="TX500766"/>
    <x v="1"/>
    <x v="2"/>
    <x v="528"/>
    <x v="684"/>
    <x v="32"/>
    <d v="2025-02-03T00:00:00"/>
    <x v="1"/>
    <x v="0"/>
    <x v="2"/>
    <x v="0"/>
    <x v="3"/>
    <x v="3"/>
    <x v="5"/>
    <x v="1"/>
  </r>
  <r>
    <s v="TX500767"/>
    <x v="8"/>
    <x v="2"/>
    <x v="303"/>
    <x v="340"/>
    <x v="32"/>
    <d v="2025-02-16T00:00:00"/>
    <x v="1"/>
    <x v="1"/>
    <x v="0"/>
    <x v="0"/>
    <x v="3"/>
    <x v="12"/>
    <x v="5"/>
    <x v="1"/>
  </r>
  <r>
    <s v="TX500768"/>
    <x v="6"/>
    <x v="2"/>
    <x v="291"/>
    <x v="685"/>
    <x v="32"/>
    <d v="2025-02-04T00:00:00"/>
    <x v="1"/>
    <x v="4"/>
    <x v="2"/>
    <x v="0"/>
    <x v="3"/>
    <x v="1"/>
    <x v="5"/>
    <x v="1"/>
  </r>
  <r>
    <s v="TX500769"/>
    <x v="4"/>
    <x v="1"/>
    <x v="110"/>
    <x v="493"/>
    <x v="32"/>
    <d v="2025-02-03T00:00:00"/>
    <x v="2"/>
    <x v="0"/>
    <x v="2"/>
    <x v="0"/>
    <x v="3"/>
    <x v="3"/>
    <x v="5"/>
    <x v="2"/>
  </r>
  <r>
    <s v="TX500770"/>
    <x v="12"/>
    <x v="12"/>
    <x v="529"/>
    <x v="686"/>
    <x v="32"/>
    <d v="2025-02-04T00:00:00"/>
    <x v="2"/>
    <x v="0"/>
    <x v="0"/>
    <x v="0"/>
    <x v="3"/>
    <x v="1"/>
    <x v="5"/>
    <x v="2"/>
  </r>
  <r>
    <s v="TX500771"/>
    <x v="9"/>
    <x v="0"/>
    <x v="211"/>
    <x v="687"/>
    <x v="32"/>
    <d v="2025-02-11T00:00:00"/>
    <x v="2"/>
    <x v="1"/>
    <x v="0"/>
    <x v="0"/>
    <x v="3"/>
    <x v="8"/>
    <x v="5"/>
    <x v="2"/>
  </r>
  <r>
    <s v="TX500772"/>
    <x v="4"/>
    <x v="0"/>
    <x v="415"/>
    <x v="688"/>
    <x v="32"/>
    <d v="2025-02-03T00:00:00"/>
    <x v="1"/>
    <x v="1"/>
    <x v="1"/>
    <x v="0"/>
    <x v="3"/>
    <x v="3"/>
    <x v="5"/>
    <x v="1"/>
  </r>
  <r>
    <s v="TX500773"/>
    <x v="12"/>
    <x v="0"/>
    <x v="325"/>
    <x v="440"/>
    <x v="32"/>
    <d v="2025-02-03T00:00:00"/>
    <x v="1"/>
    <x v="0"/>
    <x v="1"/>
    <x v="0"/>
    <x v="3"/>
    <x v="3"/>
    <x v="5"/>
    <x v="1"/>
  </r>
  <r>
    <s v="TX500774"/>
    <x v="6"/>
    <x v="1"/>
    <x v="91"/>
    <x v="689"/>
    <x v="32"/>
    <d v="2025-02-03T00:00:00"/>
    <x v="2"/>
    <x v="3"/>
    <x v="2"/>
    <x v="0"/>
    <x v="37"/>
    <x v="3"/>
    <x v="5"/>
    <x v="2"/>
  </r>
  <r>
    <s v="TX500775"/>
    <x v="8"/>
    <x v="2"/>
    <x v="504"/>
    <x v="647"/>
    <x v="32"/>
    <d v="2025-02-03T00:00:00"/>
    <x v="1"/>
    <x v="2"/>
    <x v="4"/>
    <x v="0"/>
    <x v="16"/>
    <x v="3"/>
    <x v="5"/>
    <x v="1"/>
  </r>
  <r>
    <s v="TX500776"/>
    <x v="2"/>
    <x v="2"/>
    <x v="530"/>
    <x v="690"/>
    <x v="32"/>
    <d v="2025-02-02T00:00:00"/>
    <x v="2"/>
    <x v="1"/>
    <x v="2"/>
    <x v="0"/>
    <x v="25"/>
    <x v="7"/>
    <x v="5"/>
    <x v="2"/>
  </r>
  <r>
    <s v="TX500777"/>
    <x v="1"/>
    <x v="3"/>
    <x v="27"/>
    <x v="691"/>
    <x v="32"/>
    <d v="2025-02-04T00:00:00"/>
    <x v="0"/>
    <x v="2"/>
    <x v="0"/>
    <x v="0"/>
    <x v="25"/>
    <x v="1"/>
    <x v="5"/>
    <x v="0"/>
  </r>
  <r>
    <s v="TX500778"/>
    <x v="16"/>
    <x v="1"/>
    <x v="531"/>
    <x v="692"/>
    <x v="32"/>
    <d v="2025-02-03T00:00:00"/>
    <x v="2"/>
    <x v="1"/>
    <x v="1"/>
    <x v="0"/>
    <x v="5"/>
    <x v="3"/>
    <x v="5"/>
    <x v="2"/>
  </r>
  <r>
    <s v="TX500779"/>
    <x v="7"/>
    <x v="7"/>
    <x v="11"/>
    <x v="157"/>
    <x v="32"/>
    <d v="2025-02-03T00:00:00"/>
    <x v="3"/>
    <x v="2"/>
    <x v="1"/>
    <x v="0"/>
    <x v="6"/>
    <x v="3"/>
    <x v="5"/>
    <x v="3"/>
  </r>
  <r>
    <s v="TX500780"/>
    <x v="0"/>
    <x v="1"/>
    <x v="532"/>
    <x v="693"/>
    <x v="32"/>
    <d v="2025-02-06T00:00:00"/>
    <x v="2"/>
    <x v="3"/>
    <x v="0"/>
    <x v="0"/>
    <x v="6"/>
    <x v="5"/>
    <x v="5"/>
    <x v="2"/>
  </r>
  <r>
    <s v="TX500781"/>
    <x v="4"/>
    <x v="2"/>
    <x v="533"/>
    <x v="694"/>
    <x v="32"/>
    <d v="2025-02-05T00:00:00"/>
    <x v="2"/>
    <x v="0"/>
    <x v="2"/>
    <x v="0"/>
    <x v="6"/>
    <x v="2"/>
    <x v="5"/>
    <x v="2"/>
  </r>
  <r>
    <s v="TX500782"/>
    <x v="4"/>
    <x v="36"/>
    <x v="248"/>
    <x v="695"/>
    <x v="33"/>
    <d v="2025-02-03T00:00:00"/>
    <x v="2"/>
    <x v="0"/>
    <x v="1"/>
    <x v="0"/>
    <x v="7"/>
    <x v="7"/>
    <x v="5"/>
    <x v="2"/>
  </r>
  <r>
    <s v="TX500783"/>
    <x v="10"/>
    <x v="4"/>
    <x v="534"/>
    <x v="696"/>
    <x v="33"/>
    <d v="2025-02-04T00:00:00"/>
    <x v="1"/>
    <x v="4"/>
    <x v="0"/>
    <x v="0"/>
    <x v="8"/>
    <x v="3"/>
    <x v="5"/>
    <x v="1"/>
  </r>
  <r>
    <s v="TX500784"/>
    <x v="1"/>
    <x v="1"/>
    <x v="535"/>
    <x v="697"/>
    <x v="33"/>
    <d v="2025-02-05T00:00:00"/>
    <x v="2"/>
    <x v="0"/>
    <x v="0"/>
    <x v="0"/>
    <x v="8"/>
    <x v="1"/>
    <x v="5"/>
    <x v="2"/>
  </r>
  <r>
    <s v="TX500785"/>
    <x v="10"/>
    <x v="0"/>
    <x v="57"/>
    <x v="698"/>
    <x v="33"/>
    <d v="2025-02-04T00:00:00"/>
    <x v="2"/>
    <x v="2"/>
    <x v="1"/>
    <x v="0"/>
    <x v="8"/>
    <x v="3"/>
    <x v="5"/>
    <x v="2"/>
  </r>
  <r>
    <s v="TX500786"/>
    <x v="8"/>
    <x v="12"/>
    <x v="536"/>
    <x v="266"/>
    <x v="33"/>
    <d v="2025-02-05T00:00:00"/>
    <x v="2"/>
    <x v="4"/>
    <x v="2"/>
    <x v="0"/>
    <x v="8"/>
    <x v="1"/>
    <x v="5"/>
    <x v="2"/>
  </r>
  <r>
    <s v="TX500787"/>
    <x v="6"/>
    <x v="9"/>
    <x v="537"/>
    <x v="699"/>
    <x v="33"/>
    <d v="2025-02-04T00:00:00"/>
    <x v="2"/>
    <x v="3"/>
    <x v="4"/>
    <x v="0"/>
    <x v="8"/>
    <x v="3"/>
    <x v="5"/>
    <x v="2"/>
  </r>
  <r>
    <s v="TX500788"/>
    <x v="10"/>
    <x v="2"/>
    <x v="538"/>
    <x v="700"/>
    <x v="33"/>
    <d v="2025-02-05T00:00:00"/>
    <x v="2"/>
    <x v="2"/>
    <x v="1"/>
    <x v="0"/>
    <x v="8"/>
    <x v="1"/>
    <x v="5"/>
    <x v="2"/>
  </r>
  <r>
    <s v="TX500789"/>
    <x v="4"/>
    <x v="2"/>
    <x v="495"/>
    <x v="701"/>
    <x v="33"/>
    <d v="2025-02-04T00:00:00"/>
    <x v="1"/>
    <x v="0"/>
    <x v="1"/>
    <x v="0"/>
    <x v="8"/>
    <x v="3"/>
    <x v="5"/>
    <x v="1"/>
  </r>
  <r>
    <s v="TX500790"/>
    <x v="9"/>
    <x v="12"/>
    <x v="170"/>
    <x v="298"/>
    <x v="33"/>
    <d v="2025-02-05T00:00:00"/>
    <x v="2"/>
    <x v="0"/>
    <x v="1"/>
    <x v="0"/>
    <x v="8"/>
    <x v="1"/>
    <x v="5"/>
    <x v="2"/>
  </r>
  <r>
    <s v="TX500791"/>
    <x v="7"/>
    <x v="2"/>
    <x v="375"/>
    <x v="442"/>
    <x v="33"/>
    <d v="2025-02-04T00:00:00"/>
    <x v="1"/>
    <x v="0"/>
    <x v="0"/>
    <x v="0"/>
    <x v="17"/>
    <x v="3"/>
    <x v="5"/>
    <x v="1"/>
  </r>
  <r>
    <s v="TX500792"/>
    <x v="0"/>
    <x v="2"/>
    <x v="237"/>
    <x v="702"/>
    <x v="33"/>
    <d v="2025-02-07T00:00:00"/>
    <x v="1"/>
    <x v="0"/>
    <x v="0"/>
    <x v="0"/>
    <x v="17"/>
    <x v="5"/>
    <x v="5"/>
    <x v="1"/>
  </r>
  <r>
    <s v="TX500793"/>
    <x v="2"/>
    <x v="21"/>
    <x v="539"/>
    <x v="703"/>
    <x v="33"/>
    <d v="2025-02-04T00:00:00"/>
    <x v="1"/>
    <x v="1"/>
    <x v="0"/>
    <x v="0"/>
    <x v="11"/>
    <x v="3"/>
    <x v="5"/>
    <x v="1"/>
  </r>
  <r>
    <s v="TX500794"/>
    <x v="7"/>
    <x v="13"/>
    <x v="450"/>
    <x v="704"/>
    <x v="33"/>
    <d v="2025-02-04T00:00:00"/>
    <x v="2"/>
    <x v="0"/>
    <x v="0"/>
    <x v="0"/>
    <x v="11"/>
    <x v="3"/>
    <x v="5"/>
    <x v="2"/>
  </r>
  <r>
    <s v="TX500795"/>
    <x v="8"/>
    <x v="1"/>
    <x v="351"/>
    <x v="705"/>
    <x v="33"/>
    <d v="2025-02-06T00:00:00"/>
    <x v="1"/>
    <x v="0"/>
    <x v="0"/>
    <x v="0"/>
    <x v="11"/>
    <x v="2"/>
    <x v="5"/>
    <x v="1"/>
  </r>
  <r>
    <s v="TX500796"/>
    <x v="2"/>
    <x v="16"/>
    <x v="114"/>
    <x v="706"/>
    <x v="33"/>
    <d v="2025-02-04T00:00:00"/>
    <x v="2"/>
    <x v="0"/>
    <x v="4"/>
    <x v="0"/>
    <x v="13"/>
    <x v="3"/>
    <x v="5"/>
    <x v="2"/>
  </r>
  <r>
    <s v="TX500797"/>
    <x v="0"/>
    <x v="12"/>
    <x v="390"/>
    <x v="707"/>
    <x v="33"/>
    <d v="2025-02-10T00:00:00"/>
    <x v="1"/>
    <x v="1"/>
    <x v="4"/>
    <x v="0"/>
    <x v="1"/>
    <x v="6"/>
    <x v="5"/>
    <x v="1"/>
  </r>
  <r>
    <s v="TX500798"/>
    <x v="2"/>
    <x v="3"/>
    <x v="540"/>
    <x v="708"/>
    <x v="33"/>
    <d v="2025-02-04T00:00:00"/>
    <x v="2"/>
    <x v="4"/>
    <x v="2"/>
    <x v="0"/>
    <x v="3"/>
    <x v="3"/>
    <x v="5"/>
    <x v="2"/>
  </r>
  <r>
    <s v="TX500799"/>
    <x v="0"/>
    <x v="16"/>
    <x v="486"/>
    <x v="709"/>
    <x v="33"/>
    <d v="2025-02-07T00:00:00"/>
    <x v="2"/>
    <x v="0"/>
    <x v="0"/>
    <x v="0"/>
    <x v="3"/>
    <x v="5"/>
    <x v="5"/>
    <x v="2"/>
  </r>
  <r>
    <s v="TX500800"/>
    <x v="4"/>
    <x v="37"/>
    <x v="541"/>
    <x v="710"/>
    <x v="33"/>
    <d v="2025-02-04T00:00:00"/>
    <x v="2"/>
    <x v="3"/>
    <x v="0"/>
    <x v="0"/>
    <x v="3"/>
    <x v="3"/>
    <x v="5"/>
    <x v="2"/>
  </r>
  <r>
    <s v="TX500801"/>
    <x v="9"/>
    <x v="9"/>
    <x v="542"/>
    <x v="711"/>
    <x v="33"/>
    <d v="2025-02-06T00:00:00"/>
    <x v="1"/>
    <x v="1"/>
    <x v="2"/>
    <x v="0"/>
    <x v="43"/>
    <x v="2"/>
    <x v="5"/>
    <x v="1"/>
  </r>
  <r>
    <s v="TX500802"/>
    <x v="11"/>
    <x v="13"/>
    <x v="37"/>
    <x v="540"/>
    <x v="33"/>
    <d v="2025-02-06T00:00:00"/>
    <x v="1"/>
    <x v="1"/>
    <x v="0"/>
    <x v="0"/>
    <x v="6"/>
    <x v="2"/>
    <x v="5"/>
    <x v="1"/>
  </r>
  <r>
    <s v="TX500803"/>
    <x v="5"/>
    <x v="13"/>
    <x v="543"/>
    <x v="712"/>
    <x v="33"/>
    <d v="2025-02-05T00:00:00"/>
    <x v="2"/>
    <x v="1"/>
    <x v="0"/>
    <x v="0"/>
    <x v="6"/>
    <x v="1"/>
    <x v="5"/>
    <x v="2"/>
  </r>
  <r>
    <s v="TX500804"/>
    <x v="8"/>
    <x v="0"/>
    <x v="490"/>
    <x v="614"/>
    <x v="34"/>
    <d v="2025-02-05T00:00:00"/>
    <x v="1"/>
    <x v="3"/>
    <x v="2"/>
    <x v="0"/>
    <x v="8"/>
    <x v="3"/>
    <x v="5"/>
    <x v="1"/>
  </r>
  <r>
    <s v="TX500805"/>
    <x v="1"/>
    <x v="1"/>
    <x v="429"/>
    <x v="550"/>
    <x v="34"/>
    <d v="2025-02-06T00:00:00"/>
    <x v="2"/>
    <x v="0"/>
    <x v="2"/>
    <x v="0"/>
    <x v="8"/>
    <x v="1"/>
    <x v="5"/>
    <x v="2"/>
  </r>
  <r>
    <s v="TX500806"/>
    <x v="7"/>
    <x v="3"/>
    <x v="495"/>
    <x v="713"/>
    <x v="34"/>
    <d v="2025-02-06T00:00:00"/>
    <x v="2"/>
    <x v="2"/>
    <x v="1"/>
    <x v="0"/>
    <x v="8"/>
    <x v="1"/>
    <x v="5"/>
    <x v="2"/>
  </r>
  <r>
    <s v="TX500807"/>
    <x v="8"/>
    <x v="12"/>
    <x v="359"/>
    <x v="714"/>
    <x v="34"/>
    <d v="2025-02-09T00:00:00"/>
    <x v="2"/>
    <x v="0"/>
    <x v="0"/>
    <x v="0"/>
    <x v="41"/>
    <x v="0"/>
    <x v="5"/>
    <x v="2"/>
  </r>
  <r>
    <s v="TX500808"/>
    <x v="5"/>
    <x v="1"/>
    <x v="144"/>
    <x v="636"/>
    <x v="34"/>
    <d v="2025-02-06T00:00:00"/>
    <x v="1"/>
    <x v="1"/>
    <x v="0"/>
    <x v="0"/>
    <x v="18"/>
    <x v="1"/>
    <x v="5"/>
    <x v="1"/>
  </r>
  <r>
    <s v="TX500809"/>
    <x v="4"/>
    <x v="0"/>
    <x v="47"/>
    <x v="47"/>
    <x v="34"/>
    <d v="2025-02-06T00:00:00"/>
    <x v="2"/>
    <x v="2"/>
    <x v="4"/>
    <x v="0"/>
    <x v="20"/>
    <x v="1"/>
    <x v="5"/>
    <x v="2"/>
  </r>
  <r>
    <s v="TX500810"/>
    <x v="6"/>
    <x v="13"/>
    <x v="113"/>
    <x v="715"/>
    <x v="34"/>
    <d v="2025-02-05T00:00:00"/>
    <x v="0"/>
    <x v="0"/>
    <x v="2"/>
    <x v="0"/>
    <x v="21"/>
    <x v="3"/>
    <x v="5"/>
    <x v="0"/>
  </r>
  <r>
    <s v="TX500811"/>
    <x v="4"/>
    <x v="0"/>
    <x v="544"/>
    <x v="716"/>
    <x v="34"/>
    <d v="2025-02-05T00:00:00"/>
    <x v="2"/>
    <x v="0"/>
    <x v="2"/>
    <x v="0"/>
    <x v="21"/>
    <x v="3"/>
    <x v="5"/>
    <x v="2"/>
  </r>
  <r>
    <s v="TX500812"/>
    <x v="11"/>
    <x v="2"/>
    <x v="545"/>
    <x v="717"/>
    <x v="34"/>
    <d v="2025-02-06T00:00:00"/>
    <x v="2"/>
    <x v="1"/>
    <x v="2"/>
    <x v="0"/>
    <x v="21"/>
    <x v="1"/>
    <x v="5"/>
    <x v="2"/>
  </r>
  <r>
    <s v="TX500813"/>
    <x v="10"/>
    <x v="15"/>
    <x v="292"/>
    <x v="327"/>
    <x v="34"/>
    <d v="2025-02-06T00:00:00"/>
    <x v="2"/>
    <x v="0"/>
    <x v="1"/>
    <x v="0"/>
    <x v="21"/>
    <x v="1"/>
    <x v="5"/>
    <x v="2"/>
  </r>
  <r>
    <s v="TX500814"/>
    <x v="3"/>
    <x v="7"/>
    <x v="546"/>
    <x v="718"/>
    <x v="34"/>
    <d v="2025-02-05T00:00:00"/>
    <x v="2"/>
    <x v="4"/>
    <x v="1"/>
    <x v="0"/>
    <x v="21"/>
    <x v="3"/>
    <x v="5"/>
    <x v="2"/>
  </r>
  <r>
    <s v="TX500815"/>
    <x v="8"/>
    <x v="8"/>
    <x v="162"/>
    <x v="719"/>
    <x v="34"/>
    <d v="2025-02-08T00:00:00"/>
    <x v="1"/>
    <x v="3"/>
    <x v="0"/>
    <x v="0"/>
    <x v="1"/>
    <x v="5"/>
    <x v="5"/>
    <x v="1"/>
  </r>
  <r>
    <s v="TX500816"/>
    <x v="0"/>
    <x v="1"/>
    <x v="390"/>
    <x v="480"/>
    <x v="34"/>
    <d v="2025-02-05T00:00:00"/>
    <x v="2"/>
    <x v="0"/>
    <x v="0"/>
    <x v="0"/>
    <x v="2"/>
    <x v="3"/>
    <x v="5"/>
    <x v="2"/>
  </r>
  <r>
    <s v="TX500817"/>
    <x v="11"/>
    <x v="3"/>
    <x v="286"/>
    <x v="720"/>
    <x v="34"/>
    <d v="2025-02-08T00:00:00"/>
    <x v="2"/>
    <x v="2"/>
    <x v="2"/>
    <x v="0"/>
    <x v="2"/>
    <x v="5"/>
    <x v="5"/>
    <x v="2"/>
  </r>
  <r>
    <s v="TX500818"/>
    <x v="2"/>
    <x v="12"/>
    <x v="547"/>
    <x v="721"/>
    <x v="34"/>
    <d v="2025-02-08T00:00:00"/>
    <x v="2"/>
    <x v="4"/>
    <x v="0"/>
    <x v="0"/>
    <x v="22"/>
    <x v="5"/>
    <x v="5"/>
    <x v="2"/>
  </r>
  <r>
    <s v="TX500819"/>
    <x v="10"/>
    <x v="0"/>
    <x v="354"/>
    <x v="722"/>
    <x v="34"/>
    <d v="2025-02-05T00:00:00"/>
    <x v="3"/>
    <x v="2"/>
    <x v="0"/>
    <x v="0"/>
    <x v="3"/>
    <x v="3"/>
    <x v="5"/>
    <x v="3"/>
  </r>
  <r>
    <s v="TX500820"/>
    <x v="4"/>
    <x v="13"/>
    <x v="548"/>
    <x v="723"/>
    <x v="34"/>
    <d v="2025-02-05T00:00:00"/>
    <x v="2"/>
    <x v="0"/>
    <x v="0"/>
    <x v="0"/>
    <x v="3"/>
    <x v="3"/>
    <x v="5"/>
    <x v="2"/>
  </r>
  <r>
    <s v="TX500821"/>
    <x v="18"/>
    <x v="1"/>
    <x v="549"/>
    <x v="724"/>
    <x v="34"/>
    <d v="2025-02-10T00:00:00"/>
    <x v="2"/>
    <x v="3"/>
    <x v="2"/>
    <x v="0"/>
    <x v="3"/>
    <x v="4"/>
    <x v="5"/>
    <x v="2"/>
  </r>
  <r>
    <s v="TX500822"/>
    <x v="7"/>
    <x v="9"/>
    <x v="340"/>
    <x v="615"/>
    <x v="34"/>
    <d v="2025-02-07T00:00:00"/>
    <x v="2"/>
    <x v="0"/>
    <x v="0"/>
    <x v="0"/>
    <x v="3"/>
    <x v="2"/>
    <x v="5"/>
    <x v="2"/>
  </r>
  <r>
    <s v="TX500823"/>
    <x v="6"/>
    <x v="1"/>
    <x v="550"/>
    <x v="725"/>
    <x v="34"/>
    <d v="2025-02-06T00:00:00"/>
    <x v="2"/>
    <x v="0"/>
    <x v="2"/>
    <x v="0"/>
    <x v="3"/>
    <x v="1"/>
    <x v="5"/>
    <x v="2"/>
  </r>
  <r>
    <s v="TX500824"/>
    <x v="7"/>
    <x v="1"/>
    <x v="75"/>
    <x v="726"/>
    <x v="34"/>
    <d v="2025-02-05T00:00:00"/>
    <x v="2"/>
    <x v="2"/>
    <x v="1"/>
    <x v="0"/>
    <x v="3"/>
    <x v="3"/>
    <x v="5"/>
    <x v="2"/>
  </r>
  <r>
    <s v="TX500825"/>
    <x v="4"/>
    <x v="2"/>
    <x v="551"/>
    <x v="727"/>
    <x v="34"/>
    <d v="2025-02-05T00:00:00"/>
    <x v="1"/>
    <x v="0"/>
    <x v="2"/>
    <x v="0"/>
    <x v="3"/>
    <x v="3"/>
    <x v="5"/>
    <x v="1"/>
  </r>
  <r>
    <s v="TX500826"/>
    <x v="8"/>
    <x v="12"/>
    <x v="538"/>
    <x v="446"/>
    <x v="34"/>
    <d v="2025-02-08T00:00:00"/>
    <x v="1"/>
    <x v="2"/>
    <x v="0"/>
    <x v="0"/>
    <x v="3"/>
    <x v="5"/>
    <x v="5"/>
    <x v="1"/>
  </r>
  <r>
    <s v="TX500827"/>
    <x v="12"/>
    <x v="9"/>
    <x v="552"/>
    <x v="728"/>
    <x v="34"/>
    <d v="2025-02-08T00:00:00"/>
    <x v="0"/>
    <x v="1"/>
    <x v="1"/>
    <x v="0"/>
    <x v="3"/>
    <x v="5"/>
    <x v="5"/>
    <x v="0"/>
  </r>
  <r>
    <s v="TX500828"/>
    <x v="6"/>
    <x v="9"/>
    <x v="553"/>
    <x v="729"/>
    <x v="34"/>
    <d v="2025-02-08T00:00:00"/>
    <x v="1"/>
    <x v="0"/>
    <x v="1"/>
    <x v="0"/>
    <x v="3"/>
    <x v="5"/>
    <x v="5"/>
    <x v="1"/>
  </r>
  <r>
    <s v="TX500829"/>
    <x v="6"/>
    <x v="9"/>
    <x v="554"/>
    <x v="730"/>
    <x v="34"/>
    <d v="2025-02-05T00:00:00"/>
    <x v="2"/>
    <x v="3"/>
    <x v="0"/>
    <x v="0"/>
    <x v="3"/>
    <x v="3"/>
    <x v="5"/>
    <x v="2"/>
  </r>
  <r>
    <s v="TX500830"/>
    <x v="8"/>
    <x v="0"/>
    <x v="421"/>
    <x v="731"/>
    <x v="34"/>
    <d v="2025-02-07T00:00:00"/>
    <x v="1"/>
    <x v="1"/>
    <x v="2"/>
    <x v="0"/>
    <x v="4"/>
    <x v="2"/>
    <x v="5"/>
    <x v="1"/>
  </r>
  <r>
    <s v="TX500831"/>
    <x v="4"/>
    <x v="4"/>
    <x v="172"/>
    <x v="732"/>
    <x v="34"/>
    <d v="2025-02-06T00:00:00"/>
    <x v="2"/>
    <x v="0"/>
    <x v="0"/>
    <x v="0"/>
    <x v="23"/>
    <x v="1"/>
    <x v="5"/>
    <x v="2"/>
  </r>
  <r>
    <s v="TX500832"/>
    <x v="2"/>
    <x v="0"/>
    <x v="309"/>
    <x v="733"/>
    <x v="34"/>
    <d v="2025-02-05T00:00:00"/>
    <x v="0"/>
    <x v="0"/>
    <x v="0"/>
    <x v="0"/>
    <x v="6"/>
    <x v="3"/>
    <x v="5"/>
    <x v="0"/>
  </r>
  <r>
    <s v="TX500833"/>
    <x v="1"/>
    <x v="12"/>
    <x v="555"/>
    <x v="734"/>
    <x v="34"/>
    <d v="2025-02-05T00:00:00"/>
    <x v="2"/>
    <x v="1"/>
    <x v="1"/>
    <x v="0"/>
    <x v="6"/>
    <x v="3"/>
    <x v="5"/>
    <x v="2"/>
  </r>
  <r>
    <s v="TX500834"/>
    <x v="1"/>
    <x v="5"/>
    <x v="556"/>
    <x v="735"/>
    <x v="34"/>
    <d v="2025-02-05T00:00:00"/>
    <x v="2"/>
    <x v="2"/>
    <x v="2"/>
    <x v="0"/>
    <x v="7"/>
    <x v="3"/>
    <x v="5"/>
    <x v="2"/>
  </r>
  <r>
    <s v="TX500835"/>
    <x v="4"/>
    <x v="0"/>
    <x v="155"/>
    <x v="163"/>
    <x v="34"/>
    <d v="2025-02-06T00:00:00"/>
    <x v="1"/>
    <x v="2"/>
    <x v="2"/>
    <x v="0"/>
    <x v="8"/>
    <x v="1"/>
    <x v="5"/>
    <x v="1"/>
  </r>
  <r>
    <s v="TX500836"/>
    <x v="18"/>
    <x v="0"/>
    <x v="557"/>
    <x v="736"/>
    <x v="34"/>
    <d v="2025-02-05T00:00:00"/>
    <x v="1"/>
    <x v="4"/>
    <x v="1"/>
    <x v="0"/>
    <x v="8"/>
    <x v="3"/>
    <x v="5"/>
    <x v="1"/>
  </r>
  <r>
    <s v="TX500837"/>
    <x v="12"/>
    <x v="2"/>
    <x v="15"/>
    <x v="737"/>
    <x v="34"/>
    <d v="2025-02-05T00:00:00"/>
    <x v="0"/>
    <x v="4"/>
    <x v="2"/>
    <x v="0"/>
    <x v="8"/>
    <x v="3"/>
    <x v="5"/>
    <x v="0"/>
  </r>
  <r>
    <s v="TX500838"/>
    <x v="1"/>
    <x v="3"/>
    <x v="128"/>
    <x v="133"/>
    <x v="34"/>
    <d v="2025-02-07T00:00:00"/>
    <x v="2"/>
    <x v="0"/>
    <x v="2"/>
    <x v="0"/>
    <x v="8"/>
    <x v="2"/>
    <x v="5"/>
    <x v="2"/>
  </r>
  <r>
    <s v="TX500839"/>
    <x v="6"/>
    <x v="8"/>
    <x v="339"/>
    <x v="738"/>
    <x v="34"/>
    <d v="2025-02-14T00:00:00"/>
    <x v="2"/>
    <x v="0"/>
    <x v="0"/>
    <x v="0"/>
    <x v="8"/>
    <x v="14"/>
    <x v="5"/>
    <x v="2"/>
  </r>
  <r>
    <s v="TX500840"/>
    <x v="8"/>
    <x v="1"/>
    <x v="237"/>
    <x v="573"/>
    <x v="34"/>
    <d v="2025-02-05T00:00:00"/>
    <x v="2"/>
    <x v="0"/>
    <x v="2"/>
    <x v="0"/>
    <x v="17"/>
    <x v="3"/>
    <x v="5"/>
    <x v="2"/>
  </r>
  <r>
    <s v="TX500841"/>
    <x v="0"/>
    <x v="2"/>
    <x v="351"/>
    <x v="418"/>
    <x v="34"/>
    <d v="2025-02-05T00:00:00"/>
    <x v="2"/>
    <x v="2"/>
    <x v="0"/>
    <x v="0"/>
    <x v="17"/>
    <x v="3"/>
    <x v="5"/>
    <x v="2"/>
  </r>
  <r>
    <s v="TX500842"/>
    <x v="10"/>
    <x v="13"/>
    <x v="133"/>
    <x v="739"/>
    <x v="34"/>
    <d v="2025-02-04T00:00:00"/>
    <x v="2"/>
    <x v="2"/>
    <x v="0"/>
    <x v="0"/>
    <x v="9"/>
    <x v="7"/>
    <x v="5"/>
    <x v="2"/>
  </r>
  <r>
    <s v="TX500843"/>
    <x v="1"/>
    <x v="12"/>
    <x v="256"/>
    <x v="277"/>
    <x v="34"/>
    <d v="2025-02-05T00:00:00"/>
    <x v="2"/>
    <x v="0"/>
    <x v="2"/>
    <x v="0"/>
    <x v="11"/>
    <x v="3"/>
    <x v="5"/>
    <x v="2"/>
  </r>
  <r>
    <s v="TX500844"/>
    <x v="6"/>
    <x v="14"/>
    <x v="558"/>
    <x v="740"/>
    <x v="34"/>
    <d v="2025-02-07T00:00:00"/>
    <x v="2"/>
    <x v="4"/>
    <x v="1"/>
    <x v="0"/>
    <x v="18"/>
    <x v="2"/>
    <x v="5"/>
    <x v="2"/>
  </r>
  <r>
    <s v="TX500845"/>
    <x v="1"/>
    <x v="0"/>
    <x v="331"/>
    <x v="681"/>
    <x v="34"/>
    <d v="2025-02-07T00:00:00"/>
    <x v="2"/>
    <x v="2"/>
    <x v="1"/>
    <x v="0"/>
    <x v="19"/>
    <x v="2"/>
    <x v="5"/>
    <x v="2"/>
  </r>
  <r>
    <s v="TX500846"/>
    <x v="2"/>
    <x v="13"/>
    <x v="559"/>
    <x v="349"/>
    <x v="34"/>
    <d v="2025-02-05T00:00:00"/>
    <x v="2"/>
    <x v="0"/>
    <x v="0"/>
    <x v="0"/>
    <x v="21"/>
    <x v="3"/>
    <x v="5"/>
    <x v="2"/>
  </r>
  <r>
    <s v="TX500847"/>
    <x v="5"/>
    <x v="28"/>
    <x v="276"/>
    <x v="741"/>
    <x v="35"/>
    <d v="2025-02-11T00:00:00"/>
    <x v="1"/>
    <x v="0"/>
    <x v="2"/>
    <x v="0"/>
    <x v="21"/>
    <x v="4"/>
    <x v="5"/>
    <x v="1"/>
  </r>
  <r>
    <s v="TX500848"/>
    <x v="4"/>
    <x v="1"/>
    <x v="351"/>
    <x v="705"/>
    <x v="35"/>
    <d v="2025-02-07T00:00:00"/>
    <x v="2"/>
    <x v="1"/>
    <x v="2"/>
    <x v="0"/>
    <x v="21"/>
    <x v="1"/>
    <x v="5"/>
    <x v="2"/>
  </r>
  <r>
    <s v="TX500849"/>
    <x v="6"/>
    <x v="1"/>
    <x v="299"/>
    <x v="742"/>
    <x v="35"/>
    <d v="2025-02-09T00:00:00"/>
    <x v="1"/>
    <x v="4"/>
    <x v="2"/>
    <x v="0"/>
    <x v="21"/>
    <x v="5"/>
    <x v="5"/>
    <x v="1"/>
  </r>
  <r>
    <s v="TX500850"/>
    <x v="2"/>
    <x v="1"/>
    <x v="560"/>
    <x v="743"/>
    <x v="35"/>
    <d v="2025-02-06T00:00:00"/>
    <x v="2"/>
    <x v="1"/>
    <x v="0"/>
    <x v="0"/>
    <x v="1"/>
    <x v="3"/>
    <x v="5"/>
    <x v="2"/>
  </r>
  <r>
    <s v="TX500851"/>
    <x v="18"/>
    <x v="12"/>
    <x v="561"/>
    <x v="744"/>
    <x v="35"/>
    <d v="2025-02-07T00:00:00"/>
    <x v="1"/>
    <x v="2"/>
    <x v="4"/>
    <x v="0"/>
    <x v="1"/>
    <x v="1"/>
    <x v="5"/>
    <x v="1"/>
  </r>
  <r>
    <s v="TX500852"/>
    <x v="6"/>
    <x v="9"/>
    <x v="434"/>
    <x v="723"/>
    <x v="35"/>
    <d v="2025-02-06T00:00:00"/>
    <x v="2"/>
    <x v="0"/>
    <x v="0"/>
    <x v="0"/>
    <x v="42"/>
    <x v="3"/>
    <x v="5"/>
    <x v="2"/>
  </r>
  <r>
    <s v="TX500853"/>
    <x v="8"/>
    <x v="1"/>
    <x v="268"/>
    <x v="745"/>
    <x v="35"/>
    <d v="2025-02-06T00:00:00"/>
    <x v="1"/>
    <x v="3"/>
    <x v="2"/>
    <x v="0"/>
    <x v="44"/>
    <x v="3"/>
    <x v="5"/>
    <x v="1"/>
  </r>
  <r>
    <s v="TX500854"/>
    <x v="6"/>
    <x v="9"/>
    <x v="562"/>
    <x v="746"/>
    <x v="35"/>
    <d v="2025-02-05T00:00:00"/>
    <x v="2"/>
    <x v="0"/>
    <x v="2"/>
    <x v="0"/>
    <x v="50"/>
    <x v="7"/>
    <x v="5"/>
    <x v="2"/>
  </r>
  <r>
    <s v="TX500855"/>
    <x v="8"/>
    <x v="15"/>
    <x v="286"/>
    <x v="747"/>
    <x v="35"/>
    <d v="2025-02-05T00:00:00"/>
    <x v="1"/>
    <x v="2"/>
    <x v="2"/>
    <x v="0"/>
    <x v="3"/>
    <x v="7"/>
    <x v="5"/>
    <x v="1"/>
  </r>
  <r>
    <s v="TX500856"/>
    <x v="5"/>
    <x v="2"/>
    <x v="267"/>
    <x v="748"/>
    <x v="35"/>
    <d v="2025-02-06T00:00:00"/>
    <x v="0"/>
    <x v="4"/>
    <x v="1"/>
    <x v="0"/>
    <x v="3"/>
    <x v="3"/>
    <x v="5"/>
    <x v="0"/>
  </r>
  <r>
    <s v="TX500857"/>
    <x v="8"/>
    <x v="0"/>
    <x v="384"/>
    <x v="749"/>
    <x v="35"/>
    <d v="2025-02-07T00:00:00"/>
    <x v="2"/>
    <x v="3"/>
    <x v="0"/>
    <x v="0"/>
    <x v="3"/>
    <x v="1"/>
    <x v="5"/>
    <x v="2"/>
  </r>
  <r>
    <s v="TX500858"/>
    <x v="8"/>
    <x v="13"/>
    <x v="383"/>
    <x v="17"/>
    <x v="35"/>
    <d v="2025-02-08T00:00:00"/>
    <x v="2"/>
    <x v="0"/>
    <x v="0"/>
    <x v="0"/>
    <x v="3"/>
    <x v="2"/>
    <x v="5"/>
    <x v="2"/>
  </r>
  <r>
    <s v="TX500859"/>
    <x v="18"/>
    <x v="2"/>
    <x v="218"/>
    <x v="750"/>
    <x v="35"/>
    <d v="2025-02-11T00:00:00"/>
    <x v="1"/>
    <x v="3"/>
    <x v="1"/>
    <x v="0"/>
    <x v="3"/>
    <x v="4"/>
    <x v="5"/>
    <x v="1"/>
  </r>
  <r>
    <s v="TX500860"/>
    <x v="8"/>
    <x v="2"/>
    <x v="406"/>
    <x v="557"/>
    <x v="35"/>
    <d v="2025-02-07T00:00:00"/>
    <x v="2"/>
    <x v="0"/>
    <x v="1"/>
    <x v="0"/>
    <x v="3"/>
    <x v="1"/>
    <x v="5"/>
    <x v="2"/>
  </r>
  <r>
    <s v="TX500861"/>
    <x v="15"/>
    <x v="12"/>
    <x v="563"/>
    <x v="751"/>
    <x v="35"/>
    <d v="2025-02-07T00:00:00"/>
    <x v="0"/>
    <x v="3"/>
    <x v="1"/>
    <x v="0"/>
    <x v="3"/>
    <x v="1"/>
    <x v="5"/>
    <x v="0"/>
  </r>
  <r>
    <s v="TX500862"/>
    <x v="6"/>
    <x v="13"/>
    <x v="184"/>
    <x v="752"/>
    <x v="35"/>
    <d v="2025-02-07T00:00:00"/>
    <x v="1"/>
    <x v="1"/>
    <x v="1"/>
    <x v="0"/>
    <x v="16"/>
    <x v="1"/>
    <x v="5"/>
    <x v="1"/>
  </r>
  <r>
    <s v="TX500863"/>
    <x v="8"/>
    <x v="1"/>
    <x v="129"/>
    <x v="753"/>
    <x v="35"/>
    <d v="2025-02-06T00:00:00"/>
    <x v="1"/>
    <x v="4"/>
    <x v="2"/>
    <x v="0"/>
    <x v="6"/>
    <x v="3"/>
    <x v="5"/>
    <x v="1"/>
  </r>
  <r>
    <s v="TX500864"/>
    <x v="7"/>
    <x v="2"/>
    <x v="564"/>
    <x v="754"/>
    <x v="35"/>
    <d v="2025-02-07T00:00:00"/>
    <x v="2"/>
    <x v="2"/>
    <x v="0"/>
    <x v="0"/>
    <x v="8"/>
    <x v="1"/>
    <x v="5"/>
    <x v="2"/>
  </r>
  <r>
    <s v="TX500865"/>
    <x v="2"/>
    <x v="12"/>
    <x v="565"/>
    <x v="755"/>
    <x v="35"/>
    <d v="2025-02-08T00:00:00"/>
    <x v="2"/>
    <x v="0"/>
    <x v="0"/>
    <x v="0"/>
    <x v="8"/>
    <x v="2"/>
    <x v="5"/>
    <x v="2"/>
  </r>
  <r>
    <s v="TX500866"/>
    <x v="2"/>
    <x v="2"/>
    <x v="313"/>
    <x v="756"/>
    <x v="35"/>
    <d v="2025-02-05T00:00:00"/>
    <x v="2"/>
    <x v="1"/>
    <x v="1"/>
    <x v="0"/>
    <x v="8"/>
    <x v="7"/>
    <x v="5"/>
    <x v="2"/>
  </r>
  <r>
    <s v="TX500867"/>
    <x v="12"/>
    <x v="1"/>
    <x v="566"/>
    <x v="757"/>
    <x v="35"/>
    <d v="2025-02-11T00:00:00"/>
    <x v="1"/>
    <x v="3"/>
    <x v="0"/>
    <x v="0"/>
    <x v="17"/>
    <x v="4"/>
    <x v="5"/>
    <x v="1"/>
  </r>
  <r>
    <s v="TX500868"/>
    <x v="10"/>
    <x v="12"/>
    <x v="409"/>
    <x v="758"/>
    <x v="35"/>
    <d v="2025-02-07T00:00:00"/>
    <x v="2"/>
    <x v="2"/>
    <x v="1"/>
    <x v="0"/>
    <x v="38"/>
    <x v="1"/>
    <x v="5"/>
    <x v="2"/>
  </r>
  <r>
    <s v="TX500869"/>
    <x v="10"/>
    <x v="2"/>
    <x v="526"/>
    <x v="759"/>
    <x v="35"/>
    <d v="2025-02-06T00:00:00"/>
    <x v="1"/>
    <x v="0"/>
    <x v="4"/>
    <x v="0"/>
    <x v="18"/>
    <x v="3"/>
    <x v="5"/>
    <x v="1"/>
  </r>
  <r>
    <s v="TX500870"/>
    <x v="6"/>
    <x v="9"/>
    <x v="522"/>
    <x v="760"/>
    <x v="35"/>
    <d v="2025-02-07T00:00:00"/>
    <x v="2"/>
    <x v="0"/>
    <x v="0"/>
    <x v="0"/>
    <x v="19"/>
    <x v="1"/>
    <x v="5"/>
    <x v="2"/>
  </r>
  <r>
    <s v="TX500871"/>
    <x v="1"/>
    <x v="2"/>
    <x v="100"/>
    <x v="103"/>
    <x v="35"/>
    <d v="2025-02-07T00:00:00"/>
    <x v="1"/>
    <x v="2"/>
    <x v="2"/>
    <x v="0"/>
    <x v="51"/>
    <x v="1"/>
    <x v="5"/>
    <x v="1"/>
  </r>
  <r>
    <s v="TX500872"/>
    <x v="3"/>
    <x v="1"/>
    <x v="567"/>
    <x v="533"/>
    <x v="35"/>
    <d v="2025-02-06T00:00:00"/>
    <x v="2"/>
    <x v="1"/>
    <x v="2"/>
    <x v="0"/>
    <x v="1"/>
    <x v="3"/>
    <x v="5"/>
    <x v="2"/>
  </r>
  <r>
    <s v="TX500873"/>
    <x v="2"/>
    <x v="13"/>
    <x v="568"/>
    <x v="761"/>
    <x v="35"/>
    <d v="2025-02-08T00:00:00"/>
    <x v="2"/>
    <x v="1"/>
    <x v="2"/>
    <x v="0"/>
    <x v="2"/>
    <x v="2"/>
    <x v="5"/>
    <x v="2"/>
  </r>
  <r>
    <s v="TX500874"/>
    <x v="8"/>
    <x v="16"/>
    <x v="569"/>
    <x v="182"/>
    <x v="35"/>
    <d v="2025-02-17T00:00:00"/>
    <x v="2"/>
    <x v="0"/>
    <x v="2"/>
    <x v="0"/>
    <x v="2"/>
    <x v="13"/>
    <x v="5"/>
    <x v="2"/>
  </r>
  <r>
    <s v="TX500875"/>
    <x v="2"/>
    <x v="1"/>
    <x v="331"/>
    <x v="762"/>
    <x v="35"/>
    <d v="2025-02-11T00:00:00"/>
    <x v="2"/>
    <x v="1"/>
    <x v="0"/>
    <x v="0"/>
    <x v="3"/>
    <x v="4"/>
    <x v="5"/>
    <x v="2"/>
  </r>
  <r>
    <s v="TX500876"/>
    <x v="7"/>
    <x v="13"/>
    <x v="570"/>
    <x v="763"/>
    <x v="36"/>
    <d v="2025-02-07T00:00:00"/>
    <x v="2"/>
    <x v="3"/>
    <x v="0"/>
    <x v="0"/>
    <x v="3"/>
    <x v="3"/>
    <x v="5"/>
    <x v="2"/>
  </r>
  <r>
    <s v="TX500877"/>
    <x v="7"/>
    <x v="1"/>
    <x v="337"/>
    <x v="385"/>
    <x v="36"/>
    <d v="2025-02-08T00:00:00"/>
    <x v="1"/>
    <x v="1"/>
    <x v="2"/>
    <x v="0"/>
    <x v="3"/>
    <x v="1"/>
    <x v="5"/>
    <x v="1"/>
  </r>
  <r>
    <s v="TX500878"/>
    <x v="0"/>
    <x v="2"/>
    <x v="137"/>
    <x v="179"/>
    <x v="36"/>
    <d v="2025-02-12T00:00:00"/>
    <x v="2"/>
    <x v="0"/>
    <x v="0"/>
    <x v="0"/>
    <x v="3"/>
    <x v="4"/>
    <x v="5"/>
    <x v="2"/>
  </r>
  <r>
    <s v="TX500879"/>
    <x v="15"/>
    <x v="13"/>
    <x v="183"/>
    <x v="764"/>
    <x v="36"/>
    <d v="2025-02-06T00:00:00"/>
    <x v="1"/>
    <x v="1"/>
    <x v="0"/>
    <x v="0"/>
    <x v="3"/>
    <x v="7"/>
    <x v="5"/>
    <x v="1"/>
  </r>
  <r>
    <s v="TX500880"/>
    <x v="10"/>
    <x v="13"/>
    <x v="571"/>
    <x v="765"/>
    <x v="36"/>
    <d v="2025-02-09T00:00:00"/>
    <x v="2"/>
    <x v="1"/>
    <x v="2"/>
    <x v="0"/>
    <x v="3"/>
    <x v="2"/>
    <x v="5"/>
    <x v="2"/>
  </r>
  <r>
    <s v="TX500881"/>
    <x v="2"/>
    <x v="1"/>
    <x v="371"/>
    <x v="589"/>
    <x v="36"/>
    <d v="2025-02-08T00:00:00"/>
    <x v="2"/>
    <x v="3"/>
    <x v="2"/>
    <x v="0"/>
    <x v="3"/>
    <x v="1"/>
    <x v="5"/>
    <x v="2"/>
  </r>
  <r>
    <s v="TX500882"/>
    <x v="1"/>
    <x v="9"/>
    <x v="334"/>
    <x v="766"/>
    <x v="36"/>
    <d v="2025-02-07T00:00:00"/>
    <x v="2"/>
    <x v="0"/>
    <x v="0"/>
    <x v="0"/>
    <x v="3"/>
    <x v="3"/>
    <x v="5"/>
    <x v="2"/>
  </r>
  <r>
    <s v="TX500883"/>
    <x v="16"/>
    <x v="8"/>
    <x v="326"/>
    <x v="767"/>
    <x v="36"/>
    <d v="2025-02-07T00:00:00"/>
    <x v="2"/>
    <x v="4"/>
    <x v="0"/>
    <x v="0"/>
    <x v="37"/>
    <x v="3"/>
    <x v="5"/>
    <x v="2"/>
  </r>
  <r>
    <s v="TX500884"/>
    <x v="6"/>
    <x v="25"/>
    <x v="572"/>
    <x v="768"/>
    <x v="36"/>
    <d v="2025-02-09T00:00:00"/>
    <x v="1"/>
    <x v="3"/>
    <x v="0"/>
    <x v="0"/>
    <x v="49"/>
    <x v="2"/>
    <x v="5"/>
    <x v="1"/>
  </r>
  <r>
    <s v="TX500885"/>
    <x v="11"/>
    <x v="1"/>
    <x v="400"/>
    <x v="482"/>
    <x v="36"/>
    <d v="2025-02-08T00:00:00"/>
    <x v="2"/>
    <x v="1"/>
    <x v="2"/>
    <x v="0"/>
    <x v="25"/>
    <x v="1"/>
    <x v="5"/>
    <x v="2"/>
  </r>
  <r>
    <s v="TX500886"/>
    <x v="16"/>
    <x v="1"/>
    <x v="554"/>
    <x v="769"/>
    <x v="36"/>
    <d v="2025-02-13T00:00:00"/>
    <x v="1"/>
    <x v="2"/>
    <x v="1"/>
    <x v="0"/>
    <x v="25"/>
    <x v="6"/>
    <x v="5"/>
    <x v="1"/>
  </r>
  <r>
    <s v="TX500887"/>
    <x v="2"/>
    <x v="2"/>
    <x v="573"/>
    <x v="770"/>
    <x v="36"/>
    <d v="2025-02-07T00:00:00"/>
    <x v="1"/>
    <x v="0"/>
    <x v="0"/>
    <x v="0"/>
    <x v="5"/>
    <x v="3"/>
    <x v="5"/>
    <x v="1"/>
  </r>
  <r>
    <s v="TX500888"/>
    <x v="13"/>
    <x v="2"/>
    <x v="136"/>
    <x v="771"/>
    <x v="36"/>
    <d v="2025-02-07T00:00:00"/>
    <x v="2"/>
    <x v="1"/>
    <x v="1"/>
    <x v="0"/>
    <x v="6"/>
    <x v="3"/>
    <x v="5"/>
    <x v="2"/>
  </r>
  <r>
    <s v="TX500889"/>
    <x v="0"/>
    <x v="1"/>
    <x v="463"/>
    <x v="772"/>
    <x v="36"/>
    <d v="2025-02-10T00:00:00"/>
    <x v="2"/>
    <x v="1"/>
    <x v="1"/>
    <x v="0"/>
    <x v="6"/>
    <x v="5"/>
    <x v="5"/>
    <x v="2"/>
  </r>
  <r>
    <s v="TX500890"/>
    <x v="7"/>
    <x v="0"/>
    <x v="574"/>
    <x v="773"/>
    <x v="36"/>
    <d v="2025-02-07T00:00:00"/>
    <x v="2"/>
    <x v="1"/>
    <x v="0"/>
    <x v="0"/>
    <x v="8"/>
    <x v="3"/>
    <x v="5"/>
    <x v="2"/>
  </r>
  <r>
    <s v="TX500891"/>
    <x v="2"/>
    <x v="7"/>
    <x v="575"/>
    <x v="774"/>
    <x v="36"/>
    <d v="2025-02-07T00:00:00"/>
    <x v="2"/>
    <x v="1"/>
    <x v="1"/>
    <x v="0"/>
    <x v="8"/>
    <x v="3"/>
    <x v="5"/>
    <x v="2"/>
  </r>
  <r>
    <s v="TX500892"/>
    <x v="4"/>
    <x v="9"/>
    <x v="292"/>
    <x v="775"/>
    <x v="36"/>
    <d v="2025-02-08T00:00:00"/>
    <x v="1"/>
    <x v="2"/>
    <x v="0"/>
    <x v="0"/>
    <x v="8"/>
    <x v="1"/>
    <x v="5"/>
    <x v="1"/>
  </r>
  <r>
    <s v="TX500893"/>
    <x v="14"/>
    <x v="12"/>
    <x v="260"/>
    <x v="48"/>
    <x v="36"/>
    <d v="2025-02-12T00:00:00"/>
    <x v="1"/>
    <x v="1"/>
    <x v="2"/>
    <x v="0"/>
    <x v="8"/>
    <x v="4"/>
    <x v="5"/>
    <x v="1"/>
  </r>
  <r>
    <s v="TX500894"/>
    <x v="2"/>
    <x v="12"/>
    <x v="576"/>
    <x v="776"/>
    <x v="36"/>
    <d v="2025-02-08T00:00:00"/>
    <x v="2"/>
    <x v="2"/>
    <x v="0"/>
    <x v="0"/>
    <x v="10"/>
    <x v="1"/>
    <x v="5"/>
    <x v="2"/>
  </r>
  <r>
    <s v="TX500895"/>
    <x v="13"/>
    <x v="11"/>
    <x v="6"/>
    <x v="777"/>
    <x v="36"/>
    <d v="2025-02-08T00:00:00"/>
    <x v="2"/>
    <x v="1"/>
    <x v="4"/>
    <x v="0"/>
    <x v="11"/>
    <x v="1"/>
    <x v="5"/>
    <x v="2"/>
  </r>
  <r>
    <s v="TX500896"/>
    <x v="2"/>
    <x v="31"/>
    <x v="577"/>
    <x v="778"/>
    <x v="36"/>
    <d v="2025-02-07T00:00:00"/>
    <x v="2"/>
    <x v="0"/>
    <x v="0"/>
    <x v="0"/>
    <x v="11"/>
    <x v="3"/>
    <x v="5"/>
    <x v="2"/>
  </r>
  <r>
    <s v="TX500897"/>
    <x v="8"/>
    <x v="0"/>
    <x v="174"/>
    <x v="779"/>
    <x v="36"/>
    <d v="2025-02-11T00:00:00"/>
    <x v="2"/>
    <x v="0"/>
    <x v="0"/>
    <x v="0"/>
    <x v="19"/>
    <x v="0"/>
    <x v="5"/>
    <x v="2"/>
  </r>
  <r>
    <s v="TX500898"/>
    <x v="9"/>
    <x v="1"/>
    <x v="578"/>
    <x v="780"/>
    <x v="36"/>
    <d v="2025-02-08T00:00:00"/>
    <x v="2"/>
    <x v="2"/>
    <x v="0"/>
    <x v="0"/>
    <x v="19"/>
    <x v="1"/>
    <x v="5"/>
    <x v="2"/>
  </r>
  <r>
    <s v="TX500899"/>
    <x v="12"/>
    <x v="1"/>
    <x v="522"/>
    <x v="781"/>
    <x v="36"/>
    <d v="2025-02-07T00:00:00"/>
    <x v="2"/>
    <x v="2"/>
    <x v="0"/>
    <x v="0"/>
    <x v="31"/>
    <x v="3"/>
    <x v="5"/>
    <x v="2"/>
  </r>
  <r>
    <s v="TX500900"/>
    <x v="9"/>
    <x v="11"/>
    <x v="579"/>
    <x v="782"/>
    <x v="36"/>
    <d v="2025-02-07T00:00:00"/>
    <x v="0"/>
    <x v="1"/>
    <x v="0"/>
    <x v="0"/>
    <x v="52"/>
    <x v="3"/>
    <x v="5"/>
    <x v="0"/>
  </r>
  <r>
    <s v="TX500901"/>
    <x v="0"/>
    <x v="1"/>
    <x v="580"/>
    <x v="783"/>
    <x v="36"/>
    <d v="2025-02-08T00:00:00"/>
    <x v="2"/>
    <x v="2"/>
    <x v="4"/>
    <x v="0"/>
    <x v="13"/>
    <x v="1"/>
    <x v="5"/>
    <x v="2"/>
  </r>
  <r>
    <s v="TX500902"/>
    <x v="0"/>
    <x v="12"/>
    <x v="581"/>
    <x v="565"/>
    <x v="36"/>
    <d v="2025-02-07T00:00:00"/>
    <x v="2"/>
    <x v="3"/>
    <x v="0"/>
    <x v="0"/>
    <x v="28"/>
    <x v="3"/>
    <x v="5"/>
    <x v="2"/>
  </r>
  <r>
    <s v="TX500903"/>
    <x v="6"/>
    <x v="11"/>
    <x v="582"/>
    <x v="784"/>
    <x v="36"/>
    <d v="2025-02-07T00:00:00"/>
    <x v="1"/>
    <x v="2"/>
    <x v="1"/>
    <x v="0"/>
    <x v="3"/>
    <x v="3"/>
    <x v="5"/>
    <x v="1"/>
  </r>
  <r>
    <s v="TX500904"/>
    <x v="6"/>
    <x v="9"/>
    <x v="583"/>
    <x v="785"/>
    <x v="36"/>
    <d v="2025-02-08T00:00:00"/>
    <x v="2"/>
    <x v="1"/>
    <x v="0"/>
    <x v="0"/>
    <x v="3"/>
    <x v="1"/>
    <x v="5"/>
    <x v="2"/>
  </r>
  <r>
    <s v="TX500905"/>
    <x v="13"/>
    <x v="12"/>
    <x v="351"/>
    <x v="786"/>
    <x v="36"/>
    <d v="2025-02-09T00:00:00"/>
    <x v="3"/>
    <x v="0"/>
    <x v="1"/>
    <x v="0"/>
    <x v="3"/>
    <x v="2"/>
    <x v="5"/>
    <x v="3"/>
  </r>
  <r>
    <s v="TX500906"/>
    <x v="9"/>
    <x v="1"/>
    <x v="236"/>
    <x v="787"/>
    <x v="36"/>
    <d v="2025-02-10T00:00:00"/>
    <x v="0"/>
    <x v="2"/>
    <x v="4"/>
    <x v="0"/>
    <x v="3"/>
    <x v="5"/>
    <x v="5"/>
    <x v="0"/>
  </r>
  <r>
    <s v="TX500907"/>
    <x v="9"/>
    <x v="2"/>
    <x v="252"/>
    <x v="788"/>
    <x v="36"/>
    <d v="2025-02-19T00:00:00"/>
    <x v="2"/>
    <x v="2"/>
    <x v="2"/>
    <x v="0"/>
    <x v="3"/>
    <x v="10"/>
    <x v="5"/>
    <x v="2"/>
  </r>
  <r>
    <s v="TX500908"/>
    <x v="8"/>
    <x v="2"/>
    <x v="71"/>
    <x v="789"/>
    <x v="36"/>
    <d v="2025-02-08T00:00:00"/>
    <x v="1"/>
    <x v="1"/>
    <x v="1"/>
    <x v="0"/>
    <x v="3"/>
    <x v="1"/>
    <x v="5"/>
    <x v="1"/>
  </r>
  <r>
    <s v="TX500909"/>
    <x v="12"/>
    <x v="3"/>
    <x v="119"/>
    <x v="790"/>
    <x v="36"/>
    <d v="2025-02-07T00:00:00"/>
    <x v="1"/>
    <x v="1"/>
    <x v="1"/>
    <x v="0"/>
    <x v="3"/>
    <x v="3"/>
    <x v="5"/>
    <x v="1"/>
  </r>
  <r>
    <s v="TX500910"/>
    <x v="8"/>
    <x v="0"/>
    <x v="78"/>
    <x v="791"/>
    <x v="36"/>
    <d v="2025-02-06T00:00:00"/>
    <x v="0"/>
    <x v="0"/>
    <x v="2"/>
    <x v="0"/>
    <x v="3"/>
    <x v="7"/>
    <x v="5"/>
    <x v="0"/>
  </r>
  <r>
    <s v="TX500911"/>
    <x v="4"/>
    <x v="0"/>
    <x v="166"/>
    <x v="413"/>
    <x v="36"/>
    <d v="2025-02-07T00:00:00"/>
    <x v="1"/>
    <x v="0"/>
    <x v="1"/>
    <x v="0"/>
    <x v="6"/>
    <x v="3"/>
    <x v="5"/>
    <x v="1"/>
  </r>
  <r>
    <s v="TX500912"/>
    <x v="2"/>
    <x v="1"/>
    <x v="584"/>
    <x v="792"/>
    <x v="36"/>
    <d v="2025-02-08T00:00:00"/>
    <x v="1"/>
    <x v="0"/>
    <x v="1"/>
    <x v="0"/>
    <x v="7"/>
    <x v="1"/>
    <x v="5"/>
    <x v="1"/>
  </r>
  <r>
    <s v="TX500913"/>
    <x v="6"/>
    <x v="1"/>
    <x v="459"/>
    <x v="793"/>
    <x v="36"/>
    <d v="2025-02-08T00:00:00"/>
    <x v="1"/>
    <x v="0"/>
    <x v="0"/>
    <x v="0"/>
    <x v="17"/>
    <x v="1"/>
    <x v="5"/>
    <x v="1"/>
  </r>
  <r>
    <s v="TX500914"/>
    <x v="14"/>
    <x v="13"/>
    <x v="585"/>
    <x v="794"/>
    <x v="36"/>
    <d v="2025-02-08T00:00:00"/>
    <x v="0"/>
    <x v="0"/>
    <x v="1"/>
    <x v="0"/>
    <x v="10"/>
    <x v="1"/>
    <x v="5"/>
    <x v="0"/>
  </r>
  <r>
    <s v="TX500915"/>
    <x v="6"/>
    <x v="12"/>
    <x v="586"/>
    <x v="795"/>
    <x v="36"/>
    <d v="2025-02-07T00:00:00"/>
    <x v="2"/>
    <x v="3"/>
    <x v="2"/>
    <x v="0"/>
    <x v="11"/>
    <x v="3"/>
    <x v="5"/>
    <x v="2"/>
  </r>
  <r>
    <s v="TX500916"/>
    <x v="15"/>
    <x v="9"/>
    <x v="153"/>
    <x v="796"/>
    <x v="36"/>
    <d v="2025-02-10T00:00:00"/>
    <x v="2"/>
    <x v="0"/>
    <x v="1"/>
    <x v="0"/>
    <x v="14"/>
    <x v="5"/>
    <x v="5"/>
    <x v="2"/>
  </r>
  <r>
    <s v="TX500917"/>
    <x v="10"/>
    <x v="7"/>
    <x v="587"/>
    <x v="797"/>
    <x v="36"/>
    <d v="2025-02-08T00:00:00"/>
    <x v="1"/>
    <x v="2"/>
    <x v="1"/>
    <x v="0"/>
    <x v="2"/>
    <x v="1"/>
    <x v="5"/>
    <x v="1"/>
  </r>
  <r>
    <s v="TX500918"/>
    <x v="2"/>
    <x v="2"/>
    <x v="124"/>
    <x v="129"/>
    <x v="36"/>
    <d v="2025-02-10T00:00:00"/>
    <x v="2"/>
    <x v="1"/>
    <x v="4"/>
    <x v="0"/>
    <x v="44"/>
    <x v="5"/>
    <x v="5"/>
    <x v="2"/>
  </r>
  <r>
    <s v="TX500919"/>
    <x v="8"/>
    <x v="0"/>
    <x v="588"/>
    <x v="798"/>
    <x v="36"/>
    <d v="2025-02-10T00:00:00"/>
    <x v="1"/>
    <x v="0"/>
    <x v="0"/>
    <x v="0"/>
    <x v="22"/>
    <x v="5"/>
    <x v="5"/>
    <x v="1"/>
  </r>
  <r>
    <s v="TX500920"/>
    <x v="18"/>
    <x v="2"/>
    <x v="68"/>
    <x v="60"/>
    <x v="36"/>
    <d v="2025-02-09T00:00:00"/>
    <x v="2"/>
    <x v="0"/>
    <x v="0"/>
    <x v="0"/>
    <x v="3"/>
    <x v="2"/>
    <x v="5"/>
    <x v="2"/>
  </r>
  <r>
    <s v="TX500921"/>
    <x v="9"/>
    <x v="1"/>
    <x v="589"/>
    <x v="799"/>
    <x v="36"/>
    <d v="2025-02-07T00:00:00"/>
    <x v="0"/>
    <x v="0"/>
    <x v="1"/>
    <x v="0"/>
    <x v="3"/>
    <x v="3"/>
    <x v="5"/>
    <x v="0"/>
  </r>
  <r>
    <s v="TX500922"/>
    <x v="8"/>
    <x v="2"/>
    <x v="362"/>
    <x v="800"/>
    <x v="36"/>
    <d v="2025-02-08T00:00:00"/>
    <x v="3"/>
    <x v="1"/>
    <x v="2"/>
    <x v="0"/>
    <x v="3"/>
    <x v="1"/>
    <x v="5"/>
    <x v="3"/>
  </r>
  <r>
    <s v="TX500923"/>
    <x v="9"/>
    <x v="2"/>
    <x v="45"/>
    <x v="801"/>
    <x v="36"/>
    <d v="2025-02-11T00:00:00"/>
    <x v="2"/>
    <x v="2"/>
    <x v="2"/>
    <x v="0"/>
    <x v="3"/>
    <x v="0"/>
    <x v="5"/>
    <x v="2"/>
  </r>
  <r>
    <s v="TX500924"/>
    <x v="17"/>
    <x v="2"/>
    <x v="590"/>
    <x v="802"/>
    <x v="36"/>
    <d v="2025-02-08T00:00:00"/>
    <x v="2"/>
    <x v="2"/>
    <x v="2"/>
    <x v="0"/>
    <x v="3"/>
    <x v="1"/>
    <x v="5"/>
    <x v="2"/>
  </r>
  <r>
    <s v="TX500925"/>
    <x v="0"/>
    <x v="1"/>
    <x v="293"/>
    <x v="803"/>
    <x v="36"/>
    <d v="2025-02-10T00:00:00"/>
    <x v="1"/>
    <x v="3"/>
    <x v="2"/>
    <x v="0"/>
    <x v="3"/>
    <x v="5"/>
    <x v="5"/>
    <x v="1"/>
  </r>
  <r>
    <s v="TX500926"/>
    <x v="8"/>
    <x v="1"/>
    <x v="465"/>
    <x v="804"/>
    <x v="36"/>
    <d v="2025-02-08T00:00:00"/>
    <x v="0"/>
    <x v="0"/>
    <x v="1"/>
    <x v="0"/>
    <x v="3"/>
    <x v="1"/>
    <x v="5"/>
    <x v="0"/>
  </r>
  <r>
    <s v="TX500927"/>
    <x v="4"/>
    <x v="9"/>
    <x v="591"/>
    <x v="805"/>
    <x v="36"/>
    <d v="2025-02-08T00:00:00"/>
    <x v="2"/>
    <x v="1"/>
    <x v="0"/>
    <x v="0"/>
    <x v="3"/>
    <x v="1"/>
    <x v="5"/>
    <x v="2"/>
  </r>
  <r>
    <s v="TX500928"/>
    <x v="0"/>
    <x v="12"/>
    <x v="389"/>
    <x v="806"/>
    <x v="36"/>
    <d v="2025-02-08T00:00:00"/>
    <x v="2"/>
    <x v="0"/>
    <x v="0"/>
    <x v="0"/>
    <x v="3"/>
    <x v="1"/>
    <x v="5"/>
    <x v="2"/>
  </r>
  <r>
    <s v="TX500929"/>
    <x v="4"/>
    <x v="9"/>
    <x v="243"/>
    <x v="158"/>
    <x v="36"/>
    <d v="2025-02-08T00:00:00"/>
    <x v="2"/>
    <x v="4"/>
    <x v="2"/>
    <x v="0"/>
    <x v="3"/>
    <x v="1"/>
    <x v="5"/>
    <x v="2"/>
  </r>
  <r>
    <s v="TX500930"/>
    <x v="17"/>
    <x v="9"/>
    <x v="592"/>
    <x v="807"/>
    <x v="36"/>
    <d v="2025-02-14T00:00:00"/>
    <x v="2"/>
    <x v="0"/>
    <x v="1"/>
    <x v="0"/>
    <x v="3"/>
    <x v="9"/>
    <x v="5"/>
    <x v="2"/>
  </r>
  <r>
    <s v="TX500931"/>
    <x v="10"/>
    <x v="3"/>
    <x v="133"/>
    <x v="808"/>
    <x v="36"/>
    <d v="2025-02-06T00:00:00"/>
    <x v="2"/>
    <x v="2"/>
    <x v="1"/>
    <x v="0"/>
    <x v="3"/>
    <x v="7"/>
    <x v="5"/>
    <x v="2"/>
  </r>
  <r>
    <s v="TX500932"/>
    <x v="6"/>
    <x v="3"/>
    <x v="593"/>
    <x v="809"/>
    <x v="37"/>
    <d v="2025-02-08T00:00:00"/>
    <x v="1"/>
    <x v="0"/>
    <x v="2"/>
    <x v="0"/>
    <x v="6"/>
    <x v="3"/>
    <x v="5"/>
    <x v="1"/>
  </r>
  <r>
    <s v="TX500933"/>
    <x v="5"/>
    <x v="20"/>
    <x v="594"/>
    <x v="810"/>
    <x v="37"/>
    <d v="2025-02-08T00:00:00"/>
    <x v="2"/>
    <x v="0"/>
    <x v="1"/>
    <x v="0"/>
    <x v="6"/>
    <x v="3"/>
    <x v="5"/>
    <x v="2"/>
  </r>
  <r>
    <s v="TX500934"/>
    <x v="0"/>
    <x v="9"/>
    <x v="380"/>
    <x v="811"/>
    <x v="37"/>
    <d v="2025-02-10T00:00:00"/>
    <x v="2"/>
    <x v="0"/>
    <x v="2"/>
    <x v="0"/>
    <x v="36"/>
    <x v="2"/>
    <x v="5"/>
    <x v="2"/>
  </r>
  <r>
    <s v="TX500935"/>
    <x v="8"/>
    <x v="2"/>
    <x v="595"/>
    <x v="812"/>
    <x v="37"/>
    <d v="2025-02-14T00:00:00"/>
    <x v="1"/>
    <x v="1"/>
    <x v="0"/>
    <x v="0"/>
    <x v="7"/>
    <x v="6"/>
    <x v="5"/>
    <x v="1"/>
  </r>
  <r>
    <s v="TX500936"/>
    <x v="0"/>
    <x v="1"/>
    <x v="19"/>
    <x v="813"/>
    <x v="37"/>
    <d v="2025-02-11T00:00:00"/>
    <x v="2"/>
    <x v="0"/>
    <x v="0"/>
    <x v="0"/>
    <x v="7"/>
    <x v="5"/>
    <x v="5"/>
    <x v="2"/>
  </r>
  <r>
    <s v="TX500937"/>
    <x v="1"/>
    <x v="13"/>
    <x v="596"/>
    <x v="814"/>
    <x v="37"/>
    <d v="2025-02-09T00:00:00"/>
    <x v="1"/>
    <x v="4"/>
    <x v="0"/>
    <x v="0"/>
    <x v="8"/>
    <x v="1"/>
    <x v="5"/>
    <x v="1"/>
  </r>
  <r>
    <s v="TX500938"/>
    <x v="0"/>
    <x v="2"/>
    <x v="597"/>
    <x v="815"/>
    <x v="37"/>
    <d v="2025-02-10T00:00:00"/>
    <x v="1"/>
    <x v="2"/>
    <x v="2"/>
    <x v="0"/>
    <x v="8"/>
    <x v="2"/>
    <x v="5"/>
    <x v="1"/>
  </r>
  <r>
    <s v="TX500939"/>
    <x v="1"/>
    <x v="3"/>
    <x v="307"/>
    <x v="816"/>
    <x v="37"/>
    <d v="2025-02-08T00:00:00"/>
    <x v="2"/>
    <x v="1"/>
    <x v="0"/>
    <x v="0"/>
    <x v="8"/>
    <x v="3"/>
    <x v="5"/>
    <x v="2"/>
  </r>
  <r>
    <s v="TX500940"/>
    <x v="18"/>
    <x v="0"/>
    <x v="79"/>
    <x v="578"/>
    <x v="37"/>
    <d v="2025-02-09T00:00:00"/>
    <x v="2"/>
    <x v="0"/>
    <x v="1"/>
    <x v="0"/>
    <x v="8"/>
    <x v="1"/>
    <x v="5"/>
    <x v="2"/>
  </r>
  <r>
    <s v="TX500941"/>
    <x v="15"/>
    <x v="1"/>
    <x v="125"/>
    <x v="817"/>
    <x v="37"/>
    <d v="2025-02-09T00:00:00"/>
    <x v="1"/>
    <x v="0"/>
    <x v="1"/>
    <x v="0"/>
    <x v="8"/>
    <x v="1"/>
    <x v="5"/>
    <x v="1"/>
  </r>
  <r>
    <s v="TX500942"/>
    <x v="6"/>
    <x v="2"/>
    <x v="598"/>
    <x v="818"/>
    <x v="37"/>
    <d v="2025-02-11T00:00:00"/>
    <x v="1"/>
    <x v="1"/>
    <x v="2"/>
    <x v="0"/>
    <x v="10"/>
    <x v="5"/>
    <x v="5"/>
    <x v="1"/>
  </r>
  <r>
    <s v="TX500943"/>
    <x v="6"/>
    <x v="13"/>
    <x v="599"/>
    <x v="15"/>
    <x v="37"/>
    <d v="2025-02-09T00:00:00"/>
    <x v="0"/>
    <x v="4"/>
    <x v="0"/>
    <x v="0"/>
    <x v="11"/>
    <x v="1"/>
    <x v="5"/>
    <x v="0"/>
  </r>
  <r>
    <s v="TX500944"/>
    <x v="7"/>
    <x v="9"/>
    <x v="572"/>
    <x v="819"/>
    <x v="37"/>
    <d v="2025-02-08T00:00:00"/>
    <x v="1"/>
    <x v="1"/>
    <x v="1"/>
    <x v="0"/>
    <x v="11"/>
    <x v="3"/>
    <x v="5"/>
    <x v="1"/>
  </r>
  <r>
    <s v="TX500945"/>
    <x v="6"/>
    <x v="0"/>
    <x v="309"/>
    <x v="733"/>
    <x v="37"/>
    <d v="2025-02-21T00:00:00"/>
    <x v="1"/>
    <x v="2"/>
    <x v="0"/>
    <x v="0"/>
    <x v="19"/>
    <x v="12"/>
    <x v="5"/>
    <x v="1"/>
  </r>
  <r>
    <s v="TX500946"/>
    <x v="8"/>
    <x v="38"/>
    <x v="600"/>
    <x v="820"/>
    <x v="37"/>
    <d v="2025-02-08T00:00:00"/>
    <x v="2"/>
    <x v="3"/>
    <x v="2"/>
    <x v="0"/>
    <x v="19"/>
    <x v="3"/>
    <x v="5"/>
    <x v="2"/>
  </r>
  <r>
    <s v="TX500947"/>
    <x v="8"/>
    <x v="1"/>
    <x v="601"/>
    <x v="821"/>
    <x v="37"/>
    <d v="2025-02-13T00:00:00"/>
    <x v="2"/>
    <x v="3"/>
    <x v="0"/>
    <x v="0"/>
    <x v="20"/>
    <x v="4"/>
    <x v="5"/>
    <x v="2"/>
  </r>
  <r>
    <s v="TX500948"/>
    <x v="3"/>
    <x v="2"/>
    <x v="107"/>
    <x v="822"/>
    <x v="37"/>
    <d v="2025-02-08T00:00:00"/>
    <x v="2"/>
    <x v="0"/>
    <x v="1"/>
    <x v="0"/>
    <x v="21"/>
    <x v="3"/>
    <x v="5"/>
    <x v="2"/>
  </r>
  <r>
    <s v="TX500949"/>
    <x v="9"/>
    <x v="2"/>
    <x v="325"/>
    <x v="823"/>
    <x v="37"/>
    <d v="2025-02-13T00:00:00"/>
    <x v="2"/>
    <x v="2"/>
    <x v="2"/>
    <x v="0"/>
    <x v="2"/>
    <x v="4"/>
    <x v="5"/>
    <x v="2"/>
  </r>
  <r>
    <s v="TX500950"/>
    <x v="6"/>
    <x v="2"/>
    <x v="369"/>
    <x v="431"/>
    <x v="37"/>
    <d v="2025-02-09T00:00:00"/>
    <x v="2"/>
    <x v="1"/>
    <x v="1"/>
    <x v="0"/>
    <x v="22"/>
    <x v="1"/>
    <x v="5"/>
    <x v="2"/>
  </r>
  <r>
    <s v="TX500951"/>
    <x v="8"/>
    <x v="1"/>
    <x v="446"/>
    <x v="673"/>
    <x v="37"/>
    <d v="2025-02-11T00:00:00"/>
    <x v="1"/>
    <x v="0"/>
    <x v="0"/>
    <x v="0"/>
    <x v="3"/>
    <x v="5"/>
    <x v="5"/>
    <x v="1"/>
  </r>
  <r>
    <s v="TX500952"/>
    <x v="9"/>
    <x v="2"/>
    <x v="182"/>
    <x v="824"/>
    <x v="37"/>
    <d v="2025-02-11T00:00:00"/>
    <x v="2"/>
    <x v="3"/>
    <x v="1"/>
    <x v="0"/>
    <x v="3"/>
    <x v="5"/>
    <x v="5"/>
    <x v="2"/>
  </r>
  <r>
    <s v="TX500953"/>
    <x v="18"/>
    <x v="0"/>
    <x v="602"/>
    <x v="825"/>
    <x v="37"/>
    <d v="2025-02-11T00:00:00"/>
    <x v="1"/>
    <x v="1"/>
    <x v="1"/>
    <x v="0"/>
    <x v="3"/>
    <x v="5"/>
    <x v="5"/>
    <x v="1"/>
  </r>
  <r>
    <s v="TX500954"/>
    <x v="6"/>
    <x v="12"/>
    <x v="39"/>
    <x v="826"/>
    <x v="38"/>
    <d v="2025-02-11T00:00:00"/>
    <x v="1"/>
    <x v="0"/>
    <x v="0"/>
    <x v="0"/>
    <x v="3"/>
    <x v="2"/>
    <x v="5"/>
    <x v="1"/>
  </r>
  <r>
    <s v="TX500955"/>
    <x v="4"/>
    <x v="12"/>
    <x v="193"/>
    <x v="827"/>
    <x v="38"/>
    <d v="2025-02-09T00:00:00"/>
    <x v="1"/>
    <x v="2"/>
    <x v="0"/>
    <x v="0"/>
    <x v="3"/>
    <x v="3"/>
    <x v="5"/>
    <x v="1"/>
  </r>
  <r>
    <s v="TX500956"/>
    <x v="1"/>
    <x v="0"/>
    <x v="603"/>
    <x v="610"/>
    <x v="38"/>
    <d v="2025-02-10T00:00:00"/>
    <x v="1"/>
    <x v="4"/>
    <x v="2"/>
    <x v="0"/>
    <x v="3"/>
    <x v="1"/>
    <x v="5"/>
    <x v="1"/>
  </r>
  <r>
    <s v="TX500957"/>
    <x v="17"/>
    <x v="1"/>
    <x v="440"/>
    <x v="298"/>
    <x v="38"/>
    <d v="2025-02-09T00:00:00"/>
    <x v="1"/>
    <x v="1"/>
    <x v="0"/>
    <x v="0"/>
    <x v="3"/>
    <x v="3"/>
    <x v="5"/>
    <x v="1"/>
  </r>
  <r>
    <s v="TX500958"/>
    <x v="14"/>
    <x v="12"/>
    <x v="604"/>
    <x v="828"/>
    <x v="38"/>
    <d v="2025-02-08T00:00:00"/>
    <x v="1"/>
    <x v="2"/>
    <x v="0"/>
    <x v="0"/>
    <x v="3"/>
    <x v="7"/>
    <x v="5"/>
    <x v="1"/>
  </r>
  <r>
    <s v="TX500959"/>
    <x v="10"/>
    <x v="6"/>
    <x v="363"/>
    <x v="829"/>
    <x v="38"/>
    <d v="2025-02-09T00:00:00"/>
    <x v="2"/>
    <x v="3"/>
    <x v="2"/>
    <x v="0"/>
    <x v="3"/>
    <x v="3"/>
    <x v="5"/>
    <x v="2"/>
  </r>
  <r>
    <s v="TX500960"/>
    <x v="8"/>
    <x v="0"/>
    <x v="605"/>
    <x v="830"/>
    <x v="38"/>
    <d v="2025-02-10T00:00:00"/>
    <x v="2"/>
    <x v="2"/>
    <x v="1"/>
    <x v="0"/>
    <x v="3"/>
    <x v="1"/>
    <x v="5"/>
    <x v="2"/>
  </r>
  <r>
    <s v="TX500961"/>
    <x v="8"/>
    <x v="3"/>
    <x v="237"/>
    <x v="831"/>
    <x v="38"/>
    <d v="2025-02-08T00:00:00"/>
    <x v="2"/>
    <x v="2"/>
    <x v="4"/>
    <x v="0"/>
    <x v="3"/>
    <x v="7"/>
    <x v="5"/>
    <x v="2"/>
  </r>
  <r>
    <s v="TX500962"/>
    <x v="8"/>
    <x v="0"/>
    <x v="606"/>
    <x v="832"/>
    <x v="38"/>
    <d v="2025-02-12T00:00:00"/>
    <x v="1"/>
    <x v="3"/>
    <x v="2"/>
    <x v="0"/>
    <x v="3"/>
    <x v="5"/>
    <x v="5"/>
    <x v="1"/>
  </r>
  <r>
    <s v="TX500963"/>
    <x v="17"/>
    <x v="1"/>
    <x v="466"/>
    <x v="833"/>
    <x v="38"/>
    <d v="2025-02-11T00:00:00"/>
    <x v="2"/>
    <x v="0"/>
    <x v="0"/>
    <x v="0"/>
    <x v="25"/>
    <x v="2"/>
    <x v="5"/>
    <x v="2"/>
  </r>
  <r>
    <s v="TX500964"/>
    <x v="18"/>
    <x v="1"/>
    <x v="607"/>
    <x v="834"/>
    <x v="38"/>
    <d v="2025-02-09T00:00:00"/>
    <x v="2"/>
    <x v="0"/>
    <x v="0"/>
    <x v="0"/>
    <x v="6"/>
    <x v="3"/>
    <x v="5"/>
    <x v="2"/>
  </r>
  <r>
    <s v="TX500965"/>
    <x v="0"/>
    <x v="1"/>
    <x v="608"/>
    <x v="835"/>
    <x v="38"/>
    <d v="2025-02-12T00:00:00"/>
    <x v="2"/>
    <x v="0"/>
    <x v="0"/>
    <x v="0"/>
    <x v="6"/>
    <x v="5"/>
    <x v="5"/>
    <x v="2"/>
  </r>
  <r>
    <s v="TX500966"/>
    <x v="0"/>
    <x v="12"/>
    <x v="609"/>
    <x v="630"/>
    <x v="38"/>
    <d v="2025-02-11T00:00:00"/>
    <x v="1"/>
    <x v="2"/>
    <x v="0"/>
    <x v="0"/>
    <x v="6"/>
    <x v="2"/>
    <x v="5"/>
    <x v="1"/>
  </r>
  <r>
    <s v="TX500967"/>
    <x v="0"/>
    <x v="0"/>
    <x v="71"/>
    <x v="836"/>
    <x v="38"/>
    <d v="2025-02-09T00:00:00"/>
    <x v="1"/>
    <x v="3"/>
    <x v="0"/>
    <x v="0"/>
    <x v="6"/>
    <x v="3"/>
    <x v="5"/>
    <x v="1"/>
  </r>
  <r>
    <s v="TX500968"/>
    <x v="9"/>
    <x v="1"/>
    <x v="392"/>
    <x v="837"/>
    <x v="38"/>
    <d v="2025-02-12T00:00:00"/>
    <x v="2"/>
    <x v="4"/>
    <x v="0"/>
    <x v="0"/>
    <x v="7"/>
    <x v="5"/>
    <x v="5"/>
    <x v="2"/>
  </r>
  <r>
    <s v="TX500969"/>
    <x v="5"/>
    <x v="9"/>
    <x v="195"/>
    <x v="838"/>
    <x v="38"/>
    <d v="2025-02-09T00:00:00"/>
    <x v="1"/>
    <x v="2"/>
    <x v="2"/>
    <x v="0"/>
    <x v="8"/>
    <x v="3"/>
    <x v="5"/>
    <x v="1"/>
  </r>
  <r>
    <s v="TX500970"/>
    <x v="3"/>
    <x v="1"/>
    <x v="610"/>
    <x v="839"/>
    <x v="38"/>
    <d v="2025-02-09T00:00:00"/>
    <x v="2"/>
    <x v="1"/>
    <x v="0"/>
    <x v="0"/>
    <x v="8"/>
    <x v="3"/>
    <x v="5"/>
    <x v="2"/>
  </r>
  <r>
    <s v="TX500971"/>
    <x v="2"/>
    <x v="13"/>
    <x v="611"/>
    <x v="840"/>
    <x v="38"/>
    <d v="2025-02-10T00:00:00"/>
    <x v="2"/>
    <x v="1"/>
    <x v="0"/>
    <x v="0"/>
    <x v="8"/>
    <x v="1"/>
    <x v="5"/>
    <x v="2"/>
  </r>
  <r>
    <s v="TX500972"/>
    <x v="6"/>
    <x v="1"/>
    <x v="395"/>
    <x v="841"/>
    <x v="38"/>
    <d v="2025-02-09T00:00:00"/>
    <x v="1"/>
    <x v="1"/>
    <x v="0"/>
    <x v="0"/>
    <x v="8"/>
    <x v="3"/>
    <x v="5"/>
    <x v="1"/>
  </r>
  <r>
    <s v="TX500973"/>
    <x v="6"/>
    <x v="2"/>
    <x v="424"/>
    <x v="515"/>
    <x v="38"/>
    <d v="2025-02-10T00:00:00"/>
    <x v="2"/>
    <x v="1"/>
    <x v="4"/>
    <x v="0"/>
    <x v="8"/>
    <x v="1"/>
    <x v="5"/>
    <x v="2"/>
  </r>
  <r>
    <s v="TX500974"/>
    <x v="2"/>
    <x v="2"/>
    <x v="612"/>
    <x v="842"/>
    <x v="38"/>
    <d v="2025-02-09T00:00:00"/>
    <x v="1"/>
    <x v="2"/>
    <x v="0"/>
    <x v="0"/>
    <x v="17"/>
    <x v="3"/>
    <x v="5"/>
    <x v="1"/>
  </r>
  <r>
    <s v="TX500975"/>
    <x v="11"/>
    <x v="13"/>
    <x v="303"/>
    <x v="843"/>
    <x v="38"/>
    <d v="2025-02-14T00:00:00"/>
    <x v="2"/>
    <x v="3"/>
    <x v="0"/>
    <x v="0"/>
    <x v="9"/>
    <x v="4"/>
    <x v="5"/>
    <x v="2"/>
  </r>
  <r>
    <s v="TX500976"/>
    <x v="10"/>
    <x v="13"/>
    <x v="613"/>
    <x v="844"/>
    <x v="38"/>
    <d v="2025-02-10T00:00:00"/>
    <x v="2"/>
    <x v="2"/>
    <x v="0"/>
    <x v="0"/>
    <x v="11"/>
    <x v="1"/>
    <x v="5"/>
    <x v="2"/>
  </r>
  <r>
    <s v="TX500977"/>
    <x v="18"/>
    <x v="20"/>
    <x v="614"/>
    <x v="845"/>
    <x v="38"/>
    <d v="2025-02-09T00:00:00"/>
    <x v="2"/>
    <x v="2"/>
    <x v="0"/>
    <x v="0"/>
    <x v="11"/>
    <x v="3"/>
    <x v="5"/>
    <x v="2"/>
  </r>
  <r>
    <s v="TX500978"/>
    <x v="1"/>
    <x v="9"/>
    <x v="125"/>
    <x v="846"/>
    <x v="38"/>
    <d v="2025-02-11T00:00:00"/>
    <x v="2"/>
    <x v="2"/>
    <x v="2"/>
    <x v="0"/>
    <x v="18"/>
    <x v="2"/>
    <x v="5"/>
    <x v="2"/>
  </r>
  <r>
    <s v="TX500979"/>
    <x v="10"/>
    <x v="1"/>
    <x v="292"/>
    <x v="564"/>
    <x v="38"/>
    <d v="2025-02-12T00:00:00"/>
    <x v="2"/>
    <x v="0"/>
    <x v="1"/>
    <x v="0"/>
    <x v="19"/>
    <x v="5"/>
    <x v="5"/>
    <x v="2"/>
  </r>
  <r>
    <s v="TX500980"/>
    <x v="7"/>
    <x v="3"/>
    <x v="344"/>
    <x v="847"/>
    <x v="38"/>
    <d v="2025-02-13T00:00:00"/>
    <x v="2"/>
    <x v="0"/>
    <x v="0"/>
    <x v="0"/>
    <x v="13"/>
    <x v="0"/>
    <x v="5"/>
    <x v="2"/>
  </r>
  <r>
    <s v="TX500981"/>
    <x v="4"/>
    <x v="9"/>
    <x v="615"/>
    <x v="848"/>
    <x v="38"/>
    <d v="2025-02-13T00:00:00"/>
    <x v="1"/>
    <x v="0"/>
    <x v="2"/>
    <x v="0"/>
    <x v="21"/>
    <x v="0"/>
    <x v="5"/>
    <x v="1"/>
  </r>
  <r>
    <s v="TX500982"/>
    <x v="12"/>
    <x v="9"/>
    <x v="114"/>
    <x v="849"/>
    <x v="38"/>
    <d v="2025-02-11T00:00:00"/>
    <x v="2"/>
    <x v="0"/>
    <x v="0"/>
    <x v="0"/>
    <x v="21"/>
    <x v="2"/>
    <x v="5"/>
    <x v="2"/>
  </r>
  <r>
    <s v="TX500983"/>
    <x v="2"/>
    <x v="1"/>
    <x v="616"/>
    <x v="850"/>
    <x v="38"/>
    <d v="2025-02-09T00:00:00"/>
    <x v="2"/>
    <x v="3"/>
    <x v="2"/>
    <x v="0"/>
    <x v="21"/>
    <x v="3"/>
    <x v="5"/>
    <x v="2"/>
  </r>
  <r>
    <s v="TX500984"/>
    <x v="10"/>
    <x v="11"/>
    <x v="292"/>
    <x v="851"/>
    <x v="38"/>
    <d v="2025-02-09T00:00:00"/>
    <x v="2"/>
    <x v="2"/>
    <x v="1"/>
    <x v="0"/>
    <x v="21"/>
    <x v="3"/>
    <x v="5"/>
    <x v="2"/>
  </r>
  <r>
    <s v="TX500985"/>
    <x v="8"/>
    <x v="2"/>
    <x v="334"/>
    <x v="852"/>
    <x v="39"/>
    <d v="2025-02-13T00:00:00"/>
    <x v="1"/>
    <x v="4"/>
    <x v="2"/>
    <x v="0"/>
    <x v="1"/>
    <x v="5"/>
    <x v="6"/>
    <x v="1"/>
  </r>
  <r>
    <s v="TX500986"/>
    <x v="6"/>
    <x v="12"/>
    <x v="617"/>
    <x v="378"/>
    <x v="39"/>
    <d v="2025-02-10T00:00:00"/>
    <x v="1"/>
    <x v="1"/>
    <x v="1"/>
    <x v="0"/>
    <x v="1"/>
    <x v="3"/>
    <x v="6"/>
    <x v="1"/>
  </r>
  <r>
    <s v="TX500987"/>
    <x v="8"/>
    <x v="0"/>
    <x v="430"/>
    <x v="853"/>
    <x v="39"/>
    <d v="2025-02-11T00:00:00"/>
    <x v="0"/>
    <x v="1"/>
    <x v="2"/>
    <x v="0"/>
    <x v="2"/>
    <x v="1"/>
    <x v="6"/>
    <x v="0"/>
  </r>
  <r>
    <s v="TX500988"/>
    <x v="4"/>
    <x v="2"/>
    <x v="423"/>
    <x v="514"/>
    <x v="39"/>
    <d v="2025-02-12T00:00:00"/>
    <x v="1"/>
    <x v="3"/>
    <x v="0"/>
    <x v="0"/>
    <x v="2"/>
    <x v="2"/>
    <x v="6"/>
    <x v="1"/>
  </r>
  <r>
    <s v="TX500989"/>
    <x v="0"/>
    <x v="2"/>
    <x v="34"/>
    <x v="854"/>
    <x v="39"/>
    <d v="2025-02-13T00:00:00"/>
    <x v="2"/>
    <x v="1"/>
    <x v="0"/>
    <x v="0"/>
    <x v="22"/>
    <x v="5"/>
    <x v="6"/>
    <x v="2"/>
  </r>
  <r>
    <s v="TX500990"/>
    <x v="1"/>
    <x v="0"/>
    <x v="344"/>
    <x v="392"/>
    <x v="39"/>
    <d v="2025-02-10T00:00:00"/>
    <x v="2"/>
    <x v="0"/>
    <x v="0"/>
    <x v="0"/>
    <x v="34"/>
    <x v="3"/>
    <x v="6"/>
    <x v="2"/>
  </r>
  <r>
    <s v="TX500991"/>
    <x v="6"/>
    <x v="1"/>
    <x v="79"/>
    <x v="855"/>
    <x v="39"/>
    <d v="2025-02-15T00:00:00"/>
    <x v="0"/>
    <x v="0"/>
    <x v="0"/>
    <x v="0"/>
    <x v="3"/>
    <x v="4"/>
    <x v="6"/>
    <x v="0"/>
  </r>
  <r>
    <s v="TX500992"/>
    <x v="6"/>
    <x v="9"/>
    <x v="521"/>
    <x v="856"/>
    <x v="39"/>
    <d v="2025-02-10T00:00:00"/>
    <x v="2"/>
    <x v="1"/>
    <x v="2"/>
    <x v="0"/>
    <x v="3"/>
    <x v="3"/>
    <x v="6"/>
    <x v="2"/>
  </r>
  <r>
    <s v="TX500993"/>
    <x v="5"/>
    <x v="1"/>
    <x v="155"/>
    <x v="857"/>
    <x v="39"/>
    <d v="2025-02-10T00:00:00"/>
    <x v="3"/>
    <x v="2"/>
    <x v="2"/>
    <x v="0"/>
    <x v="3"/>
    <x v="3"/>
    <x v="6"/>
    <x v="3"/>
  </r>
  <r>
    <s v="TX500994"/>
    <x v="2"/>
    <x v="10"/>
    <x v="618"/>
    <x v="858"/>
    <x v="39"/>
    <d v="2025-02-13T00:00:00"/>
    <x v="2"/>
    <x v="2"/>
    <x v="0"/>
    <x v="0"/>
    <x v="3"/>
    <x v="5"/>
    <x v="6"/>
    <x v="2"/>
  </r>
  <r>
    <s v="TX500995"/>
    <x v="2"/>
    <x v="12"/>
    <x v="497"/>
    <x v="629"/>
    <x v="39"/>
    <d v="2025-02-12T00:00:00"/>
    <x v="2"/>
    <x v="3"/>
    <x v="0"/>
    <x v="0"/>
    <x v="3"/>
    <x v="2"/>
    <x v="6"/>
    <x v="2"/>
  </r>
  <r>
    <s v="TX500996"/>
    <x v="5"/>
    <x v="32"/>
    <x v="148"/>
    <x v="859"/>
    <x v="39"/>
    <d v="2025-02-10T00:00:00"/>
    <x v="2"/>
    <x v="0"/>
    <x v="2"/>
    <x v="0"/>
    <x v="3"/>
    <x v="3"/>
    <x v="6"/>
    <x v="2"/>
  </r>
  <r>
    <s v="TX500997"/>
    <x v="14"/>
    <x v="0"/>
    <x v="619"/>
    <x v="860"/>
    <x v="39"/>
    <d v="2025-02-12T00:00:00"/>
    <x v="2"/>
    <x v="4"/>
    <x v="0"/>
    <x v="0"/>
    <x v="3"/>
    <x v="2"/>
    <x v="6"/>
    <x v="2"/>
  </r>
  <r>
    <s v="TX500998"/>
    <x v="6"/>
    <x v="1"/>
    <x v="620"/>
    <x v="861"/>
    <x v="39"/>
    <d v="2025-02-12T00:00:00"/>
    <x v="2"/>
    <x v="0"/>
    <x v="0"/>
    <x v="0"/>
    <x v="3"/>
    <x v="2"/>
    <x v="6"/>
    <x v="2"/>
  </r>
  <r>
    <s v="TX500999"/>
    <x v="8"/>
    <x v="12"/>
    <x v="403"/>
    <x v="862"/>
    <x v="39"/>
    <d v="2025-02-11T00:00:00"/>
    <x v="2"/>
    <x v="1"/>
    <x v="0"/>
    <x v="0"/>
    <x v="3"/>
    <x v="1"/>
    <x v="6"/>
    <x v="2"/>
  </r>
  <r>
    <s v="TX501000"/>
    <x v="17"/>
    <x v="0"/>
    <x v="286"/>
    <x v="319"/>
    <x v="39"/>
    <d v="2025-02-10T00:00:00"/>
    <x v="2"/>
    <x v="0"/>
    <x v="1"/>
    <x v="0"/>
    <x v="3"/>
    <x v="3"/>
    <x v="6"/>
    <x v="2"/>
  </r>
  <r>
    <s v="TX501001"/>
    <x v="7"/>
    <x v="1"/>
    <x v="570"/>
    <x v="863"/>
    <x v="39"/>
    <d v="2025-02-13T00:00:00"/>
    <x v="2"/>
    <x v="2"/>
    <x v="2"/>
    <x v="0"/>
    <x v="3"/>
    <x v="5"/>
    <x v="6"/>
    <x v="2"/>
  </r>
  <r>
    <s v="TX501002"/>
    <x v="8"/>
    <x v="0"/>
    <x v="418"/>
    <x v="864"/>
    <x v="39"/>
    <d v="2025-02-20T00:00:00"/>
    <x v="2"/>
    <x v="1"/>
    <x v="1"/>
    <x v="0"/>
    <x v="49"/>
    <x v="11"/>
    <x v="6"/>
    <x v="2"/>
  </r>
  <r>
    <s v="TX501003"/>
    <x v="4"/>
    <x v="7"/>
    <x v="126"/>
    <x v="865"/>
    <x v="39"/>
    <d v="2025-02-11T00:00:00"/>
    <x v="2"/>
    <x v="3"/>
    <x v="1"/>
    <x v="0"/>
    <x v="25"/>
    <x v="1"/>
    <x v="6"/>
    <x v="2"/>
  </r>
  <r>
    <s v="TX501004"/>
    <x v="6"/>
    <x v="8"/>
    <x v="524"/>
    <x v="866"/>
    <x v="39"/>
    <d v="2025-02-11T00:00:00"/>
    <x v="1"/>
    <x v="1"/>
    <x v="2"/>
    <x v="0"/>
    <x v="5"/>
    <x v="1"/>
    <x v="6"/>
    <x v="1"/>
  </r>
  <r>
    <s v="TX501005"/>
    <x v="10"/>
    <x v="8"/>
    <x v="193"/>
    <x v="867"/>
    <x v="39"/>
    <d v="2025-02-10T00:00:00"/>
    <x v="1"/>
    <x v="3"/>
    <x v="4"/>
    <x v="0"/>
    <x v="5"/>
    <x v="3"/>
    <x v="6"/>
    <x v="1"/>
  </r>
  <r>
    <s v="TX501006"/>
    <x v="4"/>
    <x v="1"/>
    <x v="289"/>
    <x v="50"/>
    <x v="39"/>
    <d v="2025-02-10T00:00:00"/>
    <x v="2"/>
    <x v="2"/>
    <x v="3"/>
    <x v="0"/>
    <x v="6"/>
    <x v="3"/>
    <x v="6"/>
    <x v="2"/>
  </r>
  <r>
    <s v="TX501007"/>
    <x v="0"/>
    <x v="0"/>
    <x v="8"/>
    <x v="519"/>
    <x v="39"/>
    <d v="2025-02-11T00:00:00"/>
    <x v="2"/>
    <x v="3"/>
    <x v="0"/>
    <x v="0"/>
    <x v="6"/>
    <x v="1"/>
    <x v="6"/>
    <x v="2"/>
  </r>
  <r>
    <s v="TX501008"/>
    <x v="2"/>
    <x v="27"/>
    <x v="621"/>
    <x v="868"/>
    <x v="39"/>
    <d v="2025-02-11T00:00:00"/>
    <x v="0"/>
    <x v="2"/>
    <x v="0"/>
    <x v="0"/>
    <x v="7"/>
    <x v="1"/>
    <x v="6"/>
    <x v="0"/>
  </r>
  <r>
    <s v="TX501009"/>
    <x v="6"/>
    <x v="12"/>
    <x v="449"/>
    <x v="869"/>
    <x v="39"/>
    <d v="2025-02-10T00:00:00"/>
    <x v="2"/>
    <x v="1"/>
    <x v="1"/>
    <x v="0"/>
    <x v="7"/>
    <x v="3"/>
    <x v="6"/>
    <x v="2"/>
  </r>
  <r>
    <s v="TX501010"/>
    <x v="8"/>
    <x v="2"/>
    <x v="269"/>
    <x v="292"/>
    <x v="39"/>
    <d v="2025-02-11T00:00:00"/>
    <x v="3"/>
    <x v="1"/>
    <x v="0"/>
    <x v="0"/>
    <x v="7"/>
    <x v="1"/>
    <x v="6"/>
    <x v="3"/>
  </r>
  <r>
    <s v="TX501011"/>
    <x v="2"/>
    <x v="15"/>
    <x v="622"/>
    <x v="870"/>
    <x v="39"/>
    <d v="2025-02-12T00:00:00"/>
    <x v="2"/>
    <x v="0"/>
    <x v="0"/>
    <x v="0"/>
    <x v="8"/>
    <x v="2"/>
    <x v="6"/>
    <x v="2"/>
  </r>
  <r>
    <s v="TX501012"/>
    <x v="9"/>
    <x v="3"/>
    <x v="190"/>
    <x v="871"/>
    <x v="39"/>
    <d v="2025-02-12T00:00:00"/>
    <x v="3"/>
    <x v="0"/>
    <x v="2"/>
    <x v="0"/>
    <x v="8"/>
    <x v="2"/>
    <x v="6"/>
    <x v="3"/>
  </r>
  <r>
    <s v="TX501013"/>
    <x v="12"/>
    <x v="9"/>
    <x v="583"/>
    <x v="785"/>
    <x v="39"/>
    <d v="2025-02-11T00:00:00"/>
    <x v="0"/>
    <x v="2"/>
    <x v="2"/>
    <x v="0"/>
    <x v="8"/>
    <x v="1"/>
    <x v="6"/>
    <x v="0"/>
  </r>
  <r>
    <s v="TX501014"/>
    <x v="5"/>
    <x v="1"/>
    <x v="541"/>
    <x v="143"/>
    <x v="39"/>
    <d v="2025-02-11T00:00:00"/>
    <x v="2"/>
    <x v="0"/>
    <x v="0"/>
    <x v="0"/>
    <x v="8"/>
    <x v="1"/>
    <x v="6"/>
    <x v="2"/>
  </r>
  <r>
    <s v="TX501015"/>
    <x v="13"/>
    <x v="1"/>
    <x v="213"/>
    <x v="872"/>
    <x v="39"/>
    <d v="2025-02-12T00:00:00"/>
    <x v="1"/>
    <x v="1"/>
    <x v="0"/>
    <x v="0"/>
    <x v="8"/>
    <x v="2"/>
    <x v="6"/>
    <x v="1"/>
  </r>
  <r>
    <s v="TX501016"/>
    <x v="2"/>
    <x v="12"/>
    <x v="623"/>
    <x v="873"/>
    <x v="39"/>
    <d v="2025-02-10T00:00:00"/>
    <x v="2"/>
    <x v="0"/>
    <x v="0"/>
    <x v="0"/>
    <x v="8"/>
    <x v="3"/>
    <x v="6"/>
    <x v="2"/>
  </r>
  <r>
    <s v="TX501017"/>
    <x v="1"/>
    <x v="7"/>
    <x v="81"/>
    <x v="874"/>
    <x v="39"/>
    <d v="2025-02-10T00:00:00"/>
    <x v="2"/>
    <x v="2"/>
    <x v="0"/>
    <x v="0"/>
    <x v="11"/>
    <x v="3"/>
    <x v="6"/>
    <x v="2"/>
  </r>
  <r>
    <s v="TX501018"/>
    <x v="6"/>
    <x v="15"/>
    <x v="211"/>
    <x v="875"/>
    <x v="39"/>
    <d v="2025-02-10T00:00:00"/>
    <x v="0"/>
    <x v="0"/>
    <x v="0"/>
    <x v="0"/>
    <x v="53"/>
    <x v="3"/>
    <x v="6"/>
    <x v="0"/>
  </r>
  <r>
    <s v="TX501019"/>
    <x v="12"/>
    <x v="20"/>
    <x v="624"/>
    <x v="876"/>
    <x v="39"/>
    <d v="2025-02-11T00:00:00"/>
    <x v="2"/>
    <x v="1"/>
    <x v="1"/>
    <x v="0"/>
    <x v="53"/>
    <x v="1"/>
    <x v="6"/>
    <x v="2"/>
  </r>
  <r>
    <s v="TX501020"/>
    <x v="8"/>
    <x v="11"/>
    <x v="625"/>
    <x v="877"/>
    <x v="39"/>
    <d v="2025-02-13T00:00:00"/>
    <x v="1"/>
    <x v="2"/>
    <x v="2"/>
    <x v="0"/>
    <x v="19"/>
    <x v="5"/>
    <x v="6"/>
    <x v="1"/>
  </r>
  <r>
    <s v="TX501021"/>
    <x v="2"/>
    <x v="2"/>
    <x v="626"/>
    <x v="878"/>
    <x v="40"/>
    <d v="2025-02-17T00:00:00"/>
    <x v="2"/>
    <x v="2"/>
    <x v="1"/>
    <x v="0"/>
    <x v="19"/>
    <x v="6"/>
    <x v="6"/>
    <x v="2"/>
  </r>
  <r>
    <s v="TX501022"/>
    <x v="8"/>
    <x v="0"/>
    <x v="627"/>
    <x v="879"/>
    <x v="40"/>
    <d v="2025-02-12T00:00:00"/>
    <x v="1"/>
    <x v="2"/>
    <x v="2"/>
    <x v="0"/>
    <x v="21"/>
    <x v="1"/>
    <x v="6"/>
    <x v="1"/>
  </r>
  <r>
    <s v="TX501023"/>
    <x v="6"/>
    <x v="3"/>
    <x v="534"/>
    <x v="880"/>
    <x v="40"/>
    <d v="2025-02-12T00:00:00"/>
    <x v="1"/>
    <x v="2"/>
    <x v="0"/>
    <x v="0"/>
    <x v="21"/>
    <x v="1"/>
    <x v="6"/>
    <x v="1"/>
  </r>
  <r>
    <s v="TX501024"/>
    <x v="6"/>
    <x v="1"/>
    <x v="628"/>
    <x v="881"/>
    <x v="40"/>
    <d v="2025-02-10T00:00:00"/>
    <x v="1"/>
    <x v="0"/>
    <x v="2"/>
    <x v="0"/>
    <x v="22"/>
    <x v="7"/>
    <x v="6"/>
    <x v="1"/>
  </r>
  <r>
    <s v="TX501025"/>
    <x v="1"/>
    <x v="1"/>
    <x v="629"/>
    <x v="882"/>
    <x v="40"/>
    <d v="2025-02-11T00:00:00"/>
    <x v="2"/>
    <x v="1"/>
    <x v="0"/>
    <x v="0"/>
    <x v="3"/>
    <x v="3"/>
    <x v="6"/>
    <x v="2"/>
  </r>
  <r>
    <s v="TX501026"/>
    <x v="0"/>
    <x v="9"/>
    <x v="208"/>
    <x v="883"/>
    <x v="40"/>
    <d v="2025-02-14T00:00:00"/>
    <x v="2"/>
    <x v="2"/>
    <x v="1"/>
    <x v="0"/>
    <x v="3"/>
    <x v="5"/>
    <x v="6"/>
    <x v="2"/>
  </r>
  <r>
    <s v="TX501027"/>
    <x v="0"/>
    <x v="2"/>
    <x v="208"/>
    <x v="884"/>
    <x v="40"/>
    <d v="2025-02-13T00:00:00"/>
    <x v="2"/>
    <x v="2"/>
    <x v="0"/>
    <x v="0"/>
    <x v="3"/>
    <x v="2"/>
    <x v="6"/>
    <x v="2"/>
  </r>
  <r>
    <s v="TX501028"/>
    <x v="1"/>
    <x v="0"/>
    <x v="619"/>
    <x v="860"/>
    <x v="40"/>
    <d v="2025-02-15T00:00:00"/>
    <x v="2"/>
    <x v="0"/>
    <x v="0"/>
    <x v="0"/>
    <x v="3"/>
    <x v="0"/>
    <x v="6"/>
    <x v="2"/>
  </r>
  <r>
    <s v="TX501029"/>
    <x v="10"/>
    <x v="2"/>
    <x v="590"/>
    <x v="802"/>
    <x v="40"/>
    <d v="2025-02-15T00:00:00"/>
    <x v="2"/>
    <x v="0"/>
    <x v="0"/>
    <x v="0"/>
    <x v="3"/>
    <x v="0"/>
    <x v="6"/>
    <x v="2"/>
  </r>
  <r>
    <s v="TX501030"/>
    <x v="6"/>
    <x v="1"/>
    <x v="420"/>
    <x v="885"/>
    <x v="40"/>
    <d v="2025-02-11T00:00:00"/>
    <x v="1"/>
    <x v="2"/>
    <x v="2"/>
    <x v="0"/>
    <x v="3"/>
    <x v="3"/>
    <x v="6"/>
    <x v="1"/>
  </r>
  <r>
    <s v="TX501031"/>
    <x v="10"/>
    <x v="1"/>
    <x v="630"/>
    <x v="886"/>
    <x v="40"/>
    <d v="2025-02-11T00:00:00"/>
    <x v="2"/>
    <x v="0"/>
    <x v="1"/>
    <x v="0"/>
    <x v="3"/>
    <x v="3"/>
    <x v="6"/>
    <x v="2"/>
  </r>
  <r>
    <s v="TX501032"/>
    <x v="5"/>
    <x v="9"/>
    <x v="411"/>
    <x v="887"/>
    <x v="40"/>
    <d v="2025-02-17T00:00:00"/>
    <x v="1"/>
    <x v="0"/>
    <x v="2"/>
    <x v="0"/>
    <x v="3"/>
    <x v="6"/>
    <x v="6"/>
    <x v="1"/>
  </r>
  <r>
    <s v="TX501033"/>
    <x v="8"/>
    <x v="9"/>
    <x v="631"/>
    <x v="888"/>
    <x v="40"/>
    <d v="2025-02-14T00:00:00"/>
    <x v="2"/>
    <x v="0"/>
    <x v="2"/>
    <x v="0"/>
    <x v="3"/>
    <x v="5"/>
    <x v="6"/>
    <x v="2"/>
  </r>
  <r>
    <s v="TX501034"/>
    <x v="6"/>
    <x v="2"/>
    <x v="215"/>
    <x v="889"/>
    <x v="40"/>
    <d v="2025-02-14T00:00:00"/>
    <x v="0"/>
    <x v="0"/>
    <x v="2"/>
    <x v="0"/>
    <x v="3"/>
    <x v="5"/>
    <x v="6"/>
    <x v="0"/>
  </r>
  <r>
    <s v="TX501035"/>
    <x v="2"/>
    <x v="2"/>
    <x v="285"/>
    <x v="890"/>
    <x v="40"/>
    <d v="2025-02-11T00:00:00"/>
    <x v="2"/>
    <x v="4"/>
    <x v="0"/>
    <x v="0"/>
    <x v="3"/>
    <x v="3"/>
    <x v="6"/>
    <x v="2"/>
  </r>
  <r>
    <s v="TX501036"/>
    <x v="4"/>
    <x v="1"/>
    <x v="504"/>
    <x v="891"/>
    <x v="40"/>
    <d v="2025-02-11T00:00:00"/>
    <x v="1"/>
    <x v="2"/>
    <x v="2"/>
    <x v="0"/>
    <x v="43"/>
    <x v="3"/>
    <x v="6"/>
    <x v="1"/>
  </r>
  <r>
    <s v="TX501037"/>
    <x v="4"/>
    <x v="9"/>
    <x v="205"/>
    <x v="892"/>
    <x v="40"/>
    <d v="2025-02-11T00:00:00"/>
    <x v="1"/>
    <x v="4"/>
    <x v="2"/>
    <x v="0"/>
    <x v="25"/>
    <x v="3"/>
    <x v="6"/>
    <x v="1"/>
  </r>
  <r>
    <s v="TX501038"/>
    <x v="13"/>
    <x v="13"/>
    <x v="538"/>
    <x v="893"/>
    <x v="40"/>
    <d v="2025-02-13T00:00:00"/>
    <x v="2"/>
    <x v="0"/>
    <x v="1"/>
    <x v="0"/>
    <x v="6"/>
    <x v="2"/>
    <x v="6"/>
    <x v="2"/>
  </r>
  <r>
    <s v="TX501039"/>
    <x v="6"/>
    <x v="8"/>
    <x v="443"/>
    <x v="894"/>
    <x v="40"/>
    <d v="2025-02-12T00:00:00"/>
    <x v="2"/>
    <x v="0"/>
    <x v="2"/>
    <x v="0"/>
    <x v="6"/>
    <x v="1"/>
    <x v="6"/>
    <x v="2"/>
  </r>
  <r>
    <s v="TX501040"/>
    <x v="8"/>
    <x v="8"/>
    <x v="632"/>
    <x v="895"/>
    <x v="40"/>
    <d v="2025-02-12T00:00:00"/>
    <x v="1"/>
    <x v="0"/>
    <x v="0"/>
    <x v="0"/>
    <x v="36"/>
    <x v="1"/>
    <x v="6"/>
    <x v="1"/>
  </r>
  <r>
    <s v="TX501041"/>
    <x v="18"/>
    <x v="2"/>
    <x v="633"/>
    <x v="896"/>
    <x v="40"/>
    <d v="2025-02-11T00:00:00"/>
    <x v="0"/>
    <x v="2"/>
    <x v="1"/>
    <x v="0"/>
    <x v="7"/>
    <x v="3"/>
    <x v="6"/>
    <x v="0"/>
  </r>
  <r>
    <s v="TX501042"/>
    <x v="17"/>
    <x v="12"/>
    <x v="275"/>
    <x v="897"/>
    <x v="40"/>
    <d v="2025-02-17T00:00:00"/>
    <x v="2"/>
    <x v="1"/>
    <x v="0"/>
    <x v="0"/>
    <x v="7"/>
    <x v="6"/>
    <x v="6"/>
    <x v="2"/>
  </r>
  <r>
    <s v="TX501043"/>
    <x v="0"/>
    <x v="12"/>
    <x v="436"/>
    <x v="799"/>
    <x v="40"/>
    <d v="2025-02-11T00:00:00"/>
    <x v="1"/>
    <x v="1"/>
    <x v="0"/>
    <x v="0"/>
    <x v="7"/>
    <x v="3"/>
    <x v="6"/>
    <x v="1"/>
  </r>
  <r>
    <s v="TX501044"/>
    <x v="2"/>
    <x v="0"/>
    <x v="282"/>
    <x v="898"/>
    <x v="40"/>
    <d v="2025-02-11T00:00:00"/>
    <x v="2"/>
    <x v="0"/>
    <x v="0"/>
    <x v="0"/>
    <x v="7"/>
    <x v="3"/>
    <x v="6"/>
    <x v="2"/>
  </r>
  <r>
    <s v="TX501045"/>
    <x v="4"/>
    <x v="1"/>
    <x v="273"/>
    <x v="538"/>
    <x v="40"/>
    <d v="2025-02-11T00:00:00"/>
    <x v="1"/>
    <x v="0"/>
    <x v="2"/>
    <x v="0"/>
    <x v="8"/>
    <x v="3"/>
    <x v="6"/>
    <x v="1"/>
  </r>
  <r>
    <s v="TX501046"/>
    <x v="9"/>
    <x v="15"/>
    <x v="438"/>
    <x v="899"/>
    <x v="40"/>
    <d v="2025-02-18T00:00:00"/>
    <x v="2"/>
    <x v="0"/>
    <x v="1"/>
    <x v="0"/>
    <x v="8"/>
    <x v="9"/>
    <x v="6"/>
    <x v="2"/>
  </r>
  <r>
    <s v="TX501047"/>
    <x v="8"/>
    <x v="9"/>
    <x v="601"/>
    <x v="900"/>
    <x v="40"/>
    <d v="2025-02-12T00:00:00"/>
    <x v="2"/>
    <x v="0"/>
    <x v="0"/>
    <x v="0"/>
    <x v="8"/>
    <x v="1"/>
    <x v="6"/>
    <x v="2"/>
  </r>
  <r>
    <s v="TX501048"/>
    <x v="2"/>
    <x v="12"/>
    <x v="634"/>
    <x v="901"/>
    <x v="40"/>
    <d v="2025-02-10T00:00:00"/>
    <x v="2"/>
    <x v="3"/>
    <x v="2"/>
    <x v="0"/>
    <x v="9"/>
    <x v="7"/>
    <x v="6"/>
    <x v="2"/>
  </r>
  <r>
    <s v="TX501049"/>
    <x v="3"/>
    <x v="0"/>
    <x v="635"/>
    <x v="902"/>
    <x v="41"/>
    <d v="2025-02-15T00:00:00"/>
    <x v="2"/>
    <x v="1"/>
    <x v="2"/>
    <x v="0"/>
    <x v="9"/>
    <x v="5"/>
    <x v="6"/>
    <x v="2"/>
  </r>
  <r>
    <s v="TX501050"/>
    <x v="6"/>
    <x v="0"/>
    <x v="636"/>
    <x v="903"/>
    <x v="41"/>
    <d v="2025-02-13T00:00:00"/>
    <x v="1"/>
    <x v="3"/>
    <x v="0"/>
    <x v="0"/>
    <x v="11"/>
    <x v="1"/>
    <x v="6"/>
    <x v="1"/>
  </r>
  <r>
    <s v="TX501051"/>
    <x v="11"/>
    <x v="12"/>
    <x v="168"/>
    <x v="904"/>
    <x v="41"/>
    <d v="2025-02-14T00:00:00"/>
    <x v="1"/>
    <x v="0"/>
    <x v="0"/>
    <x v="0"/>
    <x v="11"/>
    <x v="2"/>
    <x v="6"/>
    <x v="1"/>
  </r>
  <r>
    <s v="TX501052"/>
    <x v="4"/>
    <x v="9"/>
    <x v="217"/>
    <x v="905"/>
    <x v="41"/>
    <d v="2025-02-12T00:00:00"/>
    <x v="2"/>
    <x v="0"/>
    <x v="2"/>
    <x v="0"/>
    <x v="11"/>
    <x v="3"/>
    <x v="6"/>
    <x v="2"/>
  </r>
  <r>
    <s v="TX501053"/>
    <x v="16"/>
    <x v="2"/>
    <x v="193"/>
    <x v="209"/>
    <x v="41"/>
    <d v="2025-02-12T00:00:00"/>
    <x v="1"/>
    <x v="0"/>
    <x v="0"/>
    <x v="0"/>
    <x v="53"/>
    <x v="3"/>
    <x v="6"/>
    <x v="1"/>
  </r>
  <r>
    <s v="TX501054"/>
    <x v="2"/>
    <x v="13"/>
    <x v="637"/>
    <x v="906"/>
    <x v="41"/>
    <d v="2025-02-12T00:00:00"/>
    <x v="2"/>
    <x v="1"/>
    <x v="2"/>
    <x v="0"/>
    <x v="18"/>
    <x v="3"/>
    <x v="6"/>
    <x v="2"/>
  </r>
  <r>
    <s v="TX501055"/>
    <x v="12"/>
    <x v="2"/>
    <x v="638"/>
    <x v="907"/>
    <x v="41"/>
    <d v="2025-02-15T00:00:00"/>
    <x v="1"/>
    <x v="0"/>
    <x v="0"/>
    <x v="0"/>
    <x v="21"/>
    <x v="5"/>
    <x v="6"/>
    <x v="1"/>
  </r>
  <r>
    <s v="TX501056"/>
    <x v="8"/>
    <x v="0"/>
    <x v="17"/>
    <x v="547"/>
    <x v="41"/>
    <d v="2025-02-13T00:00:00"/>
    <x v="1"/>
    <x v="2"/>
    <x v="2"/>
    <x v="0"/>
    <x v="21"/>
    <x v="1"/>
    <x v="6"/>
    <x v="1"/>
  </r>
  <r>
    <s v="TX501057"/>
    <x v="9"/>
    <x v="1"/>
    <x v="79"/>
    <x v="855"/>
    <x v="41"/>
    <d v="2025-02-14T00:00:00"/>
    <x v="2"/>
    <x v="0"/>
    <x v="0"/>
    <x v="0"/>
    <x v="2"/>
    <x v="2"/>
    <x v="6"/>
    <x v="2"/>
  </r>
  <r>
    <s v="TX501058"/>
    <x v="18"/>
    <x v="3"/>
    <x v="4"/>
    <x v="908"/>
    <x v="41"/>
    <d v="2025-02-14T00:00:00"/>
    <x v="2"/>
    <x v="0"/>
    <x v="0"/>
    <x v="0"/>
    <x v="2"/>
    <x v="2"/>
    <x v="6"/>
    <x v="2"/>
  </r>
  <r>
    <s v="TX501059"/>
    <x v="9"/>
    <x v="15"/>
    <x v="409"/>
    <x v="909"/>
    <x v="41"/>
    <d v="2025-02-12T00:00:00"/>
    <x v="2"/>
    <x v="0"/>
    <x v="1"/>
    <x v="0"/>
    <x v="44"/>
    <x v="3"/>
    <x v="6"/>
    <x v="2"/>
  </r>
  <r>
    <s v="TX501060"/>
    <x v="15"/>
    <x v="10"/>
    <x v="582"/>
    <x v="910"/>
    <x v="41"/>
    <d v="2025-02-12T00:00:00"/>
    <x v="1"/>
    <x v="0"/>
    <x v="0"/>
    <x v="0"/>
    <x v="22"/>
    <x v="3"/>
    <x v="6"/>
    <x v="1"/>
  </r>
  <r>
    <s v="TX501061"/>
    <x v="18"/>
    <x v="1"/>
    <x v="224"/>
    <x v="266"/>
    <x v="41"/>
    <d v="2025-02-13T00:00:00"/>
    <x v="0"/>
    <x v="2"/>
    <x v="2"/>
    <x v="0"/>
    <x v="3"/>
    <x v="1"/>
    <x v="6"/>
    <x v="0"/>
  </r>
  <r>
    <s v="TX501062"/>
    <x v="15"/>
    <x v="13"/>
    <x v="298"/>
    <x v="911"/>
    <x v="41"/>
    <d v="2025-02-12T00:00:00"/>
    <x v="1"/>
    <x v="1"/>
    <x v="2"/>
    <x v="0"/>
    <x v="3"/>
    <x v="3"/>
    <x v="6"/>
    <x v="1"/>
  </r>
  <r>
    <s v="TX501063"/>
    <x v="13"/>
    <x v="4"/>
    <x v="639"/>
    <x v="896"/>
    <x v="41"/>
    <d v="2025-02-13T00:00:00"/>
    <x v="1"/>
    <x v="1"/>
    <x v="0"/>
    <x v="0"/>
    <x v="3"/>
    <x v="1"/>
    <x v="6"/>
    <x v="1"/>
  </r>
  <r>
    <s v="TX501064"/>
    <x v="8"/>
    <x v="14"/>
    <x v="421"/>
    <x v="912"/>
    <x v="41"/>
    <d v="2025-02-13T00:00:00"/>
    <x v="2"/>
    <x v="4"/>
    <x v="1"/>
    <x v="0"/>
    <x v="3"/>
    <x v="1"/>
    <x v="6"/>
    <x v="2"/>
  </r>
  <r>
    <s v="TX501065"/>
    <x v="8"/>
    <x v="31"/>
    <x v="601"/>
    <x v="913"/>
    <x v="41"/>
    <d v="2025-02-13T00:00:00"/>
    <x v="1"/>
    <x v="2"/>
    <x v="4"/>
    <x v="0"/>
    <x v="3"/>
    <x v="1"/>
    <x v="6"/>
    <x v="1"/>
  </r>
  <r>
    <s v="TX501066"/>
    <x v="18"/>
    <x v="1"/>
    <x v="459"/>
    <x v="793"/>
    <x v="41"/>
    <d v="2025-02-11T00:00:00"/>
    <x v="1"/>
    <x v="1"/>
    <x v="0"/>
    <x v="0"/>
    <x v="3"/>
    <x v="7"/>
    <x v="6"/>
    <x v="1"/>
  </r>
  <r>
    <s v="TX501067"/>
    <x v="2"/>
    <x v="1"/>
    <x v="640"/>
    <x v="914"/>
    <x v="41"/>
    <d v="2025-02-14T00:00:00"/>
    <x v="2"/>
    <x v="2"/>
    <x v="0"/>
    <x v="0"/>
    <x v="3"/>
    <x v="2"/>
    <x v="6"/>
    <x v="2"/>
  </r>
  <r>
    <s v="TX501068"/>
    <x v="12"/>
    <x v="2"/>
    <x v="641"/>
    <x v="915"/>
    <x v="41"/>
    <d v="2025-02-14T00:00:00"/>
    <x v="1"/>
    <x v="0"/>
    <x v="1"/>
    <x v="0"/>
    <x v="3"/>
    <x v="2"/>
    <x v="6"/>
    <x v="1"/>
  </r>
  <r>
    <s v="TX501069"/>
    <x v="9"/>
    <x v="1"/>
    <x v="163"/>
    <x v="634"/>
    <x v="41"/>
    <d v="2025-02-19T00:00:00"/>
    <x v="2"/>
    <x v="3"/>
    <x v="2"/>
    <x v="0"/>
    <x v="3"/>
    <x v="9"/>
    <x v="6"/>
    <x v="2"/>
  </r>
  <r>
    <s v="TX501070"/>
    <x v="8"/>
    <x v="0"/>
    <x v="38"/>
    <x v="38"/>
    <x v="41"/>
    <d v="2025-02-13T00:00:00"/>
    <x v="2"/>
    <x v="1"/>
    <x v="0"/>
    <x v="0"/>
    <x v="3"/>
    <x v="1"/>
    <x v="6"/>
    <x v="2"/>
  </r>
  <r>
    <s v="TX501071"/>
    <x v="7"/>
    <x v="9"/>
    <x v="346"/>
    <x v="916"/>
    <x v="41"/>
    <d v="2025-02-13T00:00:00"/>
    <x v="1"/>
    <x v="2"/>
    <x v="4"/>
    <x v="0"/>
    <x v="3"/>
    <x v="1"/>
    <x v="6"/>
    <x v="1"/>
  </r>
  <r>
    <s v="TX501072"/>
    <x v="1"/>
    <x v="13"/>
    <x v="642"/>
    <x v="917"/>
    <x v="41"/>
    <d v="2025-02-14T00:00:00"/>
    <x v="2"/>
    <x v="3"/>
    <x v="0"/>
    <x v="0"/>
    <x v="24"/>
    <x v="2"/>
    <x v="6"/>
    <x v="2"/>
  </r>
  <r>
    <s v="TX501073"/>
    <x v="3"/>
    <x v="1"/>
    <x v="204"/>
    <x v="918"/>
    <x v="41"/>
    <d v="2025-02-14T00:00:00"/>
    <x v="1"/>
    <x v="1"/>
    <x v="1"/>
    <x v="0"/>
    <x v="6"/>
    <x v="2"/>
    <x v="6"/>
    <x v="1"/>
  </r>
  <r>
    <s v="TX501074"/>
    <x v="8"/>
    <x v="39"/>
    <x v="57"/>
    <x v="919"/>
    <x v="41"/>
    <d v="2025-02-25T00:00:00"/>
    <x v="1"/>
    <x v="1"/>
    <x v="2"/>
    <x v="0"/>
    <x v="6"/>
    <x v="12"/>
    <x v="6"/>
    <x v="1"/>
  </r>
  <r>
    <s v="TX501075"/>
    <x v="2"/>
    <x v="12"/>
    <x v="643"/>
    <x v="920"/>
    <x v="42"/>
    <d v="2025-02-12T00:00:00"/>
    <x v="1"/>
    <x v="2"/>
    <x v="4"/>
    <x v="0"/>
    <x v="6"/>
    <x v="7"/>
    <x v="6"/>
    <x v="1"/>
  </r>
  <r>
    <s v="TX501076"/>
    <x v="2"/>
    <x v="13"/>
    <x v="618"/>
    <x v="921"/>
    <x v="42"/>
    <d v="2025-02-13T00:00:00"/>
    <x v="1"/>
    <x v="0"/>
    <x v="0"/>
    <x v="0"/>
    <x v="8"/>
    <x v="3"/>
    <x v="6"/>
    <x v="1"/>
  </r>
  <r>
    <s v="TX501077"/>
    <x v="6"/>
    <x v="2"/>
    <x v="330"/>
    <x v="922"/>
    <x v="42"/>
    <d v="2025-02-13T00:00:00"/>
    <x v="1"/>
    <x v="2"/>
    <x v="1"/>
    <x v="0"/>
    <x v="8"/>
    <x v="3"/>
    <x v="6"/>
    <x v="1"/>
  </r>
  <r>
    <s v="TX501078"/>
    <x v="5"/>
    <x v="0"/>
    <x v="644"/>
    <x v="923"/>
    <x v="42"/>
    <d v="2025-02-17T00:00:00"/>
    <x v="1"/>
    <x v="0"/>
    <x v="1"/>
    <x v="0"/>
    <x v="17"/>
    <x v="0"/>
    <x v="6"/>
    <x v="1"/>
  </r>
  <r>
    <s v="TX501079"/>
    <x v="2"/>
    <x v="2"/>
    <x v="645"/>
    <x v="924"/>
    <x v="42"/>
    <d v="2025-02-12T00:00:00"/>
    <x v="1"/>
    <x v="4"/>
    <x v="2"/>
    <x v="0"/>
    <x v="17"/>
    <x v="7"/>
    <x v="6"/>
    <x v="1"/>
  </r>
  <r>
    <s v="TX501080"/>
    <x v="15"/>
    <x v="2"/>
    <x v="646"/>
    <x v="925"/>
    <x v="42"/>
    <d v="2025-02-13T00:00:00"/>
    <x v="1"/>
    <x v="3"/>
    <x v="1"/>
    <x v="0"/>
    <x v="11"/>
    <x v="3"/>
    <x v="6"/>
    <x v="1"/>
  </r>
  <r>
    <s v="TX501081"/>
    <x v="10"/>
    <x v="9"/>
    <x v="647"/>
    <x v="926"/>
    <x v="42"/>
    <d v="2025-02-14T00:00:00"/>
    <x v="2"/>
    <x v="0"/>
    <x v="0"/>
    <x v="0"/>
    <x v="11"/>
    <x v="1"/>
    <x v="6"/>
    <x v="2"/>
  </r>
  <r>
    <s v="TX501082"/>
    <x v="9"/>
    <x v="1"/>
    <x v="402"/>
    <x v="305"/>
    <x v="42"/>
    <d v="2025-02-14T00:00:00"/>
    <x v="2"/>
    <x v="1"/>
    <x v="2"/>
    <x v="0"/>
    <x v="20"/>
    <x v="1"/>
    <x v="6"/>
    <x v="2"/>
  </r>
  <r>
    <s v="TX501083"/>
    <x v="10"/>
    <x v="9"/>
    <x v="38"/>
    <x v="927"/>
    <x v="42"/>
    <d v="2025-02-14T00:00:00"/>
    <x v="2"/>
    <x v="0"/>
    <x v="0"/>
    <x v="0"/>
    <x v="52"/>
    <x v="1"/>
    <x v="6"/>
    <x v="2"/>
  </r>
  <r>
    <s v="TX501084"/>
    <x v="5"/>
    <x v="0"/>
    <x v="165"/>
    <x v="928"/>
    <x v="42"/>
    <d v="2025-02-13T00:00:00"/>
    <x v="2"/>
    <x v="4"/>
    <x v="1"/>
    <x v="0"/>
    <x v="13"/>
    <x v="3"/>
    <x v="6"/>
    <x v="2"/>
  </r>
  <r>
    <s v="TX501085"/>
    <x v="16"/>
    <x v="4"/>
    <x v="138"/>
    <x v="929"/>
    <x v="42"/>
    <d v="2025-02-13T00:00:00"/>
    <x v="2"/>
    <x v="0"/>
    <x v="0"/>
    <x v="0"/>
    <x v="21"/>
    <x v="3"/>
    <x v="6"/>
    <x v="2"/>
  </r>
  <r>
    <s v="TX501086"/>
    <x v="7"/>
    <x v="7"/>
    <x v="395"/>
    <x v="930"/>
    <x v="42"/>
    <d v="2025-02-14T00:00:00"/>
    <x v="2"/>
    <x v="1"/>
    <x v="4"/>
    <x v="0"/>
    <x v="21"/>
    <x v="1"/>
    <x v="6"/>
    <x v="2"/>
  </r>
  <r>
    <s v="TX501087"/>
    <x v="2"/>
    <x v="1"/>
    <x v="648"/>
    <x v="931"/>
    <x v="42"/>
    <d v="2025-02-14T00:00:00"/>
    <x v="2"/>
    <x v="0"/>
    <x v="1"/>
    <x v="0"/>
    <x v="46"/>
    <x v="1"/>
    <x v="6"/>
    <x v="2"/>
  </r>
  <r>
    <s v="TX501088"/>
    <x v="6"/>
    <x v="1"/>
    <x v="471"/>
    <x v="932"/>
    <x v="42"/>
    <d v="2025-02-15T00:00:00"/>
    <x v="1"/>
    <x v="2"/>
    <x v="0"/>
    <x v="0"/>
    <x v="22"/>
    <x v="2"/>
    <x v="6"/>
    <x v="1"/>
  </r>
  <r>
    <s v="TX501089"/>
    <x v="7"/>
    <x v="1"/>
    <x v="214"/>
    <x v="311"/>
    <x v="42"/>
    <d v="2025-02-14T00:00:00"/>
    <x v="2"/>
    <x v="1"/>
    <x v="1"/>
    <x v="0"/>
    <x v="34"/>
    <x v="1"/>
    <x v="6"/>
    <x v="2"/>
  </r>
  <r>
    <s v="TX501090"/>
    <x v="0"/>
    <x v="1"/>
    <x v="365"/>
    <x v="933"/>
    <x v="42"/>
    <d v="2025-02-14T00:00:00"/>
    <x v="1"/>
    <x v="3"/>
    <x v="1"/>
    <x v="0"/>
    <x v="3"/>
    <x v="1"/>
    <x v="6"/>
    <x v="1"/>
  </r>
  <r>
    <s v="TX501091"/>
    <x v="2"/>
    <x v="28"/>
    <x v="649"/>
    <x v="934"/>
    <x v="42"/>
    <d v="2025-02-13T00:00:00"/>
    <x v="0"/>
    <x v="1"/>
    <x v="4"/>
    <x v="0"/>
    <x v="3"/>
    <x v="3"/>
    <x v="6"/>
    <x v="0"/>
  </r>
  <r>
    <s v="TX501092"/>
    <x v="2"/>
    <x v="2"/>
    <x v="650"/>
    <x v="935"/>
    <x v="42"/>
    <d v="2025-02-13T00:00:00"/>
    <x v="2"/>
    <x v="1"/>
    <x v="4"/>
    <x v="0"/>
    <x v="3"/>
    <x v="3"/>
    <x v="6"/>
    <x v="2"/>
  </r>
  <r>
    <s v="TX501093"/>
    <x v="18"/>
    <x v="0"/>
    <x v="651"/>
    <x v="936"/>
    <x v="42"/>
    <d v="2025-02-17T00:00:00"/>
    <x v="2"/>
    <x v="0"/>
    <x v="2"/>
    <x v="0"/>
    <x v="3"/>
    <x v="0"/>
    <x v="6"/>
    <x v="2"/>
  </r>
  <r>
    <s v="TX501094"/>
    <x v="0"/>
    <x v="1"/>
    <x v="136"/>
    <x v="937"/>
    <x v="42"/>
    <d v="2025-02-26T00:00:00"/>
    <x v="1"/>
    <x v="2"/>
    <x v="0"/>
    <x v="0"/>
    <x v="3"/>
    <x v="12"/>
    <x v="6"/>
    <x v="1"/>
  </r>
  <r>
    <s v="TX501095"/>
    <x v="17"/>
    <x v="2"/>
    <x v="182"/>
    <x v="824"/>
    <x v="42"/>
    <d v="2025-02-14T00:00:00"/>
    <x v="2"/>
    <x v="0"/>
    <x v="0"/>
    <x v="0"/>
    <x v="24"/>
    <x v="1"/>
    <x v="6"/>
    <x v="2"/>
  </r>
  <r>
    <s v="TX501096"/>
    <x v="1"/>
    <x v="0"/>
    <x v="125"/>
    <x v="938"/>
    <x v="42"/>
    <d v="2025-02-15T00:00:00"/>
    <x v="2"/>
    <x v="3"/>
    <x v="2"/>
    <x v="0"/>
    <x v="6"/>
    <x v="2"/>
    <x v="6"/>
    <x v="2"/>
  </r>
  <r>
    <s v="TX501097"/>
    <x v="15"/>
    <x v="3"/>
    <x v="32"/>
    <x v="549"/>
    <x v="42"/>
    <d v="2025-02-13T00:00:00"/>
    <x v="2"/>
    <x v="0"/>
    <x v="0"/>
    <x v="0"/>
    <x v="6"/>
    <x v="3"/>
    <x v="6"/>
    <x v="2"/>
  </r>
  <r>
    <s v="TX501098"/>
    <x v="7"/>
    <x v="1"/>
    <x v="352"/>
    <x v="939"/>
    <x v="43"/>
    <d v="2025-02-14T00:00:00"/>
    <x v="1"/>
    <x v="3"/>
    <x v="0"/>
    <x v="0"/>
    <x v="36"/>
    <x v="3"/>
    <x v="6"/>
    <x v="1"/>
  </r>
  <r>
    <s v="TX501099"/>
    <x v="9"/>
    <x v="12"/>
    <x v="551"/>
    <x v="416"/>
    <x v="43"/>
    <d v="2025-02-15T00:00:00"/>
    <x v="2"/>
    <x v="0"/>
    <x v="0"/>
    <x v="0"/>
    <x v="8"/>
    <x v="1"/>
    <x v="6"/>
    <x v="2"/>
  </r>
  <r>
    <s v="TX501100"/>
    <x v="2"/>
    <x v="0"/>
    <x v="652"/>
    <x v="388"/>
    <x v="43"/>
    <d v="2025-02-14T00:00:00"/>
    <x v="2"/>
    <x v="3"/>
    <x v="2"/>
    <x v="0"/>
    <x v="8"/>
    <x v="3"/>
    <x v="6"/>
    <x v="2"/>
  </r>
  <r>
    <s v="TX501101"/>
    <x v="10"/>
    <x v="0"/>
    <x v="614"/>
    <x v="940"/>
    <x v="43"/>
    <d v="2025-02-16T00:00:00"/>
    <x v="2"/>
    <x v="0"/>
    <x v="2"/>
    <x v="0"/>
    <x v="8"/>
    <x v="2"/>
    <x v="6"/>
    <x v="2"/>
  </r>
  <r>
    <s v="TX501102"/>
    <x v="11"/>
    <x v="13"/>
    <x v="454"/>
    <x v="941"/>
    <x v="43"/>
    <d v="2025-02-15T00:00:00"/>
    <x v="1"/>
    <x v="1"/>
    <x v="4"/>
    <x v="0"/>
    <x v="8"/>
    <x v="1"/>
    <x v="6"/>
    <x v="1"/>
  </r>
  <r>
    <s v="TX501103"/>
    <x v="18"/>
    <x v="8"/>
    <x v="11"/>
    <x v="942"/>
    <x v="43"/>
    <d v="2025-02-14T00:00:00"/>
    <x v="0"/>
    <x v="2"/>
    <x v="1"/>
    <x v="0"/>
    <x v="9"/>
    <x v="3"/>
    <x v="6"/>
    <x v="0"/>
  </r>
  <r>
    <s v="TX501104"/>
    <x v="1"/>
    <x v="12"/>
    <x v="653"/>
    <x v="943"/>
    <x v="43"/>
    <d v="2025-02-13T00:00:00"/>
    <x v="2"/>
    <x v="0"/>
    <x v="0"/>
    <x v="0"/>
    <x v="9"/>
    <x v="7"/>
    <x v="6"/>
    <x v="2"/>
  </r>
  <r>
    <s v="TX501105"/>
    <x v="3"/>
    <x v="0"/>
    <x v="654"/>
    <x v="480"/>
    <x v="43"/>
    <d v="2025-02-16T00:00:00"/>
    <x v="1"/>
    <x v="3"/>
    <x v="0"/>
    <x v="0"/>
    <x v="11"/>
    <x v="2"/>
    <x v="6"/>
    <x v="1"/>
  </r>
  <r>
    <s v="TX501106"/>
    <x v="19"/>
    <x v="1"/>
    <x v="655"/>
    <x v="944"/>
    <x v="43"/>
    <d v="2025-02-14T00:00:00"/>
    <x v="3"/>
    <x v="0"/>
    <x v="2"/>
    <x v="0"/>
    <x v="11"/>
    <x v="3"/>
    <x v="6"/>
    <x v="3"/>
  </r>
  <r>
    <s v="TX501107"/>
    <x v="8"/>
    <x v="1"/>
    <x v="595"/>
    <x v="945"/>
    <x v="43"/>
    <d v="2025-02-14T00:00:00"/>
    <x v="1"/>
    <x v="2"/>
    <x v="2"/>
    <x v="0"/>
    <x v="53"/>
    <x v="3"/>
    <x v="6"/>
    <x v="1"/>
  </r>
  <r>
    <s v="TX501108"/>
    <x v="15"/>
    <x v="1"/>
    <x v="570"/>
    <x v="863"/>
    <x v="43"/>
    <d v="2025-02-18T00:00:00"/>
    <x v="2"/>
    <x v="0"/>
    <x v="0"/>
    <x v="0"/>
    <x v="21"/>
    <x v="0"/>
    <x v="6"/>
    <x v="2"/>
  </r>
  <r>
    <s v="TX501109"/>
    <x v="11"/>
    <x v="13"/>
    <x v="280"/>
    <x v="946"/>
    <x v="43"/>
    <d v="2025-02-14T00:00:00"/>
    <x v="2"/>
    <x v="2"/>
    <x v="0"/>
    <x v="0"/>
    <x v="21"/>
    <x v="3"/>
    <x v="6"/>
    <x v="2"/>
  </r>
  <r>
    <s v="TX501110"/>
    <x v="6"/>
    <x v="9"/>
    <x v="586"/>
    <x v="947"/>
    <x v="43"/>
    <d v="2025-02-16T00:00:00"/>
    <x v="2"/>
    <x v="4"/>
    <x v="2"/>
    <x v="0"/>
    <x v="21"/>
    <x v="2"/>
    <x v="6"/>
    <x v="2"/>
  </r>
  <r>
    <s v="TX501111"/>
    <x v="0"/>
    <x v="11"/>
    <x v="143"/>
    <x v="948"/>
    <x v="43"/>
    <d v="2025-02-15T00:00:00"/>
    <x v="1"/>
    <x v="4"/>
    <x v="2"/>
    <x v="0"/>
    <x v="21"/>
    <x v="1"/>
    <x v="6"/>
    <x v="1"/>
  </r>
  <r>
    <s v="TX501112"/>
    <x v="2"/>
    <x v="0"/>
    <x v="656"/>
    <x v="949"/>
    <x v="43"/>
    <d v="2025-02-16T00:00:00"/>
    <x v="3"/>
    <x v="0"/>
    <x v="2"/>
    <x v="0"/>
    <x v="1"/>
    <x v="2"/>
    <x v="6"/>
    <x v="3"/>
  </r>
  <r>
    <s v="TX501113"/>
    <x v="4"/>
    <x v="3"/>
    <x v="409"/>
    <x v="950"/>
    <x v="43"/>
    <d v="2025-02-14T00:00:00"/>
    <x v="2"/>
    <x v="0"/>
    <x v="0"/>
    <x v="0"/>
    <x v="42"/>
    <x v="3"/>
    <x v="6"/>
    <x v="2"/>
  </r>
  <r>
    <s v="TX501114"/>
    <x v="8"/>
    <x v="7"/>
    <x v="423"/>
    <x v="951"/>
    <x v="43"/>
    <d v="2025-02-20T00:00:00"/>
    <x v="2"/>
    <x v="0"/>
    <x v="0"/>
    <x v="0"/>
    <x v="33"/>
    <x v="6"/>
    <x v="6"/>
    <x v="2"/>
  </r>
  <r>
    <s v="TX501115"/>
    <x v="17"/>
    <x v="2"/>
    <x v="139"/>
    <x v="952"/>
    <x v="43"/>
    <d v="2025-02-17T00:00:00"/>
    <x v="2"/>
    <x v="0"/>
    <x v="2"/>
    <x v="0"/>
    <x v="3"/>
    <x v="5"/>
    <x v="6"/>
    <x v="2"/>
  </r>
  <r>
    <s v="TX501116"/>
    <x v="5"/>
    <x v="8"/>
    <x v="336"/>
    <x v="77"/>
    <x v="43"/>
    <d v="2025-02-16T00:00:00"/>
    <x v="2"/>
    <x v="2"/>
    <x v="0"/>
    <x v="0"/>
    <x v="3"/>
    <x v="2"/>
    <x v="6"/>
    <x v="2"/>
  </r>
  <r>
    <s v="TX501117"/>
    <x v="5"/>
    <x v="9"/>
    <x v="657"/>
    <x v="953"/>
    <x v="43"/>
    <d v="2025-02-14T00:00:00"/>
    <x v="2"/>
    <x v="0"/>
    <x v="0"/>
    <x v="0"/>
    <x v="3"/>
    <x v="3"/>
    <x v="6"/>
    <x v="2"/>
  </r>
  <r>
    <s v="TX501118"/>
    <x v="6"/>
    <x v="0"/>
    <x v="424"/>
    <x v="954"/>
    <x v="43"/>
    <d v="2025-02-13T00:00:00"/>
    <x v="2"/>
    <x v="0"/>
    <x v="0"/>
    <x v="0"/>
    <x v="3"/>
    <x v="7"/>
    <x v="6"/>
    <x v="2"/>
  </r>
  <r>
    <s v="TX501119"/>
    <x v="0"/>
    <x v="9"/>
    <x v="23"/>
    <x v="955"/>
    <x v="43"/>
    <d v="2025-02-16T00:00:00"/>
    <x v="2"/>
    <x v="0"/>
    <x v="2"/>
    <x v="0"/>
    <x v="3"/>
    <x v="2"/>
    <x v="6"/>
    <x v="2"/>
  </r>
  <r>
    <s v="TX501120"/>
    <x v="12"/>
    <x v="1"/>
    <x v="658"/>
    <x v="540"/>
    <x v="43"/>
    <d v="2025-02-14T00:00:00"/>
    <x v="2"/>
    <x v="1"/>
    <x v="1"/>
    <x v="0"/>
    <x v="3"/>
    <x v="3"/>
    <x v="6"/>
    <x v="2"/>
  </r>
  <r>
    <s v="TX501121"/>
    <x v="7"/>
    <x v="2"/>
    <x v="659"/>
    <x v="956"/>
    <x v="44"/>
    <d v="2025-02-16T00:00:00"/>
    <x v="2"/>
    <x v="0"/>
    <x v="0"/>
    <x v="0"/>
    <x v="3"/>
    <x v="1"/>
    <x v="6"/>
    <x v="2"/>
  </r>
  <r>
    <s v="TX501122"/>
    <x v="4"/>
    <x v="2"/>
    <x v="545"/>
    <x v="717"/>
    <x v="44"/>
    <d v="2025-02-17T00:00:00"/>
    <x v="1"/>
    <x v="2"/>
    <x v="4"/>
    <x v="0"/>
    <x v="3"/>
    <x v="2"/>
    <x v="6"/>
    <x v="1"/>
  </r>
  <r>
    <s v="TX501123"/>
    <x v="0"/>
    <x v="2"/>
    <x v="468"/>
    <x v="957"/>
    <x v="44"/>
    <d v="2025-02-16T00:00:00"/>
    <x v="2"/>
    <x v="4"/>
    <x v="2"/>
    <x v="0"/>
    <x v="3"/>
    <x v="1"/>
    <x v="6"/>
    <x v="2"/>
  </r>
  <r>
    <s v="TX501124"/>
    <x v="0"/>
    <x v="1"/>
    <x v="398"/>
    <x v="109"/>
    <x v="44"/>
    <d v="2025-02-15T00:00:00"/>
    <x v="1"/>
    <x v="1"/>
    <x v="1"/>
    <x v="0"/>
    <x v="49"/>
    <x v="3"/>
    <x v="6"/>
    <x v="1"/>
  </r>
  <r>
    <s v="TX501125"/>
    <x v="15"/>
    <x v="12"/>
    <x v="660"/>
    <x v="958"/>
    <x v="44"/>
    <d v="2025-02-15T00:00:00"/>
    <x v="2"/>
    <x v="2"/>
    <x v="0"/>
    <x v="0"/>
    <x v="23"/>
    <x v="3"/>
    <x v="6"/>
    <x v="2"/>
  </r>
  <r>
    <s v="TX501126"/>
    <x v="9"/>
    <x v="1"/>
    <x v="661"/>
    <x v="959"/>
    <x v="44"/>
    <d v="2025-02-18T00:00:00"/>
    <x v="2"/>
    <x v="0"/>
    <x v="0"/>
    <x v="0"/>
    <x v="6"/>
    <x v="5"/>
    <x v="6"/>
    <x v="2"/>
  </r>
  <r>
    <s v="TX501127"/>
    <x v="15"/>
    <x v="8"/>
    <x v="195"/>
    <x v="960"/>
    <x v="44"/>
    <d v="2025-02-15T00:00:00"/>
    <x v="2"/>
    <x v="1"/>
    <x v="0"/>
    <x v="0"/>
    <x v="6"/>
    <x v="3"/>
    <x v="6"/>
    <x v="2"/>
  </r>
  <r>
    <s v="TX501128"/>
    <x v="6"/>
    <x v="2"/>
    <x v="603"/>
    <x v="961"/>
    <x v="44"/>
    <d v="2025-02-15T00:00:00"/>
    <x v="2"/>
    <x v="3"/>
    <x v="2"/>
    <x v="0"/>
    <x v="8"/>
    <x v="3"/>
    <x v="6"/>
    <x v="2"/>
  </r>
  <r>
    <s v="TX501129"/>
    <x v="12"/>
    <x v="0"/>
    <x v="357"/>
    <x v="962"/>
    <x v="44"/>
    <d v="2025-02-18T00:00:00"/>
    <x v="2"/>
    <x v="4"/>
    <x v="0"/>
    <x v="0"/>
    <x v="8"/>
    <x v="5"/>
    <x v="6"/>
    <x v="2"/>
  </r>
  <r>
    <s v="TX501130"/>
    <x v="8"/>
    <x v="8"/>
    <x v="266"/>
    <x v="963"/>
    <x v="44"/>
    <d v="2025-02-27T00:00:00"/>
    <x v="2"/>
    <x v="0"/>
    <x v="0"/>
    <x v="0"/>
    <x v="8"/>
    <x v="10"/>
    <x v="6"/>
    <x v="2"/>
  </r>
  <r>
    <s v="TX501131"/>
    <x v="9"/>
    <x v="0"/>
    <x v="147"/>
    <x v="964"/>
    <x v="44"/>
    <d v="2025-02-15T00:00:00"/>
    <x v="2"/>
    <x v="1"/>
    <x v="0"/>
    <x v="0"/>
    <x v="8"/>
    <x v="3"/>
    <x v="6"/>
    <x v="2"/>
  </r>
  <r>
    <s v="TX501132"/>
    <x v="6"/>
    <x v="0"/>
    <x v="492"/>
    <x v="965"/>
    <x v="44"/>
    <d v="2025-02-15T00:00:00"/>
    <x v="1"/>
    <x v="0"/>
    <x v="1"/>
    <x v="0"/>
    <x v="8"/>
    <x v="3"/>
    <x v="6"/>
    <x v="1"/>
  </r>
  <r>
    <s v="TX501133"/>
    <x v="19"/>
    <x v="2"/>
    <x v="9"/>
    <x v="966"/>
    <x v="44"/>
    <d v="2025-02-15T00:00:00"/>
    <x v="2"/>
    <x v="1"/>
    <x v="2"/>
    <x v="0"/>
    <x v="9"/>
    <x v="3"/>
    <x v="6"/>
    <x v="2"/>
  </r>
  <r>
    <s v="TX501134"/>
    <x v="1"/>
    <x v="12"/>
    <x v="541"/>
    <x v="967"/>
    <x v="44"/>
    <d v="2025-02-15T00:00:00"/>
    <x v="2"/>
    <x v="1"/>
    <x v="0"/>
    <x v="0"/>
    <x v="9"/>
    <x v="3"/>
    <x v="6"/>
    <x v="2"/>
  </r>
  <r>
    <s v="TX501135"/>
    <x v="6"/>
    <x v="0"/>
    <x v="420"/>
    <x v="255"/>
    <x v="44"/>
    <d v="2025-02-14T00:00:00"/>
    <x v="2"/>
    <x v="1"/>
    <x v="2"/>
    <x v="0"/>
    <x v="10"/>
    <x v="7"/>
    <x v="6"/>
    <x v="2"/>
  </r>
  <r>
    <s v="TX501136"/>
    <x v="10"/>
    <x v="0"/>
    <x v="208"/>
    <x v="968"/>
    <x v="44"/>
    <d v="2025-02-15T00:00:00"/>
    <x v="1"/>
    <x v="4"/>
    <x v="0"/>
    <x v="0"/>
    <x v="20"/>
    <x v="3"/>
    <x v="6"/>
    <x v="1"/>
  </r>
  <r>
    <s v="TX501137"/>
    <x v="0"/>
    <x v="0"/>
    <x v="421"/>
    <x v="731"/>
    <x v="44"/>
    <d v="2025-02-17T00:00:00"/>
    <x v="2"/>
    <x v="2"/>
    <x v="0"/>
    <x v="0"/>
    <x v="21"/>
    <x v="2"/>
    <x v="6"/>
    <x v="2"/>
  </r>
  <r>
    <s v="TX501138"/>
    <x v="17"/>
    <x v="2"/>
    <x v="49"/>
    <x v="969"/>
    <x v="44"/>
    <d v="2025-02-16T00:00:00"/>
    <x v="2"/>
    <x v="4"/>
    <x v="2"/>
    <x v="0"/>
    <x v="2"/>
    <x v="1"/>
    <x v="6"/>
    <x v="2"/>
  </r>
  <r>
    <s v="TX501139"/>
    <x v="2"/>
    <x v="12"/>
    <x v="662"/>
    <x v="970"/>
    <x v="44"/>
    <d v="2025-02-14T00:00:00"/>
    <x v="2"/>
    <x v="4"/>
    <x v="0"/>
    <x v="0"/>
    <x v="22"/>
    <x v="7"/>
    <x v="6"/>
    <x v="2"/>
  </r>
  <r>
    <s v="TX501140"/>
    <x v="2"/>
    <x v="12"/>
    <x v="663"/>
    <x v="971"/>
    <x v="44"/>
    <d v="2025-02-24T00:00:00"/>
    <x v="1"/>
    <x v="0"/>
    <x v="1"/>
    <x v="0"/>
    <x v="3"/>
    <x v="14"/>
    <x v="6"/>
    <x v="1"/>
  </r>
  <r>
    <s v="TX501141"/>
    <x v="1"/>
    <x v="4"/>
    <x v="664"/>
    <x v="972"/>
    <x v="44"/>
    <d v="2025-02-15T00:00:00"/>
    <x v="1"/>
    <x v="1"/>
    <x v="1"/>
    <x v="0"/>
    <x v="3"/>
    <x v="3"/>
    <x v="6"/>
    <x v="1"/>
  </r>
  <r>
    <s v="TX501142"/>
    <x v="4"/>
    <x v="2"/>
    <x v="286"/>
    <x v="973"/>
    <x v="44"/>
    <d v="2025-02-16T00:00:00"/>
    <x v="2"/>
    <x v="0"/>
    <x v="4"/>
    <x v="0"/>
    <x v="3"/>
    <x v="1"/>
    <x v="6"/>
    <x v="2"/>
  </r>
  <r>
    <s v="TX501143"/>
    <x v="9"/>
    <x v="1"/>
    <x v="410"/>
    <x v="495"/>
    <x v="44"/>
    <d v="2025-02-16T00:00:00"/>
    <x v="2"/>
    <x v="1"/>
    <x v="2"/>
    <x v="0"/>
    <x v="3"/>
    <x v="1"/>
    <x v="6"/>
    <x v="2"/>
  </r>
  <r>
    <s v="TX501144"/>
    <x v="8"/>
    <x v="1"/>
    <x v="266"/>
    <x v="496"/>
    <x v="44"/>
    <d v="2025-02-15T00:00:00"/>
    <x v="1"/>
    <x v="3"/>
    <x v="4"/>
    <x v="0"/>
    <x v="43"/>
    <x v="3"/>
    <x v="6"/>
    <x v="1"/>
  </r>
  <r>
    <s v="TX501145"/>
    <x v="8"/>
    <x v="9"/>
    <x v="99"/>
    <x v="974"/>
    <x v="44"/>
    <d v="2025-02-15T00:00:00"/>
    <x v="2"/>
    <x v="2"/>
    <x v="1"/>
    <x v="0"/>
    <x v="6"/>
    <x v="3"/>
    <x v="6"/>
    <x v="2"/>
  </r>
  <r>
    <s v="TX501146"/>
    <x v="5"/>
    <x v="2"/>
    <x v="423"/>
    <x v="514"/>
    <x v="44"/>
    <d v="2025-02-16T00:00:00"/>
    <x v="2"/>
    <x v="4"/>
    <x v="1"/>
    <x v="0"/>
    <x v="6"/>
    <x v="1"/>
    <x v="6"/>
    <x v="2"/>
  </r>
  <r>
    <s v="TX501147"/>
    <x v="2"/>
    <x v="1"/>
    <x v="568"/>
    <x v="975"/>
    <x v="44"/>
    <d v="2025-02-15T00:00:00"/>
    <x v="2"/>
    <x v="2"/>
    <x v="0"/>
    <x v="0"/>
    <x v="36"/>
    <x v="3"/>
    <x v="6"/>
    <x v="2"/>
  </r>
  <r>
    <s v="TX501148"/>
    <x v="1"/>
    <x v="13"/>
    <x v="665"/>
    <x v="976"/>
    <x v="44"/>
    <d v="2025-02-19T00:00:00"/>
    <x v="2"/>
    <x v="2"/>
    <x v="2"/>
    <x v="0"/>
    <x v="8"/>
    <x v="0"/>
    <x v="6"/>
    <x v="2"/>
  </r>
  <r>
    <s v="TX501149"/>
    <x v="9"/>
    <x v="1"/>
    <x v="183"/>
    <x v="197"/>
    <x v="45"/>
    <d v="2025-02-23T00:00:00"/>
    <x v="1"/>
    <x v="4"/>
    <x v="1"/>
    <x v="0"/>
    <x v="8"/>
    <x v="9"/>
    <x v="6"/>
    <x v="1"/>
  </r>
  <r>
    <s v="TX501150"/>
    <x v="7"/>
    <x v="2"/>
    <x v="666"/>
    <x v="977"/>
    <x v="45"/>
    <d v="2025-02-18T00:00:00"/>
    <x v="1"/>
    <x v="0"/>
    <x v="2"/>
    <x v="0"/>
    <x v="8"/>
    <x v="2"/>
    <x v="6"/>
    <x v="1"/>
  </r>
  <r>
    <s v="TX501151"/>
    <x v="15"/>
    <x v="3"/>
    <x v="46"/>
    <x v="978"/>
    <x v="45"/>
    <d v="2025-02-16T00:00:00"/>
    <x v="2"/>
    <x v="2"/>
    <x v="2"/>
    <x v="0"/>
    <x v="8"/>
    <x v="3"/>
    <x v="6"/>
    <x v="2"/>
  </r>
  <r>
    <s v="TX501152"/>
    <x v="10"/>
    <x v="1"/>
    <x v="667"/>
    <x v="979"/>
    <x v="45"/>
    <d v="2025-02-16T00:00:00"/>
    <x v="2"/>
    <x v="4"/>
    <x v="2"/>
    <x v="0"/>
    <x v="17"/>
    <x v="3"/>
    <x v="6"/>
    <x v="2"/>
  </r>
  <r>
    <s v="TX501153"/>
    <x v="12"/>
    <x v="2"/>
    <x v="240"/>
    <x v="980"/>
    <x v="45"/>
    <d v="2025-02-16T00:00:00"/>
    <x v="3"/>
    <x v="2"/>
    <x v="1"/>
    <x v="0"/>
    <x v="9"/>
    <x v="3"/>
    <x v="6"/>
    <x v="3"/>
  </r>
  <r>
    <s v="TX501154"/>
    <x v="4"/>
    <x v="1"/>
    <x v="668"/>
    <x v="981"/>
    <x v="45"/>
    <d v="2025-02-18T00:00:00"/>
    <x v="1"/>
    <x v="1"/>
    <x v="0"/>
    <x v="0"/>
    <x v="11"/>
    <x v="2"/>
    <x v="6"/>
    <x v="1"/>
  </r>
  <r>
    <s v="TX501155"/>
    <x v="4"/>
    <x v="4"/>
    <x v="19"/>
    <x v="982"/>
    <x v="45"/>
    <d v="2025-02-19T00:00:00"/>
    <x v="2"/>
    <x v="0"/>
    <x v="1"/>
    <x v="0"/>
    <x v="11"/>
    <x v="5"/>
    <x v="6"/>
    <x v="2"/>
  </r>
  <r>
    <s v="TX501156"/>
    <x v="10"/>
    <x v="13"/>
    <x v="669"/>
    <x v="983"/>
    <x v="45"/>
    <d v="2025-02-16T00:00:00"/>
    <x v="1"/>
    <x v="2"/>
    <x v="0"/>
    <x v="0"/>
    <x v="11"/>
    <x v="3"/>
    <x v="6"/>
    <x v="1"/>
  </r>
  <r>
    <s v="TX501157"/>
    <x v="8"/>
    <x v="9"/>
    <x v="592"/>
    <x v="807"/>
    <x v="45"/>
    <d v="2025-02-17T00:00:00"/>
    <x v="2"/>
    <x v="0"/>
    <x v="2"/>
    <x v="0"/>
    <x v="32"/>
    <x v="1"/>
    <x v="6"/>
    <x v="2"/>
  </r>
  <r>
    <s v="TX501158"/>
    <x v="12"/>
    <x v="2"/>
    <x v="192"/>
    <x v="461"/>
    <x v="45"/>
    <d v="2025-02-16T00:00:00"/>
    <x v="2"/>
    <x v="0"/>
    <x v="0"/>
    <x v="0"/>
    <x v="18"/>
    <x v="3"/>
    <x v="6"/>
    <x v="2"/>
  </r>
  <r>
    <s v="TX501159"/>
    <x v="7"/>
    <x v="1"/>
    <x v="670"/>
    <x v="984"/>
    <x v="45"/>
    <d v="2025-02-19T00:00:00"/>
    <x v="1"/>
    <x v="0"/>
    <x v="2"/>
    <x v="0"/>
    <x v="18"/>
    <x v="5"/>
    <x v="6"/>
    <x v="1"/>
  </r>
  <r>
    <s v="TX501160"/>
    <x v="2"/>
    <x v="1"/>
    <x v="671"/>
    <x v="985"/>
    <x v="45"/>
    <d v="2025-02-17T00:00:00"/>
    <x v="0"/>
    <x v="3"/>
    <x v="1"/>
    <x v="0"/>
    <x v="19"/>
    <x v="1"/>
    <x v="6"/>
    <x v="0"/>
  </r>
  <r>
    <s v="TX501161"/>
    <x v="9"/>
    <x v="1"/>
    <x v="450"/>
    <x v="986"/>
    <x v="45"/>
    <d v="2025-02-18T00:00:00"/>
    <x v="0"/>
    <x v="4"/>
    <x v="1"/>
    <x v="0"/>
    <x v="19"/>
    <x v="2"/>
    <x v="6"/>
    <x v="0"/>
  </r>
  <r>
    <s v="TX501162"/>
    <x v="12"/>
    <x v="9"/>
    <x v="672"/>
    <x v="987"/>
    <x v="45"/>
    <d v="2025-02-16T00:00:00"/>
    <x v="1"/>
    <x v="3"/>
    <x v="2"/>
    <x v="0"/>
    <x v="21"/>
    <x v="3"/>
    <x v="6"/>
    <x v="1"/>
  </r>
  <r>
    <s v="TX501163"/>
    <x v="8"/>
    <x v="1"/>
    <x v="544"/>
    <x v="988"/>
    <x v="45"/>
    <d v="2025-02-16T00:00:00"/>
    <x v="2"/>
    <x v="4"/>
    <x v="4"/>
    <x v="0"/>
    <x v="22"/>
    <x v="3"/>
    <x v="6"/>
    <x v="2"/>
  </r>
  <r>
    <s v="TX501164"/>
    <x v="1"/>
    <x v="13"/>
    <x v="418"/>
    <x v="989"/>
    <x v="45"/>
    <d v="2025-02-17T00:00:00"/>
    <x v="1"/>
    <x v="3"/>
    <x v="2"/>
    <x v="0"/>
    <x v="3"/>
    <x v="1"/>
    <x v="6"/>
    <x v="1"/>
  </r>
  <r>
    <s v="TX501165"/>
    <x v="9"/>
    <x v="0"/>
    <x v="673"/>
    <x v="474"/>
    <x v="45"/>
    <d v="2025-02-16T00:00:00"/>
    <x v="2"/>
    <x v="0"/>
    <x v="4"/>
    <x v="0"/>
    <x v="3"/>
    <x v="3"/>
    <x v="6"/>
    <x v="2"/>
  </r>
  <r>
    <s v="TX501166"/>
    <x v="3"/>
    <x v="12"/>
    <x v="674"/>
    <x v="990"/>
    <x v="45"/>
    <d v="2025-02-15T00:00:00"/>
    <x v="2"/>
    <x v="1"/>
    <x v="2"/>
    <x v="0"/>
    <x v="3"/>
    <x v="7"/>
    <x v="6"/>
    <x v="2"/>
  </r>
  <r>
    <s v="TX501167"/>
    <x v="10"/>
    <x v="3"/>
    <x v="452"/>
    <x v="991"/>
    <x v="45"/>
    <d v="2025-02-22T00:00:00"/>
    <x v="2"/>
    <x v="3"/>
    <x v="2"/>
    <x v="0"/>
    <x v="3"/>
    <x v="6"/>
    <x v="6"/>
    <x v="2"/>
  </r>
  <r>
    <s v="TX501168"/>
    <x v="2"/>
    <x v="9"/>
    <x v="197"/>
    <x v="992"/>
    <x v="45"/>
    <d v="2025-02-20T00:00:00"/>
    <x v="2"/>
    <x v="0"/>
    <x v="2"/>
    <x v="0"/>
    <x v="3"/>
    <x v="0"/>
    <x v="6"/>
    <x v="2"/>
  </r>
  <r>
    <s v="TX501169"/>
    <x v="2"/>
    <x v="0"/>
    <x v="338"/>
    <x v="411"/>
    <x v="45"/>
    <d v="2025-02-19T00:00:00"/>
    <x v="2"/>
    <x v="1"/>
    <x v="2"/>
    <x v="0"/>
    <x v="6"/>
    <x v="5"/>
    <x v="6"/>
    <x v="2"/>
  </r>
  <r>
    <s v="TX501170"/>
    <x v="6"/>
    <x v="7"/>
    <x v="675"/>
    <x v="993"/>
    <x v="45"/>
    <d v="2025-02-16T00:00:00"/>
    <x v="2"/>
    <x v="0"/>
    <x v="0"/>
    <x v="0"/>
    <x v="6"/>
    <x v="3"/>
    <x v="6"/>
    <x v="2"/>
  </r>
  <r>
    <s v="TX501171"/>
    <x v="17"/>
    <x v="11"/>
    <x v="532"/>
    <x v="994"/>
    <x v="45"/>
    <d v="2025-02-16T00:00:00"/>
    <x v="2"/>
    <x v="1"/>
    <x v="2"/>
    <x v="0"/>
    <x v="8"/>
    <x v="3"/>
    <x v="6"/>
    <x v="2"/>
  </r>
  <r>
    <s v="TX501172"/>
    <x v="15"/>
    <x v="7"/>
    <x v="341"/>
    <x v="995"/>
    <x v="45"/>
    <d v="2025-02-17T00:00:00"/>
    <x v="1"/>
    <x v="2"/>
    <x v="0"/>
    <x v="0"/>
    <x v="8"/>
    <x v="1"/>
    <x v="6"/>
    <x v="1"/>
  </r>
  <r>
    <s v="TX501173"/>
    <x v="18"/>
    <x v="2"/>
    <x v="357"/>
    <x v="996"/>
    <x v="45"/>
    <d v="2025-02-19T00:00:00"/>
    <x v="1"/>
    <x v="3"/>
    <x v="0"/>
    <x v="0"/>
    <x v="8"/>
    <x v="5"/>
    <x v="6"/>
    <x v="1"/>
  </r>
  <r>
    <s v="TX501174"/>
    <x v="7"/>
    <x v="3"/>
    <x v="344"/>
    <x v="847"/>
    <x v="45"/>
    <d v="2025-02-16T00:00:00"/>
    <x v="2"/>
    <x v="4"/>
    <x v="2"/>
    <x v="0"/>
    <x v="9"/>
    <x v="3"/>
    <x v="6"/>
    <x v="2"/>
  </r>
  <r>
    <s v="TX501175"/>
    <x v="8"/>
    <x v="9"/>
    <x v="261"/>
    <x v="969"/>
    <x v="45"/>
    <d v="2025-02-17T00:00:00"/>
    <x v="2"/>
    <x v="3"/>
    <x v="2"/>
    <x v="0"/>
    <x v="19"/>
    <x v="1"/>
    <x v="6"/>
    <x v="2"/>
  </r>
  <r>
    <s v="TX501176"/>
    <x v="1"/>
    <x v="1"/>
    <x v="676"/>
    <x v="997"/>
    <x v="46"/>
    <d v="2025-02-17T00:00:00"/>
    <x v="1"/>
    <x v="4"/>
    <x v="0"/>
    <x v="0"/>
    <x v="13"/>
    <x v="3"/>
    <x v="7"/>
    <x v="1"/>
  </r>
  <r>
    <s v="TX501177"/>
    <x v="8"/>
    <x v="12"/>
    <x v="129"/>
    <x v="998"/>
    <x v="46"/>
    <d v="2025-02-23T00:00:00"/>
    <x v="2"/>
    <x v="2"/>
    <x v="2"/>
    <x v="0"/>
    <x v="21"/>
    <x v="6"/>
    <x v="7"/>
    <x v="2"/>
  </r>
  <r>
    <s v="TX501178"/>
    <x v="6"/>
    <x v="13"/>
    <x v="677"/>
    <x v="999"/>
    <x v="46"/>
    <d v="2025-02-25T00:00:00"/>
    <x v="2"/>
    <x v="4"/>
    <x v="0"/>
    <x v="0"/>
    <x v="21"/>
    <x v="8"/>
    <x v="7"/>
    <x v="2"/>
  </r>
  <r>
    <s v="TX501179"/>
    <x v="2"/>
    <x v="9"/>
    <x v="252"/>
    <x v="1000"/>
    <x v="46"/>
    <d v="2025-02-19T00:00:00"/>
    <x v="0"/>
    <x v="1"/>
    <x v="1"/>
    <x v="0"/>
    <x v="21"/>
    <x v="2"/>
    <x v="7"/>
    <x v="0"/>
  </r>
  <r>
    <s v="TX501180"/>
    <x v="9"/>
    <x v="11"/>
    <x v="438"/>
    <x v="1001"/>
    <x v="46"/>
    <d v="2025-02-17T00:00:00"/>
    <x v="2"/>
    <x v="4"/>
    <x v="2"/>
    <x v="0"/>
    <x v="51"/>
    <x v="3"/>
    <x v="7"/>
    <x v="2"/>
  </r>
  <r>
    <s v="TX501181"/>
    <x v="8"/>
    <x v="3"/>
    <x v="678"/>
    <x v="1002"/>
    <x v="46"/>
    <d v="2025-02-24T00:00:00"/>
    <x v="2"/>
    <x v="2"/>
    <x v="0"/>
    <x v="0"/>
    <x v="1"/>
    <x v="9"/>
    <x v="7"/>
    <x v="2"/>
  </r>
  <r>
    <s v="TX501182"/>
    <x v="15"/>
    <x v="12"/>
    <x v="210"/>
    <x v="464"/>
    <x v="46"/>
    <d v="2025-02-19T00:00:00"/>
    <x v="1"/>
    <x v="1"/>
    <x v="0"/>
    <x v="0"/>
    <x v="3"/>
    <x v="2"/>
    <x v="7"/>
    <x v="1"/>
  </r>
  <r>
    <s v="TX501183"/>
    <x v="0"/>
    <x v="1"/>
    <x v="372"/>
    <x v="434"/>
    <x v="46"/>
    <d v="2025-02-16T00:00:00"/>
    <x v="0"/>
    <x v="3"/>
    <x v="1"/>
    <x v="0"/>
    <x v="3"/>
    <x v="7"/>
    <x v="7"/>
    <x v="0"/>
  </r>
  <r>
    <s v="TX501184"/>
    <x v="4"/>
    <x v="2"/>
    <x v="679"/>
    <x v="1003"/>
    <x v="46"/>
    <d v="2025-02-17T00:00:00"/>
    <x v="1"/>
    <x v="4"/>
    <x v="0"/>
    <x v="0"/>
    <x v="3"/>
    <x v="3"/>
    <x v="7"/>
    <x v="1"/>
  </r>
  <r>
    <s v="TX501185"/>
    <x v="0"/>
    <x v="11"/>
    <x v="680"/>
    <x v="1004"/>
    <x v="46"/>
    <d v="2025-02-18T00:00:00"/>
    <x v="2"/>
    <x v="0"/>
    <x v="0"/>
    <x v="0"/>
    <x v="3"/>
    <x v="1"/>
    <x v="7"/>
    <x v="2"/>
  </r>
  <r>
    <s v="TX501186"/>
    <x v="6"/>
    <x v="0"/>
    <x v="58"/>
    <x v="1005"/>
    <x v="46"/>
    <d v="2025-02-21T00:00:00"/>
    <x v="1"/>
    <x v="0"/>
    <x v="0"/>
    <x v="0"/>
    <x v="3"/>
    <x v="0"/>
    <x v="7"/>
    <x v="1"/>
  </r>
  <r>
    <s v="TX501187"/>
    <x v="8"/>
    <x v="1"/>
    <x v="502"/>
    <x v="1006"/>
    <x v="46"/>
    <d v="2025-02-18T00:00:00"/>
    <x v="0"/>
    <x v="0"/>
    <x v="0"/>
    <x v="0"/>
    <x v="3"/>
    <x v="1"/>
    <x v="7"/>
    <x v="0"/>
  </r>
  <r>
    <s v="TX501188"/>
    <x v="8"/>
    <x v="1"/>
    <x v="257"/>
    <x v="1007"/>
    <x v="46"/>
    <d v="2025-02-17T00:00:00"/>
    <x v="2"/>
    <x v="4"/>
    <x v="1"/>
    <x v="0"/>
    <x v="3"/>
    <x v="3"/>
    <x v="7"/>
    <x v="2"/>
  </r>
  <r>
    <s v="TX501189"/>
    <x v="0"/>
    <x v="1"/>
    <x v="463"/>
    <x v="772"/>
    <x v="46"/>
    <d v="2025-02-18T00:00:00"/>
    <x v="2"/>
    <x v="1"/>
    <x v="0"/>
    <x v="0"/>
    <x v="24"/>
    <x v="1"/>
    <x v="7"/>
    <x v="2"/>
  </r>
  <r>
    <s v="TX501190"/>
    <x v="5"/>
    <x v="2"/>
    <x v="88"/>
    <x v="277"/>
    <x v="46"/>
    <d v="2025-02-17T00:00:00"/>
    <x v="1"/>
    <x v="4"/>
    <x v="2"/>
    <x v="0"/>
    <x v="25"/>
    <x v="3"/>
    <x v="7"/>
    <x v="1"/>
  </r>
  <r>
    <s v="TX501191"/>
    <x v="6"/>
    <x v="13"/>
    <x v="591"/>
    <x v="1008"/>
    <x v="46"/>
    <d v="2025-02-20T00:00:00"/>
    <x v="2"/>
    <x v="0"/>
    <x v="0"/>
    <x v="0"/>
    <x v="25"/>
    <x v="5"/>
    <x v="7"/>
    <x v="2"/>
  </r>
  <r>
    <s v="TX501192"/>
    <x v="17"/>
    <x v="3"/>
    <x v="380"/>
    <x v="1009"/>
    <x v="46"/>
    <d v="2025-02-18T00:00:00"/>
    <x v="2"/>
    <x v="2"/>
    <x v="0"/>
    <x v="0"/>
    <x v="25"/>
    <x v="1"/>
    <x v="7"/>
    <x v="2"/>
  </r>
  <r>
    <s v="TX501193"/>
    <x v="7"/>
    <x v="31"/>
    <x v="286"/>
    <x v="1010"/>
    <x v="46"/>
    <d v="2025-02-17T00:00:00"/>
    <x v="1"/>
    <x v="0"/>
    <x v="0"/>
    <x v="0"/>
    <x v="5"/>
    <x v="3"/>
    <x v="7"/>
    <x v="1"/>
  </r>
  <r>
    <s v="TX501194"/>
    <x v="2"/>
    <x v="9"/>
    <x v="205"/>
    <x v="892"/>
    <x v="46"/>
    <d v="2025-02-19T00:00:00"/>
    <x v="2"/>
    <x v="1"/>
    <x v="0"/>
    <x v="0"/>
    <x v="6"/>
    <x v="2"/>
    <x v="7"/>
    <x v="2"/>
  </r>
  <r>
    <s v="TX501195"/>
    <x v="8"/>
    <x v="2"/>
    <x v="201"/>
    <x v="219"/>
    <x v="47"/>
    <d v="2025-02-19T00:00:00"/>
    <x v="1"/>
    <x v="0"/>
    <x v="0"/>
    <x v="0"/>
    <x v="6"/>
    <x v="1"/>
    <x v="7"/>
    <x v="1"/>
  </r>
  <r>
    <s v="TX501196"/>
    <x v="12"/>
    <x v="2"/>
    <x v="681"/>
    <x v="1011"/>
    <x v="47"/>
    <d v="2025-02-19T00:00:00"/>
    <x v="1"/>
    <x v="0"/>
    <x v="1"/>
    <x v="0"/>
    <x v="7"/>
    <x v="1"/>
    <x v="7"/>
    <x v="1"/>
  </r>
  <r>
    <s v="TX501197"/>
    <x v="10"/>
    <x v="2"/>
    <x v="234"/>
    <x v="1012"/>
    <x v="47"/>
    <d v="2025-02-20T00:00:00"/>
    <x v="1"/>
    <x v="0"/>
    <x v="4"/>
    <x v="0"/>
    <x v="7"/>
    <x v="2"/>
    <x v="7"/>
    <x v="1"/>
  </r>
  <r>
    <s v="TX501198"/>
    <x v="1"/>
    <x v="1"/>
    <x v="533"/>
    <x v="1013"/>
    <x v="47"/>
    <d v="2025-02-22T00:00:00"/>
    <x v="1"/>
    <x v="4"/>
    <x v="0"/>
    <x v="0"/>
    <x v="8"/>
    <x v="0"/>
    <x v="7"/>
    <x v="1"/>
  </r>
  <r>
    <s v="TX501199"/>
    <x v="1"/>
    <x v="1"/>
    <x v="427"/>
    <x v="520"/>
    <x v="47"/>
    <d v="2025-02-17T00:00:00"/>
    <x v="2"/>
    <x v="1"/>
    <x v="2"/>
    <x v="0"/>
    <x v="8"/>
    <x v="7"/>
    <x v="7"/>
    <x v="2"/>
  </r>
  <r>
    <s v="TX501200"/>
    <x v="6"/>
    <x v="3"/>
    <x v="682"/>
    <x v="1014"/>
    <x v="47"/>
    <d v="2025-02-22T00:00:00"/>
    <x v="2"/>
    <x v="4"/>
    <x v="0"/>
    <x v="0"/>
    <x v="9"/>
    <x v="0"/>
    <x v="7"/>
    <x v="2"/>
  </r>
  <r>
    <s v="TX501201"/>
    <x v="6"/>
    <x v="1"/>
    <x v="331"/>
    <x v="762"/>
    <x v="47"/>
    <d v="2025-02-22T00:00:00"/>
    <x v="2"/>
    <x v="0"/>
    <x v="0"/>
    <x v="0"/>
    <x v="11"/>
    <x v="0"/>
    <x v="7"/>
    <x v="2"/>
  </r>
  <r>
    <s v="TX501202"/>
    <x v="4"/>
    <x v="1"/>
    <x v="647"/>
    <x v="572"/>
    <x v="47"/>
    <d v="2025-02-17T00:00:00"/>
    <x v="2"/>
    <x v="0"/>
    <x v="1"/>
    <x v="0"/>
    <x v="30"/>
    <x v="7"/>
    <x v="7"/>
    <x v="2"/>
  </r>
  <r>
    <s v="TX501203"/>
    <x v="2"/>
    <x v="2"/>
    <x v="683"/>
    <x v="1015"/>
    <x v="47"/>
    <d v="2025-02-21T00:00:00"/>
    <x v="2"/>
    <x v="2"/>
    <x v="0"/>
    <x v="0"/>
    <x v="20"/>
    <x v="5"/>
    <x v="7"/>
    <x v="2"/>
  </r>
  <r>
    <s v="TX501204"/>
    <x v="2"/>
    <x v="0"/>
    <x v="407"/>
    <x v="1016"/>
    <x v="47"/>
    <d v="2025-02-21T00:00:00"/>
    <x v="1"/>
    <x v="1"/>
    <x v="0"/>
    <x v="0"/>
    <x v="21"/>
    <x v="5"/>
    <x v="7"/>
    <x v="1"/>
  </r>
  <r>
    <s v="TX501205"/>
    <x v="11"/>
    <x v="0"/>
    <x v="654"/>
    <x v="480"/>
    <x v="47"/>
    <d v="2025-02-18T00:00:00"/>
    <x v="1"/>
    <x v="0"/>
    <x v="1"/>
    <x v="0"/>
    <x v="1"/>
    <x v="3"/>
    <x v="7"/>
    <x v="1"/>
  </r>
  <r>
    <s v="TX501206"/>
    <x v="6"/>
    <x v="0"/>
    <x v="236"/>
    <x v="573"/>
    <x v="47"/>
    <d v="2025-02-18T00:00:00"/>
    <x v="3"/>
    <x v="0"/>
    <x v="1"/>
    <x v="0"/>
    <x v="1"/>
    <x v="3"/>
    <x v="7"/>
    <x v="3"/>
  </r>
  <r>
    <s v="TX501207"/>
    <x v="4"/>
    <x v="13"/>
    <x v="664"/>
    <x v="1017"/>
    <x v="47"/>
    <d v="2025-03-02T00:00:00"/>
    <x v="2"/>
    <x v="2"/>
    <x v="0"/>
    <x v="0"/>
    <x v="22"/>
    <x v="10"/>
    <x v="7"/>
    <x v="2"/>
  </r>
  <r>
    <s v="TX501208"/>
    <x v="15"/>
    <x v="13"/>
    <x v="684"/>
    <x v="1018"/>
    <x v="47"/>
    <d v="2025-02-18T00:00:00"/>
    <x v="2"/>
    <x v="4"/>
    <x v="0"/>
    <x v="0"/>
    <x v="34"/>
    <x v="3"/>
    <x v="7"/>
    <x v="2"/>
  </r>
  <r>
    <s v="TX501209"/>
    <x v="17"/>
    <x v="4"/>
    <x v="259"/>
    <x v="1019"/>
    <x v="47"/>
    <d v="2025-02-18T00:00:00"/>
    <x v="1"/>
    <x v="1"/>
    <x v="0"/>
    <x v="0"/>
    <x v="3"/>
    <x v="3"/>
    <x v="7"/>
    <x v="1"/>
  </r>
  <r>
    <s v="TX501210"/>
    <x v="9"/>
    <x v="13"/>
    <x v="607"/>
    <x v="827"/>
    <x v="47"/>
    <d v="2025-02-19T00:00:00"/>
    <x v="1"/>
    <x v="4"/>
    <x v="0"/>
    <x v="0"/>
    <x v="3"/>
    <x v="1"/>
    <x v="7"/>
    <x v="1"/>
  </r>
  <r>
    <s v="TX501211"/>
    <x v="1"/>
    <x v="1"/>
    <x v="329"/>
    <x v="470"/>
    <x v="47"/>
    <d v="2025-02-20T00:00:00"/>
    <x v="3"/>
    <x v="0"/>
    <x v="0"/>
    <x v="0"/>
    <x v="3"/>
    <x v="2"/>
    <x v="7"/>
    <x v="3"/>
  </r>
  <r>
    <s v="TX501212"/>
    <x v="10"/>
    <x v="12"/>
    <x v="613"/>
    <x v="1020"/>
    <x v="47"/>
    <d v="2025-02-19T00:00:00"/>
    <x v="2"/>
    <x v="2"/>
    <x v="1"/>
    <x v="0"/>
    <x v="3"/>
    <x v="1"/>
    <x v="7"/>
    <x v="2"/>
  </r>
  <r>
    <s v="TX501213"/>
    <x v="12"/>
    <x v="1"/>
    <x v="444"/>
    <x v="618"/>
    <x v="47"/>
    <d v="2025-02-21T00:00:00"/>
    <x v="2"/>
    <x v="1"/>
    <x v="4"/>
    <x v="0"/>
    <x v="3"/>
    <x v="5"/>
    <x v="7"/>
    <x v="2"/>
  </r>
  <r>
    <s v="TX501214"/>
    <x v="8"/>
    <x v="0"/>
    <x v="496"/>
    <x v="1021"/>
    <x v="47"/>
    <d v="2025-02-20T00:00:00"/>
    <x v="0"/>
    <x v="1"/>
    <x v="0"/>
    <x v="0"/>
    <x v="3"/>
    <x v="2"/>
    <x v="7"/>
    <x v="0"/>
  </r>
  <r>
    <s v="TX501215"/>
    <x v="6"/>
    <x v="1"/>
    <x v="685"/>
    <x v="1022"/>
    <x v="47"/>
    <d v="2025-02-17T00:00:00"/>
    <x v="2"/>
    <x v="2"/>
    <x v="1"/>
    <x v="0"/>
    <x v="3"/>
    <x v="7"/>
    <x v="7"/>
    <x v="2"/>
  </r>
  <r>
    <s v="TX501216"/>
    <x v="5"/>
    <x v="4"/>
    <x v="686"/>
    <x v="1023"/>
    <x v="47"/>
    <d v="2025-02-21T00:00:00"/>
    <x v="1"/>
    <x v="2"/>
    <x v="4"/>
    <x v="0"/>
    <x v="3"/>
    <x v="5"/>
    <x v="7"/>
    <x v="1"/>
  </r>
  <r>
    <s v="TX501217"/>
    <x v="8"/>
    <x v="12"/>
    <x v="332"/>
    <x v="1024"/>
    <x v="47"/>
    <d v="2025-02-20T00:00:00"/>
    <x v="1"/>
    <x v="1"/>
    <x v="0"/>
    <x v="0"/>
    <x v="3"/>
    <x v="2"/>
    <x v="7"/>
    <x v="1"/>
  </r>
  <r>
    <s v="TX501218"/>
    <x v="9"/>
    <x v="2"/>
    <x v="285"/>
    <x v="890"/>
    <x v="47"/>
    <d v="2025-02-26T00:00:00"/>
    <x v="1"/>
    <x v="3"/>
    <x v="1"/>
    <x v="0"/>
    <x v="3"/>
    <x v="8"/>
    <x v="7"/>
    <x v="1"/>
  </r>
  <r>
    <s v="TX501219"/>
    <x v="10"/>
    <x v="13"/>
    <x v="303"/>
    <x v="843"/>
    <x v="47"/>
    <d v="2025-02-22T00:00:00"/>
    <x v="2"/>
    <x v="2"/>
    <x v="0"/>
    <x v="0"/>
    <x v="3"/>
    <x v="0"/>
    <x v="7"/>
    <x v="2"/>
  </r>
  <r>
    <s v="TX501220"/>
    <x v="7"/>
    <x v="33"/>
    <x v="430"/>
    <x v="1025"/>
    <x v="47"/>
    <d v="2025-02-18T00:00:00"/>
    <x v="1"/>
    <x v="0"/>
    <x v="0"/>
    <x v="0"/>
    <x v="3"/>
    <x v="3"/>
    <x v="7"/>
    <x v="1"/>
  </r>
  <r>
    <s v="TX501221"/>
    <x v="6"/>
    <x v="2"/>
    <x v="472"/>
    <x v="1026"/>
    <x v="47"/>
    <d v="2025-02-18T00:00:00"/>
    <x v="1"/>
    <x v="3"/>
    <x v="0"/>
    <x v="0"/>
    <x v="3"/>
    <x v="3"/>
    <x v="7"/>
    <x v="1"/>
  </r>
  <r>
    <s v="TX501222"/>
    <x v="3"/>
    <x v="15"/>
    <x v="100"/>
    <x v="1027"/>
    <x v="47"/>
    <d v="2025-02-20T00:00:00"/>
    <x v="2"/>
    <x v="1"/>
    <x v="4"/>
    <x v="0"/>
    <x v="3"/>
    <x v="2"/>
    <x v="7"/>
    <x v="2"/>
  </r>
  <r>
    <s v="TX501223"/>
    <x v="2"/>
    <x v="9"/>
    <x v="460"/>
    <x v="1028"/>
    <x v="47"/>
    <d v="2025-02-19T00:00:00"/>
    <x v="2"/>
    <x v="1"/>
    <x v="1"/>
    <x v="0"/>
    <x v="3"/>
    <x v="1"/>
    <x v="7"/>
    <x v="2"/>
  </r>
  <r>
    <s v="TX501224"/>
    <x v="18"/>
    <x v="3"/>
    <x v="632"/>
    <x v="1029"/>
    <x v="48"/>
    <d v="2025-02-18T00:00:00"/>
    <x v="1"/>
    <x v="1"/>
    <x v="0"/>
    <x v="0"/>
    <x v="37"/>
    <x v="7"/>
    <x v="7"/>
    <x v="1"/>
  </r>
  <r>
    <s v="TX501225"/>
    <x v="19"/>
    <x v="2"/>
    <x v="545"/>
    <x v="717"/>
    <x v="48"/>
    <d v="2025-02-21T00:00:00"/>
    <x v="1"/>
    <x v="4"/>
    <x v="1"/>
    <x v="0"/>
    <x v="6"/>
    <x v="2"/>
    <x v="7"/>
    <x v="1"/>
  </r>
  <r>
    <s v="TX501226"/>
    <x v="17"/>
    <x v="12"/>
    <x v="687"/>
    <x v="393"/>
    <x v="48"/>
    <d v="2025-02-20T00:00:00"/>
    <x v="0"/>
    <x v="0"/>
    <x v="0"/>
    <x v="0"/>
    <x v="6"/>
    <x v="1"/>
    <x v="7"/>
    <x v="0"/>
  </r>
  <r>
    <s v="TX501227"/>
    <x v="15"/>
    <x v="0"/>
    <x v="556"/>
    <x v="1030"/>
    <x v="48"/>
    <d v="2025-02-27T00:00:00"/>
    <x v="1"/>
    <x v="0"/>
    <x v="2"/>
    <x v="0"/>
    <x v="6"/>
    <x v="8"/>
    <x v="7"/>
    <x v="1"/>
  </r>
  <r>
    <s v="TX501228"/>
    <x v="6"/>
    <x v="9"/>
    <x v="182"/>
    <x v="1031"/>
    <x v="48"/>
    <d v="2025-02-20T00:00:00"/>
    <x v="2"/>
    <x v="1"/>
    <x v="2"/>
    <x v="0"/>
    <x v="7"/>
    <x v="1"/>
    <x v="7"/>
    <x v="2"/>
  </r>
  <r>
    <s v="TX501229"/>
    <x v="3"/>
    <x v="1"/>
    <x v="162"/>
    <x v="170"/>
    <x v="48"/>
    <d v="2025-02-21T00:00:00"/>
    <x v="1"/>
    <x v="0"/>
    <x v="2"/>
    <x v="0"/>
    <x v="8"/>
    <x v="2"/>
    <x v="7"/>
    <x v="1"/>
  </r>
  <r>
    <s v="TX501230"/>
    <x v="2"/>
    <x v="1"/>
    <x v="688"/>
    <x v="141"/>
    <x v="48"/>
    <d v="2025-02-21T00:00:00"/>
    <x v="2"/>
    <x v="1"/>
    <x v="4"/>
    <x v="0"/>
    <x v="8"/>
    <x v="2"/>
    <x v="7"/>
    <x v="2"/>
  </r>
  <r>
    <s v="TX501231"/>
    <x v="6"/>
    <x v="0"/>
    <x v="303"/>
    <x v="583"/>
    <x v="48"/>
    <d v="2025-02-22T00:00:00"/>
    <x v="1"/>
    <x v="3"/>
    <x v="1"/>
    <x v="0"/>
    <x v="8"/>
    <x v="5"/>
    <x v="7"/>
    <x v="1"/>
  </r>
  <r>
    <s v="TX501232"/>
    <x v="0"/>
    <x v="3"/>
    <x v="678"/>
    <x v="1002"/>
    <x v="48"/>
    <d v="2025-02-19T00:00:00"/>
    <x v="1"/>
    <x v="0"/>
    <x v="2"/>
    <x v="0"/>
    <x v="8"/>
    <x v="3"/>
    <x v="7"/>
    <x v="1"/>
  </r>
  <r>
    <s v="TX501233"/>
    <x v="2"/>
    <x v="5"/>
    <x v="689"/>
    <x v="1032"/>
    <x v="48"/>
    <d v="2025-02-21T00:00:00"/>
    <x v="2"/>
    <x v="0"/>
    <x v="4"/>
    <x v="0"/>
    <x v="17"/>
    <x v="2"/>
    <x v="7"/>
    <x v="2"/>
  </r>
  <r>
    <s v="TX501234"/>
    <x v="9"/>
    <x v="1"/>
    <x v="235"/>
    <x v="1033"/>
    <x v="48"/>
    <d v="2025-02-20T00:00:00"/>
    <x v="3"/>
    <x v="4"/>
    <x v="0"/>
    <x v="0"/>
    <x v="10"/>
    <x v="1"/>
    <x v="7"/>
    <x v="3"/>
  </r>
  <r>
    <s v="TX501235"/>
    <x v="10"/>
    <x v="0"/>
    <x v="690"/>
    <x v="1034"/>
    <x v="48"/>
    <d v="2025-02-19T00:00:00"/>
    <x v="1"/>
    <x v="0"/>
    <x v="0"/>
    <x v="0"/>
    <x v="11"/>
    <x v="3"/>
    <x v="7"/>
    <x v="1"/>
  </r>
  <r>
    <s v="TX501236"/>
    <x v="1"/>
    <x v="0"/>
    <x v="552"/>
    <x v="1035"/>
    <x v="48"/>
    <d v="2025-02-19T00:00:00"/>
    <x v="3"/>
    <x v="0"/>
    <x v="1"/>
    <x v="0"/>
    <x v="11"/>
    <x v="3"/>
    <x v="7"/>
    <x v="3"/>
  </r>
  <r>
    <s v="TX501237"/>
    <x v="17"/>
    <x v="12"/>
    <x v="691"/>
    <x v="1036"/>
    <x v="48"/>
    <d v="2025-02-20T00:00:00"/>
    <x v="0"/>
    <x v="0"/>
    <x v="0"/>
    <x v="0"/>
    <x v="11"/>
    <x v="1"/>
    <x v="7"/>
    <x v="0"/>
  </r>
  <r>
    <s v="TX501238"/>
    <x v="4"/>
    <x v="3"/>
    <x v="239"/>
    <x v="1037"/>
    <x v="48"/>
    <d v="2025-02-22T00:00:00"/>
    <x v="2"/>
    <x v="2"/>
    <x v="2"/>
    <x v="0"/>
    <x v="19"/>
    <x v="5"/>
    <x v="7"/>
    <x v="2"/>
  </r>
  <r>
    <s v="TX501239"/>
    <x v="2"/>
    <x v="0"/>
    <x v="692"/>
    <x v="1038"/>
    <x v="48"/>
    <d v="2025-02-19T00:00:00"/>
    <x v="1"/>
    <x v="4"/>
    <x v="2"/>
    <x v="0"/>
    <x v="19"/>
    <x v="3"/>
    <x v="7"/>
    <x v="1"/>
  </r>
  <r>
    <s v="TX501240"/>
    <x v="0"/>
    <x v="2"/>
    <x v="569"/>
    <x v="1039"/>
    <x v="48"/>
    <d v="2025-02-26T00:00:00"/>
    <x v="2"/>
    <x v="0"/>
    <x v="0"/>
    <x v="0"/>
    <x v="20"/>
    <x v="9"/>
    <x v="7"/>
    <x v="2"/>
  </r>
  <r>
    <s v="TX501241"/>
    <x v="1"/>
    <x v="1"/>
    <x v="693"/>
    <x v="1040"/>
    <x v="48"/>
    <d v="2025-02-19T00:00:00"/>
    <x v="0"/>
    <x v="2"/>
    <x v="2"/>
    <x v="0"/>
    <x v="13"/>
    <x v="3"/>
    <x v="7"/>
    <x v="0"/>
  </r>
  <r>
    <s v="TX501242"/>
    <x v="2"/>
    <x v="1"/>
    <x v="694"/>
    <x v="1041"/>
    <x v="48"/>
    <d v="2025-02-24T00:00:00"/>
    <x v="2"/>
    <x v="4"/>
    <x v="0"/>
    <x v="0"/>
    <x v="21"/>
    <x v="4"/>
    <x v="7"/>
    <x v="2"/>
  </r>
  <r>
    <s v="TX501243"/>
    <x v="4"/>
    <x v="11"/>
    <x v="302"/>
    <x v="1042"/>
    <x v="48"/>
    <d v="2025-02-21T00:00:00"/>
    <x v="2"/>
    <x v="0"/>
    <x v="0"/>
    <x v="0"/>
    <x v="51"/>
    <x v="2"/>
    <x v="7"/>
    <x v="2"/>
  </r>
  <r>
    <s v="TX501244"/>
    <x v="10"/>
    <x v="5"/>
    <x v="452"/>
    <x v="992"/>
    <x v="48"/>
    <d v="2025-02-20T00:00:00"/>
    <x v="2"/>
    <x v="3"/>
    <x v="2"/>
    <x v="0"/>
    <x v="1"/>
    <x v="1"/>
    <x v="7"/>
    <x v="2"/>
  </r>
  <r>
    <s v="TX501245"/>
    <x v="7"/>
    <x v="1"/>
    <x v="695"/>
    <x v="1043"/>
    <x v="48"/>
    <d v="2025-02-20T00:00:00"/>
    <x v="2"/>
    <x v="0"/>
    <x v="3"/>
    <x v="0"/>
    <x v="1"/>
    <x v="1"/>
    <x v="7"/>
    <x v="2"/>
  </r>
  <r>
    <s v="TX501246"/>
    <x v="17"/>
    <x v="9"/>
    <x v="297"/>
    <x v="1044"/>
    <x v="48"/>
    <d v="2025-02-19T00:00:00"/>
    <x v="1"/>
    <x v="1"/>
    <x v="1"/>
    <x v="0"/>
    <x v="2"/>
    <x v="3"/>
    <x v="7"/>
    <x v="1"/>
  </r>
  <r>
    <s v="TX501247"/>
    <x v="10"/>
    <x v="0"/>
    <x v="258"/>
    <x v="1045"/>
    <x v="48"/>
    <d v="2025-02-19T00:00:00"/>
    <x v="1"/>
    <x v="0"/>
    <x v="0"/>
    <x v="0"/>
    <x v="3"/>
    <x v="3"/>
    <x v="7"/>
    <x v="1"/>
  </r>
  <r>
    <s v="TX501248"/>
    <x v="2"/>
    <x v="9"/>
    <x v="696"/>
    <x v="1046"/>
    <x v="48"/>
    <d v="2025-02-21T00:00:00"/>
    <x v="2"/>
    <x v="4"/>
    <x v="4"/>
    <x v="0"/>
    <x v="3"/>
    <x v="2"/>
    <x v="7"/>
    <x v="2"/>
  </r>
  <r>
    <s v="TX501249"/>
    <x v="8"/>
    <x v="0"/>
    <x v="202"/>
    <x v="220"/>
    <x v="48"/>
    <d v="2025-02-18T00:00:00"/>
    <x v="1"/>
    <x v="4"/>
    <x v="1"/>
    <x v="0"/>
    <x v="3"/>
    <x v="7"/>
    <x v="7"/>
    <x v="1"/>
  </r>
  <r>
    <s v="TX501250"/>
    <x v="0"/>
    <x v="1"/>
    <x v="369"/>
    <x v="1047"/>
    <x v="48"/>
    <d v="2025-02-20T00:00:00"/>
    <x v="2"/>
    <x v="2"/>
    <x v="0"/>
    <x v="0"/>
    <x v="3"/>
    <x v="1"/>
    <x v="7"/>
    <x v="2"/>
  </r>
  <r>
    <s v="TX501251"/>
    <x v="15"/>
    <x v="12"/>
    <x v="697"/>
    <x v="310"/>
    <x v="48"/>
    <d v="2025-02-23T00:00:00"/>
    <x v="1"/>
    <x v="0"/>
    <x v="0"/>
    <x v="0"/>
    <x v="3"/>
    <x v="0"/>
    <x v="7"/>
    <x v="1"/>
  </r>
  <r>
    <s v="TX501252"/>
    <x v="18"/>
    <x v="12"/>
    <x v="570"/>
    <x v="1048"/>
    <x v="48"/>
    <d v="2025-02-23T00:00:00"/>
    <x v="0"/>
    <x v="0"/>
    <x v="2"/>
    <x v="0"/>
    <x v="3"/>
    <x v="0"/>
    <x v="7"/>
    <x v="0"/>
  </r>
  <r>
    <s v="TX501253"/>
    <x v="9"/>
    <x v="11"/>
    <x v="80"/>
    <x v="82"/>
    <x v="48"/>
    <d v="2025-02-19T00:00:00"/>
    <x v="2"/>
    <x v="0"/>
    <x v="1"/>
    <x v="0"/>
    <x v="3"/>
    <x v="3"/>
    <x v="7"/>
    <x v="2"/>
  </r>
  <r>
    <s v="TX501254"/>
    <x v="1"/>
    <x v="1"/>
    <x v="698"/>
    <x v="230"/>
    <x v="48"/>
    <d v="2025-02-18T00:00:00"/>
    <x v="2"/>
    <x v="4"/>
    <x v="2"/>
    <x v="0"/>
    <x v="3"/>
    <x v="7"/>
    <x v="7"/>
    <x v="2"/>
  </r>
  <r>
    <s v="TX501255"/>
    <x v="1"/>
    <x v="1"/>
    <x v="699"/>
    <x v="1049"/>
    <x v="48"/>
    <d v="2025-02-19T00:00:00"/>
    <x v="2"/>
    <x v="0"/>
    <x v="2"/>
    <x v="0"/>
    <x v="5"/>
    <x v="3"/>
    <x v="7"/>
    <x v="2"/>
  </r>
  <r>
    <s v="TX501256"/>
    <x v="11"/>
    <x v="3"/>
    <x v="419"/>
    <x v="1050"/>
    <x v="48"/>
    <d v="2025-02-19T00:00:00"/>
    <x v="2"/>
    <x v="1"/>
    <x v="0"/>
    <x v="0"/>
    <x v="5"/>
    <x v="3"/>
    <x v="7"/>
    <x v="2"/>
  </r>
  <r>
    <s v="TX501257"/>
    <x v="1"/>
    <x v="1"/>
    <x v="495"/>
    <x v="622"/>
    <x v="48"/>
    <d v="2025-02-20T00:00:00"/>
    <x v="1"/>
    <x v="1"/>
    <x v="2"/>
    <x v="0"/>
    <x v="6"/>
    <x v="1"/>
    <x v="7"/>
    <x v="1"/>
  </r>
  <r>
    <s v="TX501258"/>
    <x v="2"/>
    <x v="2"/>
    <x v="700"/>
    <x v="1051"/>
    <x v="48"/>
    <d v="2025-02-19T00:00:00"/>
    <x v="1"/>
    <x v="1"/>
    <x v="1"/>
    <x v="0"/>
    <x v="6"/>
    <x v="3"/>
    <x v="7"/>
    <x v="1"/>
  </r>
  <r>
    <s v="TX501259"/>
    <x v="10"/>
    <x v="9"/>
    <x v="325"/>
    <x v="226"/>
    <x v="48"/>
    <d v="2025-02-19T00:00:00"/>
    <x v="1"/>
    <x v="0"/>
    <x v="0"/>
    <x v="0"/>
    <x v="6"/>
    <x v="3"/>
    <x v="7"/>
    <x v="1"/>
  </r>
  <r>
    <s v="TX501260"/>
    <x v="7"/>
    <x v="9"/>
    <x v="701"/>
    <x v="1052"/>
    <x v="48"/>
    <d v="2025-02-20T00:00:00"/>
    <x v="1"/>
    <x v="4"/>
    <x v="0"/>
    <x v="0"/>
    <x v="6"/>
    <x v="1"/>
    <x v="7"/>
    <x v="1"/>
  </r>
  <r>
    <s v="TX501261"/>
    <x v="8"/>
    <x v="1"/>
    <x v="347"/>
    <x v="1053"/>
    <x v="48"/>
    <d v="2025-02-19T00:00:00"/>
    <x v="1"/>
    <x v="4"/>
    <x v="0"/>
    <x v="0"/>
    <x v="7"/>
    <x v="3"/>
    <x v="7"/>
    <x v="1"/>
  </r>
  <r>
    <s v="TX501262"/>
    <x v="2"/>
    <x v="1"/>
    <x v="702"/>
    <x v="1054"/>
    <x v="48"/>
    <d v="2025-02-19T00:00:00"/>
    <x v="1"/>
    <x v="1"/>
    <x v="2"/>
    <x v="0"/>
    <x v="8"/>
    <x v="3"/>
    <x v="7"/>
    <x v="1"/>
  </r>
  <r>
    <s v="TX501263"/>
    <x v="9"/>
    <x v="2"/>
    <x v="34"/>
    <x v="854"/>
    <x v="48"/>
    <d v="2025-02-20T00:00:00"/>
    <x v="1"/>
    <x v="0"/>
    <x v="0"/>
    <x v="0"/>
    <x v="8"/>
    <x v="1"/>
    <x v="7"/>
    <x v="1"/>
  </r>
  <r>
    <s v="TX501264"/>
    <x v="9"/>
    <x v="1"/>
    <x v="703"/>
    <x v="1055"/>
    <x v="48"/>
    <d v="2025-02-18T00:00:00"/>
    <x v="1"/>
    <x v="0"/>
    <x v="2"/>
    <x v="0"/>
    <x v="8"/>
    <x v="7"/>
    <x v="7"/>
    <x v="1"/>
  </r>
  <r>
    <s v="TX501265"/>
    <x v="10"/>
    <x v="15"/>
    <x v="160"/>
    <x v="1056"/>
    <x v="48"/>
    <d v="2025-02-21T00:00:00"/>
    <x v="2"/>
    <x v="0"/>
    <x v="1"/>
    <x v="0"/>
    <x v="8"/>
    <x v="2"/>
    <x v="7"/>
    <x v="2"/>
  </r>
  <r>
    <s v="TX501266"/>
    <x v="0"/>
    <x v="0"/>
    <x v="661"/>
    <x v="1057"/>
    <x v="48"/>
    <d v="2025-02-20T00:00:00"/>
    <x v="2"/>
    <x v="4"/>
    <x v="2"/>
    <x v="0"/>
    <x v="8"/>
    <x v="1"/>
    <x v="7"/>
    <x v="2"/>
  </r>
  <r>
    <s v="TX501267"/>
    <x v="19"/>
    <x v="2"/>
    <x v="162"/>
    <x v="1058"/>
    <x v="48"/>
    <d v="2025-02-20T00:00:00"/>
    <x v="1"/>
    <x v="1"/>
    <x v="0"/>
    <x v="0"/>
    <x v="8"/>
    <x v="1"/>
    <x v="7"/>
    <x v="1"/>
  </r>
  <r>
    <s v="TX501268"/>
    <x v="18"/>
    <x v="13"/>
    <x v="704"/>
    <x v="1059"/>
    <x v="48"/>
    <d v="2025-02-21T00:00:00"/>
    <x v="1"/>
    <x v="0"/>
    <x v="0"/>
    <x v="0"/>
    <x v="8"/>
    <x v="2"/>
    <x v="7"/>
    <x v="1"/>
  </r>
  <r>
    <s v="TX501269"/>
    <x v="7"/>
    <x v="2"/>
    <x v="705"/>
    <x v="1060"/>
    <x v="48"/>
    <d v="2025-02-22T00:00:00"/>
    <x v="2"/>
    <x v="0"/>
    <x v="0"/>
    <x v="0"/>
    <x v="17"/>
    <x v="5"/>
    <x v="7"/>
    <x v="2"/>
  </r>
  <r>
    <s v="TX501270"/>
    <x v="3"/>
    <x v="0"/>
    <x v="435"/>
    <x v="530"/>
    <x v="48"/>
    <d v="2025-02-21T00:00:00"/>
    <x v="2"/>
    <x v="0"/>
    <x v="1"/>
    <x v="0"/>
    <x v="17"/>
    <x v="2"/>
    <x v="7"/>
    <x v="2"/>
  </r>
  <r>
    <s v="TX501271"/>
    <x v="11"/>
    <x v="1"/>
    <x v="706"/>
    <x v="1061"/>
    <x v="48"/>
    <d v="2025-02-19T00:00:00"/>
    <x v="2"/>
    <x v="0"/>
    <x v="1"/>
    <x v="0"/>
    <x v="17"/>
    <x v="3"/>
    <x v="7"/>
    <x v="2"/>
  </r>
  <r>
    <s v="TX501272"/>
    <x v="16"/>
    <x v="1"/>
    <x v="707"/>
    <x v="1062"/>
    <x v="48"/>
    <d v="2025-02-18T00:00:00"/>
    <x v="1"/>
    <x v="1"/>
    <x v="0"/>
    <x v="0"/>
    <x v="26"/>
    <x v="7"/>
    <x v="7"/>
    <x v="1"/>
  </r>
  <r>
    <s v="TX501273"/>
    <x v="4"/>
    <x v="1"/>
    <x v="59"/>
    <x v="1063"/>
    <x v="48"/>
    <d v="2025-02-21T00:00:00"/>
    <x v="1"/>
    <x v="1"/>
    <x v="0"/>
    <x v="0"/>
    <x v="10"/>
    <x v="2"/>
    <x v="7"/>
    <x v="1"/>
  </r>
  <r>
    <s v="TX501274"/>
    <x v="12"/>
    <x v="13"/>
    <x v="110"/>
    <x v="116"/>
    <x v="48"/>
    <d v="2025-02-18T00:00:00"/>
    <x v="2"/>
    <x v="3"/>
    <x v="0"/>
    <x v="0"/>
    <x v="11"/>
    <x v="7"/>
    <x v="7"/>
    <x v="2"/>
  </r>
  <r>
    <s v="TX501275"/>
    <x v="2"/>
    <x v="3"/>
    <x v="241"/>
    <x v="1064"/>
    <x v="48"/>
    <d v="2025-02-20T00:00:00"/>
    <x v="2"/>
    <x v="0"/>
    <x v="1"/>
    <x v="0"/>
    <x v="11"/>
    <x v="1"/>
    <x v="7"/>
    <x v="2"/>
  </r>
  <r>
    <s v="TX501276"/>
    <x v="1"/>
    <x v="2"/>
    <x v="707"/>
    <x v="1065"/>
    <x v="48"/>
    <d v="2025-02-19T00:00:00"/>
    <x v="2"/>
    <x v="1"/>
    <x v="0"/>
    <x v="0"/>
    <x v="11"/>
    <x v="3"/>
    <x v="7"/>
    <x v="2"/>
  </r>
  <r>
    <s v="TX501277"/>
    <x v="8"/>
    <x v="12"/>
    <x v="359"/>
    <x v="714"/>
    <x v="48"/>
    <d v="2025-02-20T00:00:00"/>
    <x v="2"/>
    <x v="0"/>
    <x v="0"/>
    <x v="0"/>
    <x v="11"/>
    <x v="1"/>
    <x v="7"/>
    <x v="2"/>
  </r>
  <r>
    <s v="TX501278"/>
    <x v="5"/>
    <x v="8"/>
    <x v="38"/>
    <x v="1066"/>
    <x v="48"/>
    <d v="2025-02-19T00:00:00"/>
    <x v="0"/>
    <x v="3"/>
    <x v="2"/>
    <x v="0"/>
    <x v="11"/>
    <x v="3"/>
    <x v="7"/>
    <x v="0"/>
  </r>
  <r>
    <s v="TX501279"/>
    <x v="2"/>
    <x v="1"/>
    <x v="708"/>
    <x v="1067"/>
    <x v="48"/>
    <d v="2025-02-19T00:00:00"/>
    <x v="2"/>
    <x v="1"/>
    <x v="4"/>
    <x v="0"/>
    <x v="53"/>
    <x v="3"/>
    <x v="7"/>
    <x v="2"/>
  </r>
  <r>
    <s v="TX501280"/>
    <x v="8"/>
    <x v="2"/>
    <x v="108"/>
    <x v="1068"/>
    <x v="48"/>
    <d v="2025-02-19T00:00:00"/>
    <x v="2"/>
    <x v="4"/>
    <x v="0"/>
    <x v="0"/>
    <x v="30"/>
    <x v="3"/>
    <x v="7"/>
    <x v="2"/>
  </r>
  <r>
    <s v="TX501281"/>
    <x v="5"/>
    <x v="9"/>
    <x v="344"/>
    <x v="1069"/>
    <x v="48"/>
    <d v="2025-02-22T00:00:00"/>
    <x v="2"/>
    <x v="3"/>
    <x v="0"/>
    <x v="0"/>
    <x v="13"/>
    <x v="5"/>
    <x v="7"/>
    <x v="2"/>
  </r>
  <r>
    <s v="TX501282"/>
    <x v="1"/>
    <x v="9"/>
    <x v="521"/>
    <x v="856"/>
    <x v="48"/>
    <d v="2025-02-19T00:00:00"/>
    <x v="2"/>
    <x v="0"/>
    <x v="2"/>
    <x v="0"/>
    <x v="21"/>
    <x v="3"/>
    <x v="7"/>
    <x v="2"/>
  </r>
  <r>
    <s v="TX501283"/>
    <x v="6"/>
    <x v="7"/>
    <x v="709"/>
    <x v="1070"/>
    <x v="48"/>
    <d v="2025-02-18T00:00:00"/>
    <x v="1"/>
    <x v="1"/>
    <x v="1"/>
    <x v="0"/>
    <x v="21"/>
    <x v="7"/>
    <x v="7"/>
    <x v="1"/>
  </r>
  <r>
    <s v="TX501284"/>
    <x v="6"/>
    <x v="2"/>
    <x v="394"/>
    <x v="1071"/>
    <x v="48"/>
    <d v="2025-02-19T00:00:00"/>
    <x v="2"/>
    <x v="0"/>
    <x v="2"/>
    <x v="0"/>
    <x v="54"/>
    <x v="3"/>
    <x v="7"/>
    <x v="2"/>
  </r>
  <r>
    <s v="TX501285"/>
    <x v="2"/>
    <x v="7"/>
    <x v="417"/>
    <x v="1072"/>
    <x v="48"/>
    <d v="2025-02-19T00:00:00"/>
    <x v="1"/>
    <x v="2"/>
    <x v="1"/>
    <x v="0"/>
    <x v="1"/>
    <x v="3"/>
    <x v="7"/>
    <x v="1"/>
  </r>
  <r>
    <s v="TX501286"/>
    <x v="17"/>
    <x v="13"/>
    <x v="68"/>
    <x v="1073"/>
    <x v="48"/>
    <d v="2025-02-19T00:00:00"/>
    <x v="1"/>
    <x v="1"/>
    <x v="0"/>
    <x v="0"/>
    <x v="1"/>
    <x v="3"/>
    <x v="7"/>
    <x v="1"/>
  </r>
  <r>
    <s v="TX501287"/>
    <x v="14"/>
    <x v="2"/>
    <x v="161"/>
    <x v="1074"/>
    <x v="49"/>
    <d v="2025-02-22T00:00:00"/>
    <x v="1"/>
    <x v="2"/>
    <x v="2"/>
    <x v="0"/>
    <x v="1"/>
    <x v="2"/>
    <x v="7"/>
    <x v="1"/>
  </r>
  <r>
    <s v="TX501288"/>
    <x v="12"/>
    <x v="12"/>
    <x v="710"/>
    <x v="1075"/>
    <x v="49"/>
    <d v="2025-02-20T00:00:00"/>
    <x v="1"/>
    <x v="1"/>
    <x v="0"/>
    <x v="0"/>
    <x v="2"/>
    <x v="3"/>
    <x v="7"/>
    <x v="1"/>
  </r>
  <r>
    <s v="TX501289"/>
    <x v="8"/>
    <x v="0"/>
    <x v="581"/>
    <x v="1076"/>
    <x v="49"/>
    <d v="2025-02-22T00:00:00"/>
    <x v="1"/>
    <x v="0"/>
    <x v="2"/>
    <x v="0"/>
    <x v="50"/>
    <x v="2"/>
    <x v="7"/>
    <x v="1"/>
  </r>
  <r>
    <s v="TX501290"/>
    <x v="8"/>
    <x v="0"/>
    <x v="11"/>
    <x v="268"/>
    <x v="49"/>
    <d v="2025-02-20T00:00:00"/>
    <x v="1"/>
    <x v="1"/>
    <x v="0"/>
    <x v="0"/>
    <x v="3"/>
    <x v="3"/>
    <x v="7"/>
    <x v="1"/>
  </r>
  <r>
    <s v="TX501291"/>
    <x v="8"/>
    <x v="13"/>
    <x v="438"/>
    <x v="1077"/>
    <x v="49"/>
    <d v="2025-02-26T00:00:00"/>
    <x v="1"/>
    <x v="0"/>
    <x v="2"/>
    <x v="0"/>
    <x v="3"/>
    <x v="6"/>
    <x v="7"/>
    <x v="1"/>
  </r>
  <r>
    <s v="TX501292"/>
    <x v="4"/>
    <x v="10"/>
    <x v="711"/>
    <x v="1078"/>
    <x v="49"/>
    <d v="2025-02-19T00:00:00"/>
    <x v="2"/>
    <x v="0"/>
    <x v="0"/>
    <x v="0"/>
    <x v="3"/>
    <x v="7"/>
    <x v="7"/>
    <x v="2"/>
  </r>
  <r>
    <s v="TX501293"/>
    <x v="1"/>
    <x v="7"/>
    <x v="109"/>
    <x v="1079"/>
    <x v="49"/>
    <d v="2025-02-24T00:00:00"/>
    <x v="1"/>
    <x v="4"/>
    <x v="2"/>
    <x v="0"/>
    <x v="3"/>
    <x v="0"/>
    <x v="7"/>
    <x v="1"/>
  </r>
  <r>
    <s v="TX501294"/>
    <x v="10"/>
    <x v="1"/>
    <x v="545"/>
    <x v="998"/>
    <x v="49"/>
    <d v="2025-02-20T00:00:00"/>
    <x v="1"/>
    <x v="1"/>
    <x v="1"/>
    <x v="0"/>
    <x v="3"/>
    <x v="3"/>
    <x v="7"/>
    <x v="1"/>
  </r>
  <r>
    <s v="TX501295"/>
    <x v="5"/>
    <x v="2"/>
    <x v="76"/>
    <x v="1080"/>
    <x v="49"/>
    <d v="2025-02-23T00:00:00"/>
    <x v="0"/>
    <x v="0"/>
    <x v="1"/>
    <x v="0"/>
    <x v="3"/>
    <x v="5"/>
    <x v="7"/>
    <x v="0"/>
  </r>
  <r>
    <s v="TX501296"/>
    <x v="10"/>
    <x v="4"/>
    <x v="382"/>
    <x v="1081"/>
    <x v="49"/>
    <d v="2025-02-21T00:00:00"/>
    <x v="1"/>
    <x v="1"/>
    <x v="0"/>
    <x v="0"/>
    <x v="3"/>
    <x v="1"/>
    <x v="7"/>
    <x v="1"/>
  </r>
  <r>
    <s v="TX501297"/>
    <x v="11"/>
    <x v="40"/>
    <x v="550"/>
    <x v="1082"/>
    <x v="49"/>
    <d v="2025-02-22T00:00:00"/>
    <x v="2"/>
    <x v="1"/>
    <x v="0"/>
    <x v="0"/>
    <x v="3"/>
    <x v="2"/>
    <x v="7"/>
    <x v="2"/>
  </r>
  <r>
    <s v="TX501298"/>
    <x v="7"/>
    <x v="13"/>
    <x v="226"/>
    <x v="1083"/>
    <x v="49"/>
    <d v="2025-02-20T00:00:00"/>
    <x v="2"/>
    <x v="2"/>
    <x v="0"/>
    <x v="0"/>
    <x v="43"/>
    <x v="3"/>
    <x v="7"/>
    <x v="2"/>
  </r>
  <r>
    <s v="TX501299"/>
    <x v="4"/>
    <x v="4"/>
    <x v="19"/>
    <x v="982"/>
    <x v="49"/>
    <d v="2025-02-24T00:00:00"/>
    <x v="2"/>
    <x v="2"/>
    <x v="0"/>
    <x v="0"/>
    <x v="16"/>
    <x v="0"/>
    <x v="7"/>
    <x v="2"/>
  </r>
  <r>
    <s v="TX501300"/>
    <x v="8"/>
    <x v="0"/>
    <x v="595"/>
    <x v="1084"/>
    <x v="49"/>
    <d v="2025-02-20T00:00:00"/>
    <x v="2"/>
    <x v="0"/>
    <x v="0"/>
    <x v="0"/>
    <x v="5"/>
    <x v="3"/>
    <x v="7"/>
    <x v="2"/>
  </r>
  <r>
    <s v="TX501301"/>
    <x v="6"/>
    <x v="1"/>
    <x v="567"/>
    <x v="533"/>
    <x v="49"/>
    <d v="2025-02-20T00:00:00"/>
    <x v="2"/>
    <x v="1"/>
    <x v="1"/>
    <x v="0"/>
    <x v="23"/>
    <x v="3"/>
    <x v="7"/>
    <x v="2"/>
  </r>
  <r>
    <s v="TX501302"/>
    <x v="13"/>
    <x v="2"/>
    <x v="580"/>
    <x v="1085"/>
    <x v="49"/>
    <d v="2025-02-20T00:00:00"/>
    <x v="1"/>
    <x v="0"/>
    <x v="1"/>
    <x v="0"/>
    <x v="6"/>
    <x v="3"/>
    <x v="7"/>
    <x v="1"/>
  </r>
  <r>
    <s v="TX501303"/>
    <x v="2"/>
    <x v="0"/>
    <x v="712"/>
    <x v="1086"/>
    <x v="49"/>
    <d v="2025-02-24T00:00:00"/>
    <x v="1"/>
    <x v="1"/>
    <x v="4"/>
    <x v="0"/>
    <x v="6"/>
    <x v="0"/>
    <x v="7"/>
    <x v="1"/>
  </r>
  <r>
    <s v="TX501304"/>
    <x v="2"/>
    <x v="0"/>
    <x v="713"/>
    <x v="1087"/>
    <x v="49"/>
    <d v="2025-02-21T00:00:00"/>
    <x v="2"/>
    <x v="1"/>
    <x v="2"/>
    <x v="0"/>
    <x v="6"/>
    <x v="1"/>
    <x v="7"/>
    <x v="2"/>
  </r>
  <r>
    <s v="TX501305"/>
    <x v="2"/>
    <x v="13"/>
    <x v="714"/>
    <x v="1088"/>
    <x v="49"/>
    <d v="2025-02-20T00:00:00"/>
    <x v="2"/>
    <x v="2"/>
    <x v="2"/>
    <x v="0"/>
    <x v="7"/>
    <x v="3"/>
    <x v="7"/>
    <x v="2"/>
  </r>
  <r>
    <s v="TX501306"/>
    <x v="2"/>
    <x v="0"/>
    <x v="715"/>
    <x v="1089"/>
    <x v="49"/>
    <d v="2025-02-28T00:00:00"/>
    <x v="2"/>
    <x v="2"/>
    <x v="2"/>
    <x v="0"/>
    <x v="7"/>
    <x v="8"/>
    <x v="7"/>
    <x v="2"/>
  </r>
  <r>
    <s v="TX501307"/>
    <x v="5"/>
    <x v="1"/>
    <x v="336"/>
    <x v="1090"/>
    <x v="49"/>
    <d v="2025-02-21T00:00:00"/>
    <x v="1"/>
    <x v="1"/>
    <x v="0"/>
    <x v="0"/>
    <x v="8"/>
    <x v="1"/>
    <x v="7"/>
    <x v="1"/>
  </r>
  <r>
    <s v="TX501308"/>
    <x v="0"/>
    <x v="15"/>
    <x v="248"/>
    <x v="1091"/>
    <x v="49"/>
    <d v="2025-02-20T00:00:00"/>
    <x v="2"/>
    <x v="0"/>
    <x v="2"/>
    <x v="0"/>
    <x v="8"/>
    <x v="3"/>
    <x v="7"/>
    <x v="2"/>
  </r>
  <r>
    <s v="TX501309"/>
    <x v="12"/>
    <x v="2"/>
    <x v="193"/>
    <x v="209"/>
    <x v="49"/>
    <d v="2025-02-21T00:00:00"/>
    <x v="1"/>
    <x v="2"/>
    <x v="1"/>
    <x v="0"/>
    <x v="17"/>
    <x v="1"/>
    <x v="7"/>
    <x v="1"/>
  </r>
  <r>
    <s v="TX501310"/>
    <x v="7"/>
    <x v="8"/>
    <x v="716"/>
    <x v="1092"/>
    <x v="49"/>
    <d v="2025-02-23T00:00:00"/>
    <x v="1"/>
    <x v="3"/>
    <x v="0"/>
    <x v="0"/>
    <x v="17"/>
    <x v="5"/>
    <x v="7"/>
    <x v="1"/>
  </r>
  <r>
    <s v="TX501311"/>
    <x v="17"/>
    <x v="7"/>
    <x v="122"/>
    <x v="155"/>
    <x v="49"/>
    <d v="2025-02-25T00:00:00"/>
    <x v="1"/>
    <x v="4"/>
    <x v="0"/>
    <x v="0"/>
    <x v="9"/>
    <x v="4"/>
    <x v="7"/>
    <x v="1"/>
  </r>
  <r>
    <s v="TX501312"/>
    <x v="6"/>
    <x v="0"/>
    <x v="717"/>
    <x v="1093"/>
    <x v="49"/>
    <d v="2025-02-21T00:00:00"/>
    <x v="1"/>
    <x v="2"/>
    <x v="2"/>
    <x v="0"/>
    <x v="9"/>
    <x v="1"/>
    <x v="7"/>
    <x v="1"/>
  </r>
  <r>
    <s v="TX501313"/>
    <x v="15"/>
    <x v="9"/>
    <x v="39"/>
    <x v="1094"/>
    <x v="49"/>
    <d v="2025-02-21T00:00:00"/>
    <x v="2"/>
    <x v="0"/>
    <x v="0"/>
    <x v="0"/>
    <x v="11"/>
    <x v="1"/>
    <x v="7"/>
    <x v="2"/>
  </r>
  <r>
    <s v="TX501314"/>
    <x v="2"/>
    <x v="1"/>
    <x v="718"/>
    <x v="348"/>
    <x v="49"/>
    <d v="2025-02-20T00:00:00"/>
    <x v="2"/>
    <x v="2"/>
    <x v="0"/>
    <x v="0"/>
    <x v="18"/>
    <x v="3"/>
    <x v="7"/>
    <x v="2"/>
  </r>
  <r>
    <s v="TX501315"/>
    <x v="6"/>
    <x v="1"/>
    <x v="41"/>
    <x v="1095"/>
    <x v="49"/>
    <d v="2025-02-22T00:00:00"/>
    <x v="2"/>
    <x v="3"/>
    <x v="0"/>
    <x v="0"/>
    <x v="18"/>
    <x v="2"/>
    <x v="7"/>
    <x v="2"/>
  </r>
  <r>
    <s v="TX501316"/>
    <x v="10"/>
    <x v="3"/>
    <x v="468"/>
    <x v="1096"/>
    <x v="49"/>
    <d v="2025-02-24T00:00:00"/>
    <x v="0"/>
    <x v="2"/>
    <x v="1"/>
    <x v="0"/>
    <x v="19"/>
    <x v="0"/>
    <x v="7"/>
    <x v="0"/>
  </r>
  <r>
    <s v="TX501317"/>
    <x v="12"/>
    <x v="2"/>
    <x v="719"/>
    <x v="1097"/>
    <x v="49"/>
    <d v="2025-02-20T00:00:00"/>
    <x v="2"/>
    <x v="0"/>
    <x v="0"/>
    <x v="0"/>
    <x v="52"/>
    <x v="3"/>
    <x v="7"/>
    <x v="2"/>
  </r>
  <r>
    <s v="TX501318"/>
    <x v="12"/>
    <x v="0"/>
    <x v="720"/>
    <x v="661"/>
    <x v="50"/>
    <d v="2025-02-22T00:00:00"/>
    <x v="2"/>
    <x v="0"/>
    <x v="0"/>
    <x v="0"/>
    <x v="13"/>
    <x v="1"/>
    <x v="7"/>
    <x v="2"/>
  </r>
  <r>
    <s v="TX501319"/>
    <x v="8"/>
    <x v="1"/>
    <x v="721"/>
    <x v="1098"/>
    <x v="50"/>
    <d v="2025-02-21T00:00:00"/>
    <x v="1"/>
    <x v="1"/>
    <x v="0"/>
    <x v="0"/>
    <x v="21"/>
    <x v="3"/>
    <x v="7"/>
    <x v="1"/>
  </r>
  <r>
    <s v="TX501320"/>
    <x v="8"/>
    <x v="1"/>
    <x v="240"/>
    <x v="1099"/>
    <x v="50"/>
    <d v="2025-02-21T00:00:00"/>
    <x v="1"/>
    <x v="0"/>
    <x v="2"/>
    <x v="0"/>
    <x v="21"/>
    <x v="3"/>
    <x v="7"/>
    <x v="1"/>
  </r>
  <r>
    <s v="TX501321"/>
    <x v="8"/>
    <x v="12"/>
    <x v="538"/>
    <x v="446"/>
    <x v="50"/>
    <d v="2025-02-27T00:00:00"/>
    <x v="1"/>
    <x v="0"/>
    <x v="0"/>
    <x v="0"/>
    <x v="1"/>
    <x v="6"/>
    <x v="7"/>
    <x v="1"/>
  </r>
  <r>
    <s v="TX501322"/>
    <x v="0"/>
    <x v="1"/>
    <x v="686"/>
    <x v="1100"/>
    <x v="50"/>
    <d v="2025-02-22T00:00:00"/>
    <x v="1"/>
    <x v="0"/>
    <x v="0"/>
    <x v="0"/>
    <x v="1"/>
    <x v="1"/>
    <x v="7"/>
    <x v="1"/>
  </r>
  <r>
    <s v="TX501323"/>
    <x v="0"/>
    <x v="9"/>
    <x v="647"/>
    <x v="926"/>
    <x v="50"/>
    <d v="2025-02-23T00:00:00"/>
    <x v="2"/>
    <x v="0"/>
    <x v="0"/>
    <x v="0"/>
    <x v="1"/>
    <x v="2"/>
    <x v="7"/>
    <x v="2"/>
  </r>
  <r>
    <s v="TX501324"/>
    <x v="1"/>
    <x v="1"/>
    <x v="722"/>
    <x v="1101"/>
    <x v="50"/>
    <d v="2025-02-21T00:00:00"/>
    <x v="1"/>
    <x v="0"/>
    <x v="4"/>
    <x v="0"/>
    <x v="2"/>
    <x v="3"/>
    <x v="7"/>
    <x v="1"/>
  </r>
  <r>
    <s v="TX501325"/>
    <x v="0"/>
    <x v="2"/>
    <x v="504"/>
    <x v="647"/>
    <x v="50"/>
    <d v="2025-02-21T00:00:00"/>
    <x v="1"/>
    <x v="3"/>
    <x v="2"/>
    <x v="0"/>
    <x v="22"/>
    <x v="3"/>
    <x v="7"/>
    <x v="1"/>
  </r>
  <r>
    <s v="TX501326"/>
    <x v="15"/>
    <x v="0"/>
    <x v="457"/>
    <x v="1102"/>
    <x v="50"/>
    <d v="2025-02-22T00:00:00"/>
    <x v="1"/>
    <x v="2"/>
    <x v="0"/>
    <x v="0"/>
    <x v="55"/>
    <x v="1"/>
    <x v="7"/>
    <x v="1"/>
  </r>
  <r>
    <s v="TX501327"/>
    <x v="10"/>
    <x v="17"/>
    <x v="548"/>
    <x v="1103"/>
    <x v="50"/>
    <d v="2025-02-26T00:00:00"/>
    <x v="1"/>
    <x v="4"/>
    <x v="0"/>
    <x v="0"/>
    <x v="3"/>
    <x v="4"/>
    <x v="7"/>
    <x v="1"/>
  </r>
  <r>
    <s v="TX501328"/>
    <x v="7"/>
    <x v="12"/>
    <x v="404"/>
    <x v="1104"/>
    <x v="50"/>
    <d v="2025-02-21T00:00:00"/>
    <x v="2"/>
    <x v="1"/>
    <x v="1"/>
    <x v="0"/>
    <x v="3"/>
    <x v="3"/>
    <x v="7"/>
    <x v="2"/>
  </r>
  <r>
    <s v="TX501329"/>
    <x v="5"/>
    <x v="4"/>
    <x v="101"/>
    <x v="1105"/>
    <x v="50"/>
    <d v="2025-02-21T00:00:00"/>
    <x v="1"/>
    <x v="4"/>
    <x v="0"/>
    <x v="0"/>
    <x v="3"/>
    <x v="3"/>
    <x v="7"/>
    <x v="1"/>
  </r>
  <r>
    <s v="TX501330"/>
    <x v="16"/>
    <x v="1"/>
    <x v="723"/>
    <x v="633"/>
    <x v="50"/>
    <d v="2025-02-21T00:00:00"/>
    <x v="0"/>
    <x v="3"/>
    <x v="2"/>
    <x v="0"/>
    <x v="3"/>
    <x v="3"/>
    <x v="7"/>
    <x v="0"/>
  </r>
  <r>
    <s v="TX501331"/>
    <x v="4"/>
    <x v="1"/>
    <x v="210"/>
    <x v="440"/>
    <x v="50"/>
    <d v="2025-02-21T00:00:00"/>
    <x v="1"/>
    <x v="0"/>
    <x v="0"/>
    <x v="0"/>
    <x v="3"/>
    <x v="3"/>
    <x v="7"/>
    <x v="1"/>
  </r>
  <r>
    <s v="TX501332"/>
    <x v="4"/>
    <x v="13"/>
    <x v="79"/>
    <x v="80"/>
    <x v="50"/>
    <d v="2025-02-24T00:00:00"/>
    <x v="2"/>
    <x v="2"/>
    <x v="0"/>
    <x v="0"/>
    <x v="3"/>
    <x v="5"/>
    <x v="7"/>
    <x v="2"/>
  </r>
  <r>
    <s v="TX501333"/>
    <x v="9"/>
    <x v="38"/>
    <x v="724"/>
    <x v="1106"/>
    <x v="50"/>
    <d v="2025-02-23T00:00:00"/>
    <x v="2"/>
    <x v="0"/>
    <x v="1"/>
    <x v="0"/>
    <x v="3"/>
    <x v="2"/>
    <x v="7"/>
    <x v="2"/>
  </r>
  <r>
    <s v="TX501334"/>
    <x v="11"/>
    <x v="2"/>
    <x v="216"/>
    <x v="233"/>
    <x v="50"/>
    <d v="2025-02-22T00:00:00"/>
    <x v="1"/>
    <x v="0"/>
    <x v="2"/>
    <x v="0"/>
    <x v="3"/>
    <x v="1"/>
    <x v="7"/>
    <x v="1"/>
  </r>
  <r>
    <s v="TX501335"/>
    <x v="8"/>
    <x v="0"/>
    <x v="129"/>
    <x v="134"/>
    <x v="50"/>
    <d v="2025-02-21T00:00:00"/>
    <x v="2"/>
    <x v="0"/>
    <x v="2"/>
    <x v="0"/>
    <x v="3"/>
    <x v="3"/>
    <x v="7"/>
    <x v="2"/>
  </r>
  <r>
    <s v="TX501336"/>
    <x v="5"/>
    <x v="0"/>
    <x v="42"/>
    <x v="1107"/>
    <x v="50"/>
    <d v="2025-02-22T00:00:00"/>
    <x v="1"/>
    <x v="0"/>
    <x v="0"/>
    <x v="0"/>
    <x v="3"/>
    <x v="1"/>
    <x v="7"/>
    <x v="1"/>
  </r>
  <r>
    <s v="TX501337"/>
    <x v="9"/>
    <x v="9"/>
    <x v="725"/>
    <x v="1108"/>
    <x v="50"/>
    <d v="2025-02-22T00:00:00"/>
    <x v="1"/>
    <x v="4"/>
    <x v="1"/>
    <x v="0"/>
    <x v="3"/>
    <x v="1"/>
    <x v="7"/>
    <x v="1"/>
  </r>
  <r>
    <s v="TX501338"/>
    <x v="6"/>
    <x v="2"/>
    <x v="726"/>
    <x v="816"/>
    <x v="50"/>
    <d v="2025-02-21T00:00:00"/>
    <x v="1"/>
    <x v="1"/>
    <x v="4"/>
    <x v="0"/>
    <x v="16"/>
    <x v="3"/>
    <x v="7"/>
    <x v="1"/>
  </r>
  <r>
    <s v="TX501339"/>
    <x v="15"/>
    <x v="8"/>
    <x v="59"/>
    <x v="827"/>
    <x v="50"/>
    <d v="2025-02-25T00:00:00"/>
    <x v="1"/>
    <x v="0"/>
    <x v="2"/>
    <x v="0"/>
    <x v="23"/>
    <x v="0"/>
    <x v="7"/>
    <x v="1"/>
  </r>
  <r>
    <s v="TX501340"/>
    <x v="7"/>
    <x v="1"/>
    <x v="470"/>
    <x v="1109"/>
    <x v="50"/>
    <d v="2025-02-21T00:00:00"/>
    <x v="2"/>
    <x v="0"/>
    <x v="1"/>
    <x v="0"/>
    <x v="6"/>
    <x v="3"/>
    <x v="7"/>
    <x v="2"/>
  </r>
  <r>
    <s v="TX501341"/>
    <x v="6"/>
    <x v="4"/>
    <x v="253"/>
    <x v="1110"/>
    <x v="50"/>
    <d v="2025-02-22T00:00:00"/>
    <x v="1"/>
    <x v="1"/>
    <x v="2"/>
    <x v="0"/>
    <x v="6"/>
    <x v="1"/>
    <x v="7"/>
    <x v="1"/>
  </r>
  <r>
    <s v="TX501342"/>
    <x v="6"/>
    <x v="0"/>
    <x v="659"/>
    <x v="1111"/>
    <x v="50"/>
    <d v="2025-02-23T00:00:00"/>
    <x v="1"/>
    <x v="2"/>
    <x v="0"/>
    <x v="0"/>
    <x v="7"/>
    <x v="2"/>
    <x v="7"/>
    <x v="1"/>
  </r>
  <r>
    <s v="TX501343"/>
    <x v="7"/>
    <x v="41"/>
    <x v="450"/>
    <x v="1112"/>
    <x v="50"/>
    <d v="2025-02-23T00:00:00"/>
    <x v="1"/>
    <x v="2"/>
    <x v="0"/>
    <x v="0"/>
    <x v="8"/>
    <x v="2"/>
    <x v="7"/>
    <x v="1"/>
  </r>
  <r>
    <s v="TX501344"/>
    <x v="8"/>
    <x v="2"/>
    <x v="23"/>
    <x v="1113"/>
    <x v="50"/>
    <d v="2025-02-21T00:00:00"/>
    <x v="2"/>
    <x v="1"/>
    <x v="1"/>
    <x v="0"/>
    <x v="8"/>
    <x v="3"/>
    <x v="7"/>
    <x v="2"/>
  </r>
  <r>
    <s v="TX501345"/>
    <x v="0"/>
    <x v="1"/>
    <x v="727"/>
    <x v="1114"/>
    <x v="50"/>
    <d v="2025-02-23T00:00:00"/>
    <x v="1"/>
    <x v="2"/>
    <x v="1"/>
    <x v="0"/>
    <x v="8"/>
    <x v="2"/>
    <x v="7"/>
    <x v="1"/>
  </r>
  <r>
    <s v="TX501346"/>
    <x v="5"/>
    <x v="8"/>
    <x v="215"/>
    <x v="1115"/>
    <x v="50"/>
    <d v="2025-02-23T00:00:00"/>
    <x v="2"/>
    <x v="4"/>
    <x v="0"/>
    <x v="0"/>
    <x v="8"/>
    <x v="2"/>
    <x v="7"/>
    <x v="2"/>
  </r>
  <r>
    <s v="TX501347"/>
    <x v="15"/>
    <x v="12"/>
    <x v="217"/>
    <x v="624"/>
    <x v="50"/>
    <d v="2025-02-23T00:00:00"/>
    <x v="2"/>
    <x v="4"/>
    <x v="4"/>
    <x v="0"/>
    <x v="8"/>
    <x v="2"/>
    <x v="7"/>
    <x v="2"/>
  </r>
  <r>
    <s v="TX501348"/>
    <x v="0"/>
    <x v="0"/>
    <x v="399"/>
    <x v="1116"/>
    <x v="50"/>
    <d v="2025-02-22T00:00:00"/>
    <x v="2"/>
    <x v="0"/>
    <x v="1"/>
    <x v="0"/>
    <x v="17"/>
    <x v="1"/>
    <x v="7"/>
    <x v="2"/>
  </r>
  <r>
    <s v="TX501349"/>
    <x v="18"/>
    <x v="12"/>
    <x v="365"/>
    <x v="717"/>
    <x v="50"/>
    <d v="2025-02-22T00:00:00"/>
    <x v="1"/>
    <x v="1"/>
    <x v="2"/>
    <x v="0"/>
    <x v="9"/>
    <x v="1"/>
    <x v="7"/>
    <x v="1"/>
  </r>
  <r>
    <s v="TX501350"/>
    <x v="10"/>
    <x v="0"/>
    <x v="145"/>
    <x v="1117"/>
    <x v="51"/>
    <d v="2025-02-23T00:00:00"/>
    <x v="3"/>
    <x v="2"/>
    <x v="0"/>
    <x v="0"/>
    <x v="9"/>
    <x v="1"/>
    <x v="7"/>
    <x v="3"/>
  </r>
  <r>
    <s v="TX501351"/>
    <x v="2"/>
    <x v="2"/>
    <x v="710"/>
    <x v="1118"/>
    <x v="51"/>
    <d v="2025-02-25T00:00:00"/>
    <x v="2"/>
    <x v="1"/>
    <x v="2"/>
    <x v="0"/>
    <x v="19"/>
    <x v="5"/>
    <x v="7"/>
    <x v="2"/>
  </r>
  <r>
    <s v="TX501352"/>
    <x v="18"/>
    <x v="12"/>
    <x v="719"/>
    <x v="1119"/>
    <x v="51"/>
    <d v="2025-02-23T00:00:00"/>
    <x v="1"/>
    <x v="4"/>
    <x v="2"/>
    <x v="0"/>
    <x v="19"/>
    <x v="1"/>
    <x v="7"/>
    <x v="1"/>
  </r>
  <r>
    <s v="TX501353"/>
    <x v="16"/>
    <x v="2"/>
    <x v="728"/>
    <x v="1120"/>
    <x v="51"/>
    <d v="2025-03-01T00:00:00"/>
    <x v="2"/>
    <x v="0"/>
    <x v="4"/>
    <x v="0"/>
    <x v="19"/>
    <x v="9"/>
    <x v="7"/>
    <x v="2"/>
  </r>
  <r>
    <s v="TX501354"/>
    <x v="7"/>
    <x v="2"/>
    <x v="729"/>
    <x v="1121"/>
    <x v="51"/>
    <d v="2025-02-22T00:00:00"/>
    <x v="1"/>
    <x v="1"/>
    <x v="1"/>
    <x v="0"/>
    <x v="19"/>
    <x v="3"/>
    <x v="7"/>
    <x v="1"/>
  </r>
  <r>
    <s v="TX501355"/>
    <x v="6"/>
    <x v="3"/>
    <x v="50"/>
    <x v="1122"/>
    <x v="51"/>
    <d v="2025-02-22T00:00:00"/>
    <x v="1"/>
    <x v="1"/>
    <x v="0"/>
    <x v="0"/>
    <x v="20"/>
    <x v="3"/>
    <x v="7"/>
    <x v="1"/>
  </r>
  <r>
    <s v="TX501356"/>
    <x v="11"/>
    <x v="8"/>
    <x v="324"/>
    <x v="1123"/>
    <x v="51"/>
    <d v="2025-02-26T00:00:00"/>
    <x v="2"/>
    <x v="0"/>
    <x v="2"/>
    <x v="0"/>
    <x v="52"/>
    <x v="0"/>
    <x v="7"/>
    <x v="2"/>
  </r>
  <r>
    <s v="TX501357"/>
    <x v="6"/>
    <x v="0"/>
    <x v="730"/>
    <x v="1124"/>
    <x v="51"/>
    <d v="2025-02-22T00:00:00"/>
    <x v="2"/>
    <x v="1"/>
    <x v="0"/>
    <x v="0"/>
    <x v="13"/>
    <x v="3"/>
    <x v="7"/>
    <x v="2"/>
  </r>
  <r>
    <s v="TX501358"/>
    <x v="7"/>
    <x v="0"/>
    <x v="232"/>
    <x v="253"/>
    <x v="51"/>
    <d v="2025-02-25T00:00:00"/>
    <x v="1"/>
    <x v="2"/>
    <x v="0"/>
    <x v="0"/>
    <x v="13"/>
    <x v="5"/>
    <x v="7"/>
    <x v="1"/>
  </r>
  <r>
    <s v="TX501359"/>
    <x v="12"/>
    <x v="1"/>
    <x v="471"/>
    <x v="932"/>
    <x v="51"/>
    <d v="2025-02-22T00:00:00"/>
    <x v="0"/>
    <x v="0"/>
    <x v="0"/>
    <x v="0"/>
    <x v="28"/>
    <x v="3"/>
    <x v="7"/>
    <x v="0"/>
  </r>
  <r>
    <s v="TX501360"/>
    <x v="6"/>
    <x v="1"/>
    <x v="731"/>
    <x v="281"/>
    <x v="51"/>
    <d v="2025-02-22T00:00:00"/>
    <x v="1"/>
    <x v="0"/>
    <x v="0"/>
    <x v="0"/>
    <x v="21"/>
    <x v="3"/>
    <x v="7"/>
    <x v="1"/>
  </r>
  <r>
    <s v="TX501361"/>
    <x v="6"/>
    <x v="2"/>
    <x v="732"/>
    <x v="1125"/>
    <x v="51"/>
    <d v="2025-02-22T00:00:00"/>
    <x v="2"/>
    <x v="1"/>
    <x v="1"/>
    <x v="0"/>
    <x v="21"/>
    <x v="3"/>
    <x v="7"/>
    <x v="2"/>
  </r>
  <r>
    <s v="TX501362"/>
    <x v="2"/>
    <x v="1"/>
    <x v="505"/>
    <x v="1126"/>
    <x v="51"/>
    <d v="2025-02-22T00:00:00"/>
    <x v="1"/>
    <x v="0"/>
    <x v="0"/>
    <x v="0"/>
    <x v="1"/>
    <x v="3"/>
    <x v="7"/>
    <x v="1"/>
  </r>
  <r>
    <s v="TX501363"/>
    <x v="13"/>
    <x v="1"/>
    <x v="522"/>
    <x v="781"/>
    <x v="51"/>
    <d v="2025-02-22T00:00:00"/>
    <x v="0"/>
    <x v="1"/>
    <x v="1"/>
    <x v="0"/>
    <x v="1"/>
    <x v="3"/>
    <x v="7"/>
    <x v="0"/>
  </r>
  <r>
    <s v="TX501364"/>
    <x v="8"/>
    <x v="12"/>
    <x v="70"/>
    <x v="1127"/>
    <x v="51"/>
    <d v="2025-02-27T00:00:00"/>
    <x v="1"/>
    <x v="2"/>
    <x v="0"/>
    <x v="0"/>
    <x v="3"/>
    <x v="4"/>
    <x v="7"/>
    <x v="1"/>
  </r>
  <r>
    <s v="TX501365"/>
    <x v="2"/>
    <x v="1"/>
    <x v="521"/>
    <x v="1128"/>
    <x v="51"/>
    <d v="2025-02-21T00:00:00"/>
    <x v="1"/>
    <x v="0"/>
    <x v="0"/>
    <x v="0"/>
    <x v="3"/>
    <x v="7"/>
    <x v="7"/>
    <x v="1"/>
  </r>
  <r>
    <s v="TX501366"/>
    <x v="18"/>
    <x v="1"/>
    <x v="4"/>
    <x v="1129"/>
    <x v="51"/>
    <d v="2025-02-23T00:00:00"/>
    <x v="0"/>
    <x v="0"/>
    <x v="2"/>
    <x v="0"/>
    <x v="3"/>
    <x v="1"/>
    <x v="7"/>
    <x v="0"/>
  </r>
  <r>
    <s v="TX501367"/>
    <x v="3"/>
    <x v="12"/>
    <x v="563"/>
    <x v="751"/>
    <x v="51"/>
    <d v="2025-02-21T00:00:00"/>
    <x v="2"/>
    <x v="0"/>
    <x v="2"/>
    <x v="0"/>
    <x v="3"/>
    <x v="7"/>
    <x v="7"/>
    <x v="2"/>
  </r>
  <r>
    <s v="TX501368"/>
    <x v="1"/>
    <x v="1"/>
    <x v="733"/>
    <x v="1130"/>
    <x v="51"/>
    <d v="2025-02-25T00:00:00"/>
    <x v="1"/>
    <x v="0"/>
    <x v="1"/>
    <x v="0"/>
    <x v="3"/>
    <x v="5"/>
    <x v="7"/>
    <x v="1"/>
  </r>
  <r>
    <s v="TX501369"/>
    <x v="10"/>
    <x v="9"/>
    <x v="601"/>
    <x v="900"/>
    <x v="51"/>
    <d v="2025-02-26T00:00:00"/>
    <x v="1"/>
    <x v="0"/>
    <x v="0"/>
    <x v="0"/>
    <x v="3"/>
    <x v="0"/>
    <x v="7"/>
    <x v="1"/>
  </r>
  <r>
    <s v="TX501370"/>
    <x v="6"/>
    <x v="2"/>
    <x v="734"/>
    <x v="1131"/>
    <x v="51"/>
    <d v="2025-02-26T00:00:00"/>
    <x v="1"/>
    <x v="3"/>
    <x v="1"/>
    <x v="0"/>
    <x v="24"/>
    <x v="0"/>
    <x v="7"/>
    <x v="1"/>
  </r>
  <r>
    <s v="TX501371"/>
    <x v="6"/>
    <x v="2"/>
    <x v="11"/>
    <x v="926"/>
    <x v="51"/>
    <d v="2025-02-25T00:00:00"/>
    <x v="1"/>
    <x v="3"/>
    <x v="0"/>
    <x v="0"/>
    <x v="49"/>
    <x v="5"/>
    <x v="7"/>
    <x v="1"/>
  </r>
  <r>
    <s v="TX501372"/>
    <x v="1"/>
    <x v="1"/>
    <x v="152"/>
    <x v="479"/>
    <x v="51"/>
    <d v="2025-02-22T00:00:00"/>
    <x v="2"/>
    <x v="4"/>
    <x v="1"/>
    <x v="0"/>
    <x v="23"/>
    <x v="3"/>
    <x v="7"/>
    <x v="2"/>
  </r>
  <r>
    <s v="TX501373"/>
    <x v="6"/>
    <x v="12"/>
    <x v="507"/>
    <x v="1132"/>
    <x v="51"/>
    <d v="2025-02-22T00:00:00"/>
    <x v="3"/>
    <x v="0"/>
    <x v="0"/>
    <x v="0"/>
    <x v="6"/>
    <x v="3"/>
    <x v="7"/>
    <x v="3"/>
  </r>
  <r>
    <s v="TX501374"/>
    <x v="6"/>
    <x v="0"/>
    <x v="728"/>
    <x v="937"/>
    <x v="51"/>
    <d v="2025-02-23T00:00:00"/>
    <x v="2"/>
    <x v="2"/>
    <x v="2"/>
    <x v="0"/>
    <x v="6"/>
    <x v="1"/>
    <x v="7"/>
    <x v="2"/>
  </r>
  <r>
    <s v="TX501375"/>
    <x v="10"/>
    <x v="2"/>
    <x v="494"/>
    <x v="1133"/>
    <x v="51"/>
    <d v="2025-02-26T00:00:00"/>
    <x v="2"/>
    <x v="2"/>
    <x v="1"/>
    <x v="0"/>
    <x v="6"/>
    <x v="0"/>
    <x v="7"/>
    <x v="2"/>
  </r>
  <r>
    <s v="TX501376"/>
    <x v="18"/>
    <x v="1"/>
    <x v="735"/>
    <x v="1134"/>
    <x v="51"/>
    <d v="2025-02-22T00:00:00"/>
    <x v="1"/>
    <x v="0"/>
    <x v="1"/>
    <x v="0"/>
    <x v="6"/>
    <x v="3"/>
    <x v="7"/>
    <x v="1"/>
  </r>
  <r>
    <s v="TX501377"/>
    <x v="1"/>
    <x v="0"/>
    <x v="521"/>
    <x v="1135"/>
    <x v="51"/>
    <d v="2025-02-22T00:00:00"/>
    <x v="1"/>
    <x v="0"/>
    <x v="0"/>
    <x v="0"/>
    <x v="7"/>
    <x v="3"/>
    <x v="7"/>
    <x v="1"/>
  </r>
  <r>
    <s v="TX501378"/>
    <x v="18"/>
    <x v="7"/>
    <x v="403"/>
    <x v="1136"/>
    <x v="51"/>
    <d v="2025-02-24T00:00:00"/>
    <x v="1"/>
    <x v="3"/>
    <x v="1"/>
    <x v="0"/>
    <x v="8"/>
    <x v="2"/>
    <x v="7"/>
    <x v="1"/>
  </r>
  <r>
    <s v="TX501379"/>
    <x v="8"/>
    <x v="0"/>
    <x v="736"/>
    <x v="1137"/>
    <x v="51"/>
    <d v="2025-02-25T00:00:00"/>
    <x v="2"/>
    <x v="0"/>
    <x v="0"/>
    <x v="0"/>
    <x v="8"/>
    <x v="5"/>
    <x v="7"/>
    <x v="2"/>
  </r>
  <r>
    <s v="TX501380"/>
    <x v="8"/>
    <x v="2"/>
    <x v="455"/>
    <x v="1063"/>
    <x v="51"/>
    <d v="2025-02-22T00:00:00"/>
    <x v="1"/>
    <x v="1"/>
    <x v="2"/>
    <x v="0"/>
    <x v="8"/>
    <x v="3"/>
    <x v="7"/>
    <x v="1"/>
  </r>
  <r>
    <s v="TX501381"/>
    <x v="10"/>
    <x v="0"/>
    <x v="737"/>
    <x v="1100"/>
    <x v="51"/>
    <d v="2025-02-22T00:00:00"/>
    <x v="1"/>
    <x v="2"/>
    <x v="2"/>
    <x v="0"/>
    <x v="17"/>
    <x v="3"/>
    <x v="7"/>
    <x v="1"/>
  </r>
  <r>
    <s v="TX501382"/>
    <x v="0"/>
    <x v="0"/>
    <x v="21"/>
    <x v="594"/>
    <x v="51"/>
    <d v="2025-02-26T00:00:00"/>
    <x v="1"/>
    <x v="0"/>
    <x v="0"/>
    <x v="0"/>
    <x v="17"/>
    <x v="0"/>
    <x v="7"/>
    <x v="1"/>
  </r>
  <r>
    <s v="TX501383"/>
    <x v="6"/>
    <x v="20"/>
    <x v="654"/>
    <x v="1138"/>
    <x v="51"/>
    <d v="2025-02-23T00:00:00"/>
    <x v="1"/>
    <x v="1"/>
    <x v="0"/>
    <x v="0"/>
    <x v="26"/>
    <x v="1"/>
    <x v="7"/>
    <x v="1"/>
  </r>
  <r>
    <s v="TX501384"/>
    <x v="8"/>
    <x v="1"/>
    <x v="359"/>
    <x v="1139"/>
    <x v="51"/>
    <d v="2025-02-24T00:00:00"/>
    <x v="1"/>
    <x v="4"/>
    <x v="2"/>
    <x v="0"/>
    <x v="9"/>
    <x v="2"/>
    <x v="7"/>
    <x v="1"/>
  </r>
  <r>
    <s v="TX501385"/>
    <x v="17"/>
    <x v="3"/>
    <x v="80"/>
    <x v="1140"/>
    <x v="51"/>
    <d v="2025-02-23T00:00:00"/>
    <x v="2"/>
    <x v="2"/>
    <x v="0"/>
    <x v="0"/>
    <x v="11"/>
    <x v="1"/>
    <x v="7"/>
    <x v="2"/>
  </r>
  <r>
    <s v="TX501386"/>
    <x v="8"/>
    <x v="13"/>
    <x v="484"/>
    <x v="1141"/>
    <x v="51"/>
    <d v="2025-02-23T00:00:00"/>
    <x v="1"/>
    <x v="0"/>
    <x v="2"/>
    <x v="0"/>
    <x v="11"/>
    <x v="1"/>
    <x v="7"/>
    <x v="1"/>
  </r>
  <r>
    <s v="TX501387"/>
    <x v="10"/>
    <x v="2"/>
    <x v="738"/>
    <x v="1142"/>
    <x v="51"/>
    <d v="2025-02-24T00:00:00"/>
    <x v="1"/>
    <x v="4"/>
    <x v="1"/>
    <x v="0"/>
    <x v="38"/>
    <x v="2"/>
    <x v="7"/>
    <x v="1"/>
  </r>
  <r>
    <s v="TX501388"/>
    <x v="9"/>
    <x v="1"/>
    <x v="739"/>
    <x v="1143"/>
    <x v="52"/>
    <d v="2025-02-23T00:00:00"/>
    <x v="1"/>
    <x v="0"/>
    <x v="0"/>
    <x v="0"/>
    <x v="13"/>
    <x v="3"/>
    <x v="7"/>
    <x v="1"/>
  </r>
  <r>
    <s v="TX501389"/>
    <x v="3"/>
    <x v="9"/>
    <x v="740"/>
    <x v="1144"/>
    <x v="52"/>
    <d v="2025-02-24T00:00:00"/>
    <x v="0"/>
    <x v="1"/>
    <x v="2"/>
    <x v="0"/>
    <x v="21"/>
    <x v="1"/>
    <x v="7"/>
    <x v="0"/>
  </r>
  <r>
    <s v="TX501390"/>
    <x v="7"/>
    <x v="1"/>
    <x v="741"/>
    <x v="1145"/>
    <x v="52"/>
    <d v="2025-02-24T00:00:00"/>
    <x v="1"/>
    <x v="0"/>
    <x v="1"/>
    <x v="0"/>
    <x v="21"/>
    <x v="1"/>
    <x v="7"/>
    <x v="1"/>
  </r>
  <r>
    <s v="TX501391"/>
    <x v="8"/>
    <x v="38"/>
    <x v="742"/>
    <x v="1146"/>
    <x v="52"/>
    <d v="2025-02-27T00:00:00"/>
    <x v="1"/>
    <x v="2"/>
    <x v="0"/>
    <x v="0"/>
    <x v="1"/>
    <x v="0"/>
    <x v="7"/>
    <x v="1"/>
  </r>
  <r>
    <s v="TX501392"/>
    <x v="7"/>
    <x v="9"/>
    <x v="743"/>
    <x v="1147"/>
    <x v="52"/>
    <d v="2025-02-24T00:00:00"/>
    <x v="2"/>
    <x v="4"/>
    <x v="2"/>
    <x v="0"/>
    <x v="1"/>
    <x v="1"/>
    <x v="7"/>
    <x v="2"/>
  </r>
  <r>
    <s v="TX501393"/>
    <x v="17"/>
    <x v="0"/>
    <x v="57"/>
    <x v="698"/>
    <x v="52"/>
    <d v="2025-02-23T00:00:00"/>
    <x v="1"/>
    <x v="4"/>
    <x v="0"/>
    <x v="0"/>
    <x v="2"/>
    <x v="3"/>
    <x v="7"/>
    <x v="1"/>
  </r>
  <r>
    <s v="TX501394"/>
    <x v="10"/>
    <x v="1"/>
    <x v="644"/>
    <x v="1148"/>
    <x v="52"/>
    <d v="2025-02-25T00:00:00"/>
    <x v="1"/>
    <x v="0"/>
    <x v="0"/>
    <x v="0"/>
    <x v="44"/>
    <x v="2"/>
    <x v="7"/>
    <x v="1"/>
  </r>
  <r>
    <s v="TX501395"/>
    <x v="7"/>
    <x v="4"/>
    <x v="299"/>
    <x v="1149"/>
    <x v="52"/>
    <d v="2025-02-23T00:00:00"/>
    <x v="1"/>
    <x v="2"/>
    <x v="0"/>
    <x v="0"/>
    <x v="33"/>
    <x v="3"/>
    <x v="7"/>
    <x v="1"/>
  </r>
  <r>
    <s v="TX501396"/>
    <x v="9"/>
    <x v="3"/>
    <x v="412"/>
    <x v="1150"/>
    <x v="52"/>
    <d v="2025-02-23T00:00:00"/>
    <x v="1"/>
    <x v="4"/>
    <x v="0"/>
    <x v="0"/>
    <x v="33"/>
    <x v="3"/>
    <x v="7"/>
    <x v="1"/>
  </r>
  <r>
    <s v="TX501397"/>
    <x v="8"/>
    <x v="2"/>
    <x v="129"/>
    <x v="933"/>
    <x v="52"/>
    <d v="2025-02-23T00:00:00"/>
    <x v="1"/>
    <x v="0"/>
    <x v="2"/>
    <x v="0"/>
    <x v="15"/>
    <x v="3"/>
    <x v="7"/>
    <x v="1"/>
  </r>
  <r>
    <s v="TX501398"/>
    <x v="4"/>
    <x v="0"/>
    <x v="245"/>
    <x v="1151"/>
    <x v="52"/>
    <d v="2025-02-25T00:00:00"/>
    <x v="2"/>
    <x v="2"/>
    <x v="0"/>
    <x v="0"/>
    <x v="22"/>
    <x v="2"/>
    <x v="7"/>
    <x v="2"/>
  </r>
  <r>
    <s v="TX501399"/>
    <x v="1"/>
    <x v="12"/>
    <x v="151"/>
    <x v="638"/>
    <x v="52"/>
    <d v="2025-02-22T00:00:00"/>
    <x v="2"/>
    <x v="0"/>
    <x v="0"/>
    <x v="0"/>
    <x v="3"/>
    <x v="7"/>
    <x v="7"/>
    <x v="2"/>
  </r>
  <r>
    <s v="TX501400"/>
    <x v="0"/>
    <x v="1"/>
    <x v="363"/>
    <x v="330"/>
    <x v="52"/>
    <d v="2025-02-25T00:00:00"/>
    <x v="1"/>
    <x v="0"/>
    <x v="0"/>
    <x v="0"/>
    <x v="3"/>
    <x v="2"/>
    <x v="7"/>
    <x v="1"/>
  </r>
  <r>
    <s v="TX501401"/>
    <x v="0"/>
    <x v="12"/>
    <x v="59"/>
    <x v="1152"/>
    <x v="52"/>
    <d v="2025-02-23T00:00:00"/>
    <x v="2"/>
    <x v="4"/>
    <x v="0"/>
    <x v="0"/>
    <x v="3"/>
    <x v="3"/>
    <x v="7"/>
    <x v="2"/>
  </r>
  <r>
    <s v="TX501402"/>
    <x v="8"/>
    <x v="9"/>
    <x v="418"/>
    <x v="756"/>
    <x v="52"/>
    <d v="2025-02-23T00:00:00"/>
    <x v="2"/>
    <x v="0"/>
    <x v="0"/>
    <x v="0"/>
    <x v="3"/>
    <x v="3"/>
    <x v="7"/>
    <x v="2"/>
  </r>
  <r>
    <s v="TX501403"/>
    <x v="2"/>
    <x v="12"/>
    <x v="744"/>
    <x v="1153"/>
    <x v="52"/>
    <d v="2025-02-27T00:00:00"/>
    <x v="1"/>
    <x v="2"/>
    <x v="0"/>
    <x v="0"/>
    <x v="3"/>
    <x v="0"/>
    <x v="7"/>
    <x v="1"/>
  </r>
  <r>
    <s v="TX501404"/>
    <x v="8"/>
    <x v="13"/>
    <x v="398"/>
    <x v="854"/>
    <x v="52"/>
    <d v="2025-02-25T00:00:00"/>
    <x v="1"/>
    <x v="1"/>
    <x v="0"/>
    <x v="0"/>
    <x v="3"/>
    <x v="2"/>
    <x v="7"/>
    <x v="1"/>
  </r>
  <r>
    <s v="TX501405"/>
    <x v="1"/>
    <x v="1"/>
    <x v="601"/>
    <x v="821"/>
    <x v="52"/>
    <d v="2025-02-26T00:00:00"/>
    <x v="2"/>
    <x v="1"/>
    <x v="0"/>
    <x v="0"/>
    <x v="3"/>
    <x v="5"/>
    <x v="7"/>
    <x v="2"/>
  </r>
  <r>
    <s v="TX501406"/>
    <x v="3"/>
    <x v="0"/>
    <x v="579"/>
    <x v="1154"/>
    <x v="52"/>
    <d v="2025-02-23T00:00:00"/>
    <x v="2"/>
    <x v="0"/>
    <x v="0"/>
    <x v="0"/>
    <x v="3"/>
    <x v="3"/>
    <x v="7"/>
    <x v="2"/>
  </r>
  <r>
    <s v="TX501407"/>
    <x v="9"/>
    <x v="0"/>
    <x v="745"/>
    <x v="1155"/>
    <x v="52"/>
    <d v="2025-02-27T00:00:00"/>
    <x v="2"/>
    <x v="3"/>
    <x v="0"/>
    <x v="0"/>
    <x v="3"/>
    <x v="0"/>
    <x v="7"/>
    <x v="2"/>
  </r>
  <r>
    <s v="TX501408"/>
    <x v="2"/>
    <x v="2"/>
    <x v="746"/>
    <x v="1156"/>
    <x v="52"/>
    <d v="2025-02-22T00:00:00"/>
    <x v="1"/>
    <x v="4"/>
    <x v="1"/>
    <x v="0"/>
    <x v="3"/>
    <x v="7"/>
    <x v="7"/>
    <x v="1"/>
  </r>
  <r>
    <s v="TX501409"/>
    <x v="2"/>
    <x v="0"/>
    <x v="747"/>
    <x v="1157"/>
    <x v="52"/>
    <d v="2025-02-24T00:00:00"/>
    <x v="1"/>
    <x v="2"/>
    <x v="0"/>
    <x v="0"/>
    <x v="3"/>
    <x v="1"/>
    <x v="7"/>
    <x v="1"/>
  </r>
  <r>
    <s v="TX501410"/>
    <x v="4"/>
    <x v="1"/>
    <x v="548"/>
    <x v="1155"/>
    <x v="52"/>
    <d v="2025-02-23T00:00:00"/>
    <x v="3"/>
    <x v="4"/>
    <x v="1"/>
    <x v="0"/>
    <x v="3"/>
    <x v="3"/>
    <x v="7"/>
    <x v="3"/>
  </r>
  <r>
    <s v="TX501411"/>
    <x v="11"/>
    <x v="0"/>
    <x v="201"/>
    <x v="1158"/>
    <x v="52"/>
    <d v="2025-02-22T00:00:00"/>
    <x v="2"/>
    <x v="3"/>
    <x v="3"/>
    <x v="0"/>
    <x v="3"/>
    <x v="7"/>
    <x v="7"/>
    <x v="2"/>
  </r>
  <r>
    <s v="TX501412"/>
    <x v="2"/>
    <x v="12"/>
    <x v="720"/>
    <x v="1159"/>
    <x v="53"/>
    <d v="2025-02-25T00:00:00"/>
    <x v="3"/>
    <x v="0"/>
    <x v="0"/>
    <x v="0"/>
    <x v="3"/>
    <x v="1"/>
    <x v="8"/>
    <x v="3"/>
  </r>
  <r>
    <s v="TX501413"/>
    <x v="9"/>
    <x v="13"/>
    <x v="748"/>
    <x v="1160"/>
    <x v="53"/>
    <d v="2025-02-24T00:00:00"/>
    <x v="2"/>
    <x v="3"/>
    <x v="0"/>
    <x v="0"/>
    <x v="3"/>
    <x v="3"/>
    <x v="8"/>
    <x v="2"/>
  </r>
  <r>
    <s v="TX501414"/>
    <x v="6"/>
    <x v="1"/>
    <x v="749"/>
    <x v="1161"/>
    <x v="53"/>
    <d v="2025-02-24T00:00:00"/>
    <x v="2"/>
    <x v="1"/>
    <x v="0"/>
    <x v="0"/>
    <x v="4"/>
    <x v="3"/>
    <x v="8"/>
    <x v="2"/>
  </r>
  <r>
    <s v="TX501415"/>
    <x v="8"/>
    <x v="19"/>
    <x v="83"/>
    <x v="148"/>
    <x v="53"/>
    <d v="2025-02-25T00:00:00"/>
    <x v="2"/>
    <x v="0"/>
    <x v="1"/>
    <x v="0"/>
    <x v="23"/>
    <x v="1"/>
    <x v="8"/>
    <x v="2"/>
  </r>
  <r>
    <s v="TX501416"/>
    <x v="6"/>
    <x v="5"/>
    <x v="633"/>
    <x v="1162"/>
    <x v="53"/>
    <d v="2025-02-25T00:00:00"/>
    <x v="2"/>
    <x v="0"/>
    <x v="0"/>
    <x v="0"/>
    <x v="6"/>
    <x v="1"/>
    <x v="8"/>
    <x v="2"/>
  </r>
  <r>
    <s v="TX501417"/>
    <x v="9"/>
    <x v="4"/>
    <x v="735"/>
    <x v="1163"/>
    <x v="53"/>
    <d v="2025-02-24T00:00:00"/>
    <x v="2"/>
    <x v="2"/>
    <x v="0"/>
    <x v="0"/>
    <x v="8"/>
    <x v="3"/>
    <x v="8"/>
    <x v="2"/>
  </r>
  <r>
    <s v="TX501418"/>
    <x v="8"/>
    <x v="9"/>
    <x v="504"/>
    <x v="1164"/>
    <x v="53"/>
    <d v="2025-02-27T00:00:00"/>
    <x v="1"/>
    <x v="2"/>
    <x v="1"/>
    <x v="0"/>
    <x v="8"/>
    <x v="5"/>
    <x v="8"/>
    <x v="1"/>
  </r>
  <r>
    <s v="TX501419"/>
    <x v="15"/>
    <x v="2"/>
    <x v="750"/>
    <x v="1165"/>
    <x v="53"/>
    <d v="2025-02-25T00:00:00"/>
    <x v="2"/>
    <x v="1"/>
    <x v="1"/>
    <x v="0"/>
    <x v="8"/>
    <x v="1"/>
    <x v="8"/>
    <x v="2"/>
  </r>
  <r>
    <s v="TX501420"/>
    <x v="9"/>
    <x v="1"/>
    <x v="706"/>
    <x v="1061"/>
    <x v="53"/>
    <d v="2025-02-24T00:00:00"/>
    <x v="2"/>
    <x v="1"/>
    <x v="0"/>
    <x v="0"/>
    <x v="8"/>
    <x v="3"/>
    <x v="8"/>
    <x v="2"/>
  </r>
  <r>
    <s v="TX501421"/>
    <x v="11"/>
    <x v="8"/>
    <x v="167"/>
    <x v="1166"/>
    <x v="53"/>
    <d v="2025-02-25T00:00:00"/>
    <x v="1"/>
    <x v="1"/>
    <x v="0"/>
    <x v="0"/>
    <x v="9"/>
    <x v="1"/>
    <x v="8"/>
    <x v="1"/>
  </r>
  <r>
    <s v="TX501422"/>
    <x v="12"/>
    <x v="13"/>
    <x v="751"/>
    <x v="1167"/>
    <x v="53"/>
    <d v="2025-02-27T00:00:00"/>
    <x v="2"/>
    <x v="0"/>
    <x v="1"/>
    <x v="0"/>
    <x v="9"/>
    <x v="5"/>
    <x v="8"/>
    <x v="2"/>
  </r>
  <r>
    <s v="TX501423"/>
    <x v="8"/>
    <x v="4"/>
    <x v="228"/>
    <x v="1168"/>
    <x v="53"/>
    <d v="2025-02-24T00:00:00"/>
    <x v="2"/>
    <x v="2"/>
    <x v="1"/>
    <x v="0"/>
    <x v="9"/>
    <x v="3"/>
    <x v="8"/>
    <x v="2"/>
  </r>
  <r>
    <s v="TX501424"/>
    <x v="10"/>
    <x v="2"/>
    <x v="752"/>
    <x v="1169"/>
    <x v="53"/>
    <d v="2025-02-23T00:00:00"/>
    <x v="2"/>
    <x v="2"/>
    <x v="0"/>
    <x v="0"/>
    <x v="11"/>
    <x v="7"/>
    <x v="8"/>
    <x v="2"/>
  </r>
  <r>
    <s v="TX501425"/>
    <x v="16"/>
    <x v="20"/>
    <x v="559"/>
    <x v="1170"/>
    <x v="53"/>
    <d v="2025-02-23T00:00:00"/>
    <x v="0"/>
    <x v="1"/>
    <x v="1"/>
    <x v="0"/>
    <x v="11"/>
    <x v="7"/>
    <x v="8"/>
    <x v="0"/>
  </r>
  <r>
    <s v="TX501426"/>
    <x v="7"/>
    <x v="0"/>
    <x v="556"/>
    <x v="1030"/>
    <x v="53"/>
    <d v="2025-02-24T00:00:00"/>
    <x v="2"/>
    <x v="1"/>
    <x v="0"/>
    <x v="0"/>
    <x v="11"/>
    <x v="3"/>
    <x v="8"/>
    <x v="2"/>
  </r>
  <r>
    <s v="TX501427"/>
    <x v="3"/>
    <x v="2"/>
    <x v="601"/>
    <x v="1171"/>
    <x v="53"/>
    <d v="2025-02-25T00:00:00"/>
    <x v="1"/>
    <x v="0"/>
    <x v="2"/>
    <x v="0"/>
    <x v="20"/>
    <x v="1"/>
    <x v="8"/>
    <x v="1"/>
  </r>
  <r>
    <s v="TX501428"/>
    <x v="9"/>
    <x v="0"/>
    <x v="753"/>
    <x v="1172"/>
    <x v="53"/>
    <d v="2025-02-26T00:00:00"/>
    <x v="1"/>
    <x v="3"/>
    <x v="1"/>
    <x v="0"/>
    <x v="21"/>
    <x v="2"/>
    <x v="8"/>
    <x v="1"/>
  </r>
  <r>
    <s v="TX501429"/>
    <x v="6"/>
    <x v="1"/>
    <x v="754"/>
    <x v="1173"/>
    <x v="53"/>
    <d v="2025-02-25T00:00:00"/>
    <x v="1"/>
    <x v="1"/>
    <x v="0"/>
    <x v="0"/>
    <x v="21"/>
    <x v="1"/>
    <x v="8"/>
    <x v="1"/>
  </r>
  <r>
    <s v="TX501430"/>
    <x v="16"/>
    <x v="2"/>
    <x v="146"/>
    <x v="1174"/>
    <x v="53"/>
    <d v="2025-02-26T00:00:00"/>
    <x v="1"/>
    <x v="0"/>
    <x v="0"/>
    <x v="0"/>
    <x v="1"/>
    <x v="2"/>
    <x v="8"/>
    <x v="1"/>
  </r>
  <r>
    <s v="TX501431"/>
    <x v="9"/>
    <x v="3"/>
    <x v="127"/>
    <x v="1175"/>
    <x v="53"/>
    <d v="2025-02-24T00:00:00"/>
    <x v="2"/>
    <x v="2"/>
    <x v="2"/>
    <x v="0"/>
    <x v="2"/>
    <x v="3"/>
    <x v="8"/>
    <x v="2"/>
  </r>
  <r>
    <s v="TX501432"/>
    <x v="19"/>
    <x v="1"/>
    <x v="755"/>
    <x v="1176"/>
    <x v="53"/>
    <d v="2025-02-25T00:00:00"/>
    <x v="2"/>
    <x v="1"/>
    <x v="2"/>
    <x v="0"/>
    <x v="34"/>
    <x v="1"/>
    <x v="8"/>
    <x v="2"/>
  </r>
  <r>
    <s v="TX501433"/>
    <x v="0"/>
    <x v="1"/>
    <x v="512"/>
    <x v="655"/>
    <x v="53"/>
    <d v="2025-02-25T00:00:00"/>
    <x v="2"/>
    <x v="3"/>
    <x v="2"/>
    <x v="0"/>
    <x v="3"/>
    <x v="1"/>
    <x v="8"/>
    <x v="2"/>
  </r>
  <r>
    <s v="TX501434"/>
    <x v="3"/>
    <x v="0"/>
    <x v="405"/>
    <x v="1177"/>
    <x v="53"/>
    <d v="2025-02-25T00:00:00"/>
    <x v="1"/>
    <x v="0"/>
    <x v="0"/>
    <x v="0"/>
    <x v="3"/>
    <x v="1"/>
    <x v="8"/>
    <x v="1"/>
  </r>
  <r>
    <s v="TX501435"/>
    <x v="2"/>
    <x v="0"/>
    <x v="756"/>
    <x v="1178"/>
    <x v="53"/>
    <d v="2025-02-25T00:00:00"/>
    <x v="2"/>
    <x v="1"/>
    <x v="0"/>
    <x v="0"/>
    <x v="3"/>
    <x v="1"/>
    <x v="8"/>
    <x v="2"/>
  </r>
  <r>
    <s v="TX501436"/>
    <x v="7"/>
    <x v="9"/>
    <x v="155"/>
    <x v="103"/>
    <x v="53"/>
    <d v="2025-02-24T00:00:00"/>
    <x v="2"/>
    <x v="0"/>
    <x v="0"/>
    <x v="0"/>
    <x v="3"/>
    <x v="3"/>
    <x v="8"/>
    <x v="2"/>
  </r>
  <r>
    <s v="TX501437"/>
    <x v="7"/>
    <x v="11"/>
    <x v="757"/>
    <x v="1179"/>
    <x v="53"/>
    <d v="2025-03-09T00:00:00"/>
    <x v="2"/>
    <x v="1"/>
    <x v="0"/>
    <x v="0"/>
    <x v="3"/>
    <x v="12"/>
    <x v="8"/>
    <x v="2"/>
  </r>
  <r>
    <s v="TX501438"/>
    <x v="12"/>
    <x v="9"/>
    <x v="294"/>
    <x v="1180"/>
    <x v="53"/>
    <d v="2025-02-27T00:00:00"/>
    <x v="2"/>
    <x v="4"/>
    <x v="0"/>
    <x v="0"/>
    <x v="3"/>
    <x v="5"/>
    <x v="8"/>
    <x v="2"/>
  </r>
  <r>
    <s v="TX501439"/>
    <x v="8"/>
    <x v="14"/>
    <x v="55"/>
    <x v="1181"/>
    <x v="53"/>
    <d v="2025-02-25T00:00:00"/>
    <x v="1"/>
    <x v="0"/>
    <x v="0"/>
    <x v="0"/>
    <x v="43"/>
    <x v="1"/>
    <x v="8"/>
    <x v="1"/>
  </r>
  <r>
    <s v="TX501440"/>
    <x v="8"/>
    <x v="12"/>
    <x v="289"/>
    <x v="1182"/>
    <x v="53"/>
    <d v="2025-02-24T00:00:00"/>
    <x v="1"/>
    <x v="1"/>
    <x v="2"/>
    <x v="0"/>
    <x v="6"/>
    <x v="3"/>
    <x v="8"/>
    <x v="1"/>
  </r>
  <r>
    <s v="TX501441"/>
    <x v="5"/>
    <x v="2"/>
    <x v="86"/>
    <x v="1183"/>
    <x v="53"/>
    <d v="2025-02-23T00:00:00"/>
    <x v="3"/>
    <x v="1"/>
    <x v="4"/>
    <x v="0"/>
    <x v="6"/>
    <x v="7"/>
    <x v="8"/>
    <x v="3"/>
  </r>
  <r>
    <s v="TX501442"/>
    <x v="4"/>
    <x v="1"/>
    <x v="82"/>
    <x v="341"/>
    <x v="53"/>
    <d v="2025-02-27T00:00:00"/>
    <x v="2"/>
    <x v="4"/>
    <x v="1"/>
    <x v="0"/>
    <x v="8"/>
    <x v="5"/>
    <x v="8"/>
    <x v="2"/>
  </r>
  <r>
    <s v="TX501443"/>
    <x v="7"/>
    <x v="0"/>
    <x v="758"/>
    <x v="1184"/>
    <x v="53"/>
    <d v="2025-02-25T00:00:00"/>
    <x v="2"/>
    <x v="0"/>
    <x v="2"/>
    <x v="0"/>
    <x v="8"/>
    <x v="1"/>
    <x v="8"/>
    <x v="2"/>
  </r>
  <r>
    <s v="TX501444"/>
    <x v="11"/>
    <x v="8"/>
    <x v="347"/>
    <x v="1185"/>
    <x v="53"/>
    <d v="2025-02-27T00:00:00"/>
    <x v="2"/>
    <x v="3"/>
    <x v="0"/>
    <x v="0"/>
    <x v="8"/>
    <x v="5"/>
    <x v="8"/>
    <x v="2"/>
  </r>
  <r>
    <s v="TX501445"/>
    <x v="8"/>
    <x v="21"/>
    <x v="129"/>
    <x v="751"/>
    <x v="53"/>
    <d v="2025-02-24T00:00:00"/>
    <x v="1"/>
    <x v="0"/>
    <x v="0"/>
    <x v="0"/>
    <x v="26"/>
    <x v="3"/>
    <x v="8"/>
    <x v="1"/>
  </r>
  <r>
    <s v="TX501446"/>
    <x v="2"/>
    <x v="12"/>
    <x v="258"/>
    <x v="1186"/>
    <x v="53"/>
    <d v="2025-02-23T00:00:00"/>
    <x v="2"/>
    <x v="0"/>
    <x v="0"/>
    <x v="0"/>
    <x v="26"/>
    <x v="7"/>
    <x v="8"/>
    <x v="2"/>
  </r>
  <r>
    <s v="TX501447"/>
    <x v="10"/>
    <x v="1"/>
    <x v="759"/>
    <x v="1187"/>
    <x v="53"/>
    <d v="2025-02-26T00:00:00"/>
    <x v="1"/>
    <x v="3"/>
    <x v="1"/>
    <x v="0"/>
    <x v="13"/>
    <x v="2"/>
    <x v="8"/>
    <x v="1"/>
  </r>
  <r>
    <s v="TX501448"/>
    <x v="6"/>
    <x v="9"/>
    <x v="156"/>
    <x v="1188"/>
    <x v="53"/>
    <d v="2025-02-24T00:00:00"/>
    <x v="0"/>
    <x v="0"/>
    <x v="2"/>
    <x v="0"/>
    <x v="21"/>
    <x v="3"/>
    <x v="8"/>
    <x v="0"/>
  </r>
  <r>
    <s v="TX501449"/>
    <x v="8"/>
    <x v="5"/>
    <x v="536"/>
    <x v="1189"/>
    <x v="54"/>
    <d v="2025-03-01T00:00:00"/>
    <x v="1"/>
    <x v="3"/>
    <x v="2"/>
    <x v="0"/>
    <x v="2"/>
    <x v="0"/>
    <x v="8"/>
    <x v="1"/>
  </r>
  <r>
    <s v="TX501450"/>
    <x v="1"/>
    <x v="3"/>
    <x v="760"/>
    <x v="1190"/>
    <x v="54"/>
    <d v="2025-02-25T00:00:00"/>
    <x v="1"/>
    <x v="4"/>
    <x v="0"/>
    <x v="0"/>
    <x v="3"/>
    <x v="3"/>
    <x v="8"/>
    <x v="1"/>
  </r>
  <r>
    <s v="TX501451"/>
    <x v="10"/>
    <x v="0"/>
    <x v="136"/>
    <x v="1191"/>
    <x v="54"/>
    <d v="2025-02-26T00:00:00"/>
    <x v="2"/>
    <x v="0"/>
    <x v="2"/>
    <x v="0"/>
    <x v="3"/>
    <x v="1"/>
    <x v="8"/>
    <x v="2"/>
  </r>
  <r>
    <s v="TX501452"/>
    <x v="8"/>
    <x v="9"/>
    <x v="180"/>
    <x v="1192"/>
    <x v="54"/>
    <d v="2025-02-26T00:00:00"/>
    <x v="1"/>
    <x v="1"/>
    <x v="2"/>
    <x v="0"/>
    <x v="3"/>
    <x v="1"/>
    <x v="8"/>
    <x v="1"/>
  </r>
  <r>
    <s v="TX501453"/>
    <x v="5"/>
    <x v="1"/>
    <x v="761"/>
    <x v="1193"/>
    <x v="54"/>
    <d v="2025-02-24T00:00:00"/>
    <x v="1"/>
    <x v="1"/>
    <x v="1"/>
    <x v="0"/>
    <x v="3"/>
    <x v="7"/>
    <x v="8"/>
    <x v="1"/>
  </r>
  <r>
    <s v="TX501454"/>
    <x v="8"/>
    <x v="1"/>
    <x v="1"/>
    <x v="1"/>
    <x v="54"/>
    <d v="2025-02-27T00:00:00"/>
    <x v="1"/>
    <x v="0"/>
    <x v="2"/>
    <x v="0"/>
    <x v="3"/>
    <x v="2"/>
    <x v="8"/>
    <x v="1"/>
  </r>
  <r>
    <s v="TX501455"/>
    <x v="8"/>
    <x v="1"/>
    <x v="210"/>
    <x v="440"/>
    <x v="54"/>
    <d v="2025-02-25T00:00:00"/>
    <x v="1"/>
    <x v="0"/>
    <x v="1"/>
    <x v="0"/>
    <x v="3"/>
    <x v="3"/>
    <x v="8"/>
    <x v="1"/>
  </r>
  <r>
    <s v="TX501456"/>
    <x v="7"/>
    <x v="0"/>
    <x v="363"/>
    <x v="803"/>
    <x v="54"/>
    <d v="2025-02-26T00:00:00"/>
    <x v="2"/>
    <x v="4"/>
    <x v="0"/>
    <x v="0"/>
    <x v="3"/>
    <x v="1"/>
    <x v="8"/>
    <x v="2"/>
  </r>
  <r>
    <s v="TX501457"/>
    <x v="9"/>
    <x v="12"/>
    <x v="389"/>
    <x v="806"/>
    <x v="54"/>
    <d v="2025-02-25T00:00:00"/>
    <x v="2"/>
    <x v="0"/>
    <x v="1"/>
    <x v="0"/>
    <x v="3"/>
    <x v="3"/>
    <x v="8"/>
    <x v="2"/>
  </r>
  <r>
    <s v="TX501458"/>
    <x v="6"/>
    <x v="1"/>
    <x v="554"/>
    <x v="769"/>
    <x v="54"/>
    <d v="2025-02-25T00:00:00"/>
    <x v="1"/>
    <x v="0"/>
    <x v="1"/>
    <x v="0"/>
    <x v="3"/>
    <x v="3"/>
    <x v="8"/>
    <x v="1"/>
  </r>
  <r>
    <s v="TX501459"/>
    <x v="6"/>
    <x v="27"/>
    <x v="677"/>
    <x v="1194"/>
    <x v="54"/>
    <d v="2025-02-25T00:00:00"/>
    <x v="2"/>
    <x v="1"/>
    <x v="2"/>
    <x v="0"/>
    <x v="3"/>
    <x v="3"/>
    <x v="8"/>
    <x v="2"/>
  </r>
  <r>
    <s v="TX501460"/>
    <x v="1"/>
    <x v="0"/>
    <x v="557"/>
    <x v="736"/>
    <x v="54"/>
    <d v="2025-03-04T00:00:00"/>
    <x v="2"/>
    <x v="0"/>
    <x v="0"/>
    <x v="0"/>
    <x v="3"/>
    <x v="9"/>
    <x v="8"/>
    <x v="2"/>
  </r>
  <r>
    <s v="TX501461"/>
    <x v="9"/>
    <x v="1"/>
    <x v="301"/>
    <x v="1195"/>
    <x v="54"/>
    <d v="2025-02-28T00:00:00"/>
    <x v="1"/>
    <x v="4"/>
    <x v="2"/>
    <x v="0"/>
    <x v="3"/>
    <x v="5"/>
    <x v="8"/>
    <x v="1"/>
  </r>
  <r>
    <s v="TX501462"/>
    <x v="8"/>
    <x v="1"/>
    <x v="707"/>
    <x v="1062"/>
    <x v="54"/>
    <d v="2025-02-27T00:00:00"/>
    <x v="1"/>
    <x v="3"/>
    <x v="2"/>
    <x v="0"/>
    <x v="3"/>
    <x v="2"/>
    <x v="8"/>
    <x v="1"/>
  </r>
  <r>
    <s v="TX501463"/>
    <x v="2"/>
    <x v="0"/>
    <x v="109"/>
    <x v="1196"/>
    <x v="54"/>
    <d v="2025-02-27T00:00:00"/>
    <x v="2"/>
    <x v="0"/>
    <x v="2"/>
    <x v="0"/>
    <x v="35"/>
    <x v="2"/>
    <x v="8"/>
    <x v="2"/>
  </r>
  <r>
    <s v="TX501464"/>
    <x v="9"/>
    <x v="1"/>
    <x v="16"/>
    <x v="1197"/>
    <x v="54"/>
    <d v="2025-03-01T00:00:00"/>
    <x v="0"/>
    <x v="1"/>
    <x v="3"/>
    <x v="0"/>
    <x v="23"/>
    <x v="0"/>
    <x v="8"/>
    <x v="0"/>
  </r>
  <r>
    <s v="TX501465"/>
    <x v="5"/>
    <x v="2"/>
    <x v="576"/>
    <x v="362"/>
    <x v="54"/>
    <d v="2025-02-25T00:00:00"/>
    <x v="0"/>
    <x v="1"/>
    <x v="0"/>
    <x v="0"/>
    <x v="6"/>
    <x v="3"/>
    <x v="8"/>
    <x v="0"/>
  </r>
  <r>
    <s v="TX501466"/>
    <x v="9"/>
    <x v="0"/>
    <x v="245"/>
    <x v="1151"/>
    <x v="54"/>
    <d v="2025-02-24T00:00:00"/>
    <x v="1"/>
    <x v="1"/>
    <x v="0"/>
    <x v="0"/>
    <x v="6"/>
    <x v="7"/>
    <x v="8"/>
    <x v="1"/>
  </r>
  <r>
    <s v="TX501467"/>
    <x v="10"/>
    <x v="3"/>
    <x v="206"/>
    <x v="1198"/>
    <x v="54"/>
    <d v="2025-02-25T00:00:00"/>
    <x v="1"/>
    <x v="3"/>
    <x v="2"/>
    <x v="0"/>
    <x v="8"/>
    <x v="3"/>
    <x v="8"/>
    <x v="1"/>
  </r>
  <r>
    <s v="TX501468"/>
    <x v="14"/>
    <x v="11"/>
    <x v="278"/>
    <x v="1199"/>
    <x v="54"/>
    <d v="2025-02-28T00:00:00"/>
    <x v="1"/>
    <x v="3"/>
    <x v="2"/>
    <x v="0"/>
    <x v="8"/>
    <x v="5"/>
    <x v="8"/>
    <x v="1"/>
  </r>
  <r>
    <s v="TX501469"/>
    <x v="8"/>
    <x v="0"/>
    <x v="762"/>
    <x v="1200"/>
    <x v="54"/>
    <d v="2025-02-25T00:00:00"/>
    <x v="2"/>
    <x v="2"/>
    <x v="2"/>
    <x v="0"/>
    <x v="8"/>
    <x v="3"/>
    <x v="8"/>
    <x v="2"/>
  </r>
  <r>
    <s v="TX501470"/>
    <x v="8"/>
    <x v="12"/>
    <x v="440"/>
    <x v="403"/>
    <x v="54"/>
    <d v="2025-02-25T00:00:00"/>
    <x v="2"/>
    <x v="0"/>
    <x v="0"/>
    <x v="0"/>
    <x v="8"/>
    <x v="3"/>
    <x v="8"/>
    <x v="2"/>
  </r>
  <r>
    <s v="TX501471"/>
    <x v="6"/>
    <x v="0"/>
    <x v="115"/>
    <x v="1201"/>
    <x v="54"/>
    <d v="2025-02-27T00:00:00"/>
    <x v="1"/>
    <x v="0"/>
    <x v="2"/>
    <x v="0"/>
    <x v="8"/>
    <x v="2"/>
    <x v="8"/>
    <x v="1"/>
  </r>
  <r>
    <s v="TX501472"/>
    <x v="4"/>
    <x v="1"/>
    <x v="570"/>
    <x v="863"/>
    <x v="54"/>
    <d v="2025-02-26T00:00:00"/>
    <x v="2"/>
    <x v="0"/>
    <x v="0"/>
    <x v="0"/>
    <x v="17"/>
    <x v="1"/>
    <x v="8"/>
    <x v="2"/>
  </r>
  <r>
    <s v="TX501473"/>
    <x v="12"/>
    <x v="0"/>
    <x v="763"/>
    <x v="786"/>
    <x v="54"/>
    <d v="2025-02-28T00:00:00"/>
    <x v="1"/>
    <x v="1"/>
    <x v="2"/>
    <x v="0"/>
    <x v="10"/>
    <x v="5"/>
    <x v="8"/>
    <x v="1"/>
  </r>
  <r>
    <s v="TX501474"/>
    <x v="11"/>
    <x v="2"/>
    <x v="451"/>
    <x v="1202"/>
    <x v="54"/>
    <d v="2025-02-24T00:00:00"/>
    <x v="1"/>
    <x v="1"/>
    <x v="2"/>
    <x v="0"/>
    <x v="11"/>
    <x v="7"/>
    <x v="8"/>
    <x v="1"/>
  </r>
  <r>
    <s v="TX501475"/>
    <x v="4"/>
    <x v="1"/>
    <x v="580"/>
    <x v="783"/>
    <x v="54"/>
    <d v="2025-02-27T00:00:00"/>
    <x v="2"/>
    <x v="0"/>
    <x v="1"/>
    <x v="0"/>
    <x v="11"/>
    <x v="2"/>
    <x v="8"/>
    <x v="2"/>
  </r>
  <r>
    <s v="TX501476"/>
    <x v="5"/>
    <x v="5"/>
    <x v="410"/>
    <x v="1203"/>
    <x v="54"/>
    <d v="2025-02-25T00:00:00"/>
    <x v="1"/>
    <x v="0"/>
    <x v="0"/>
    <x v="0"/>
    <x v="38"/>
    <x v="3"/>
    <x v="8"/>
    <x v="1"/>
  </r>
  <r>
    <s v="TX501477"/>
    <x v="5"/>
    <x v="12"/>
    <x v="89"/>
    <x v="1204"/>
    <x v="54"/>
    <d v="2025-03-03T00:00:00"/>
    <x v="2"/>
    <x v="1"/>
    <x v="4"/>
    <x v="0"/>
    <x v="13"/>
    <x v="6"/>
    <x v="8"/>
    <x v="2"/>
  </r>
  <r>
    <s v="TX501478"/>
    <x v="9"/>
    <x v="0"/>
    <x v="232"/>
    <x v="253"/>
    <x v="55"/>
    <d v="2025-03-01T00:00:00"/>
    <x v="1"/>
    <x v="4"/>
    <x v="1"/>
    <x v="0"/>
    <x v="21"/>
    <x v="5"/>
    <x v="8"/>
    <x v="1"/>
  </r>
  <r>
    <s v="TX501479"/>
    <x v="4"/>
    <x v="2"/>
    <x v="143"/>
    <x v="1205"/>
    <x v="55"/>
    <d v="2025-02-27T00:00:00"/>
    <x v="2"/>
    <x v="1"/>
    <x v="2"/>
    <x v="0"/>
    <x v="1"/>
    <x v="1"/>
    <x v="8"/>
    <x v="2"/>
  </r>
  <r>
    <s v="TX501480"/>
    <x v="2"/>
    <x v="1"/>
    <x v="764"/>
    <x v="1206"/>
    <x v="55"/>
    <d v="2025-03-02T00:00:00"/>
    <x v="2"/>
    <x v="4"/>
    <x v="1"/>
    <x v="0"/>
    <x v="1"/>
    <x v="0"/>
    <x v="8"/>
    <x v="2"/>
  </r>
  <r>
    <s v="TX501481"/>
    <x v="5"/>
    <x v="9"/>
    <x v="143"/>
    <x v="1207"/>
    <x v="55"/>
    <d v="2025-02-25T00:00:00"/>
    <x v="1"/>
    <x v="2"/>
    <x v="0"/>
    <x v="0"/>
    <x v="44"/>
    <x v="7"/>
    <x v="8"/>
    <x v="1"/>
  </r>
  <r>
    <s v="TX501482"/>
    <x v="9"/>
    <x v="0"/>
    <x v="256"/>
    <x v="463"/>
    <x v="55"/>
    <d v="2025-02-28T00:00:00"/>
    <x v="2"/>
    <x v="0"/>
    <x v="2"/>
    <x v="0"/>
    <x v="3"/>
    <x v="2"/>
    <x v="8"/>
    <x v="2"/>
  </r>
  <r>
    <s v="TX501483"/>
    <x v="0"/>
    <x v="12"/>
    <x v="132"/>
    <x v="1208"/>
    <x v="55"/>
    <d v="2025-02-26T00:00:00"/>
    <x v="1"/>
    <x v="2"/>
    <x v="2"/>
    <x v="0"/>
    <x v="3"/>
    <x v="3"/>
    <x v="8"/>
    <x v="1"/>
  </r>
  <r>
    <s v="TX501484"/>
    <x v="8"/>
    <x v="9"/>
    <x v="133"/>
    <x v="1209"/>
    <x v="55"/>
    <d v="2025-02-26T00:00:00"/>
    <x v="2"/>
    <x v="3"/>
    <x v="2"/>
    <x v="0"/>
    <x v="3"/>
    <x v="3"/>
    <x v="8"/>
    <x v="2"/>
  </r>
  <r>
    <s v="TX501485"/>
    <x v="8"/>
    <x v="2"/>
    <x v="59"/>
    <x v="59"/>
    <x v="55"/>
    <d v="2025-02-26T00:00:00"/>
    <x v="3"/>
    <x v="2"/>
    <x v="1"/>
    <x v="0"/>
    <x v="3"/>
    <x v="3"/>
    <x v="8"/>
    <x v="3"/>
  </r>
  <r>
    <s v="TX501486"/>
    <x v="4"/>
    <x v="0"/>
    <x v="208"/>
    <x v="968"/>
    <x v="55"/>
    <d v="2025-02-27T00:00:00"/>
    <x v="2"/>
    <x v="2"/>
    <x v="0"/>
    <x v="0"/>
    <x v="3"/>
    <x v="1"/>
    <x v="8"/>
    <x v="2"/>
  </r>
  <r>
    <s v="TX501487"/>
    <x v="12"/>
    <x v="1"/>
    <x v="765"/>
    <x v="1210"/>
    <x v="55"/>
    <d v="2025-02-27T00:00:00"/>
    <x v="2"/>
    <x v="2"/>
    <x v="0"/>
    <x v="0"/>
    <x v="3"/>
    <x v="1"/>
    <x v="8"/>
    <x v="2"/>
  </r>
  <r>
    <s v="TX501488"/>
    <x v="12"/>
    <x v="12"/>
    <x v="68"/>
    <x v="455"/>
    <x v="55"/>
    <d v="2025-02-28T00:00:00"/>
    <x v="2"/>
    <x v="1"/>
    <x v="0"/>
    <x v="0"/>
    <x v="3"/>
    <x v="2"/>
    <x v="8"/>
    <x v="2"/>
  </r>
  <r>
    <s v="TX501489"/>
    <x v="0"/>
    <x v="5"/>
    <x v="151"/>
    <x v="1211"/>
    <x v="55"/>
    <d v="2025-02-27T00:00:00"/>
    <x v="2"/>
    <x v="0"/>
    <x v="3"/>
    <x v="0"/>
    <x v="3"/>
    <x v="1"/>
    <x v="8"/>
    <x v="2"/>
  </r>
  <r>
    <s v="TX501490"/>
    <x v="10"/>
    <x v="0"/>
    <x v="226"/>
    <x v="1212"/>
    <x v="55"/>
    <d v="2025-03-02T00:00:00"/>
    <x v="1"/>
    <x v="3"/>
    <x v="2"/>
    <x v="0"/>
    <x v="24"/>
    <x v="0"/>
    <x v="8"/>
    <x v="1"/>
  </r>
  <r>
    <s v="TX501491"/>
    <x v="5"/>
    <x v="7"/>
    <x v="766"/>
    <x v="1213"/>
    <x v="55"/>
    <d v="2025-02-28T00:00:00"/>
    <x v="1"/>
    <x v="2"/>
    <x v="0"/>
    <x v="0"/>
    <x v="16"/>
    <x v="2"/>
    <x v="8"/>
    <x v="1"/>
  </r>
  <r>
    <s v="TX501492"/>
    <x v="4"/>
    <x v="1"/>
    <x v="545"/>
    <x v="998"/>
    <x v="55"/>
    <d v="2025-02-27T00:00:00"/>
    <x v="2"/>
    <x v="1"/>
    <x v="0"/>
    <x v="0"/>
    <x v="5"/>
    <x v="1"/>
    <x v="8"/>
    <x v="2"/>
  </r>
  <r>
    <s v="TX501493"/>
    <x v="3"/>
    <x v="21"/>
    <x v="498"/>
    <x v="1214"/>
    <x v="55"/>
    <d v="2025-02-28T00:00:00"/>
    <x v="1"/>
    <x v="4"/>
    <x v="0"/>
    <x v="0"/>
    <x v="6"/>
    <x v="2"/>
    <x v="8"/>
    <x v="1"/>
  </r>
  <r>
    <s v="TX501494"/>
    <x v="6"/>
    <x v="2"/>
    <x v="446"/>
    <x v="544"/>
    <x v="55"/>
    <d v="2025-02-25T00:00:00"/>
    <x v="0"/>
    <x v="1"/>
    <x v="0"/>
    <x v="0"/>
    <x v="8"/>
    <x v="7"/>
    <x v="8"/>
    <x v="0"/>
  </r>
  <r>
    <s v="TX501495"/>
    <x v="7"/>
    <x v="3"/>
    <x v="767"/>
    <x v="1215"/>
    <x v="55"/>
    <d v="2025-02-27T00:00:00"/>
    <x v="2"/>
    <x v="2"/>
    <x v="1"/>
    <x v="0"/>
    <x v="8"/>
    <x v="1"/>
    <x v="8"/>
    <x v="2"/>
  </r>
  <r>
    <s v="TX501496"/>
    <x v="2"/>
    <x v="0"/>
    <x v="768"/>
    <x v="1216"/>
    <x v="55"/>
    <d v="2025-02-27T00:00:00"/>
    <x v="1"/>
    <x v="2"/>
    <x v="0"/>
    <x v="0"/>
    <x v="8"/>
    <x v="1"/>
    <x v="8"/>
    <x v="1"/>
  </r>
  <r>
    <s v="TX501497"/>
    <x v="4"/>
    <x v="12"/>
    <x v="769"/>
    <x v="1217"/>
    <x v="55"/>
    <d v="2025-02-27T00:00:00"/>
    <x v="2"/>
    <x v="2"/>
    <x v="2"/>
    <x v="0"/>
    <x v="8"/>
    <x v="1"/>
    <x v="8"/>
    <x v="2"/>
  </r>
  <r>
    <s v="TX501498"/>
    <x v="2"/>
    <x v="9"/>
    <x v="770"/>
    <x v="1218"/>
    <x v="55"/>
    <d v="2025-02-26T00:00:00"/>
    <x v="0"/>
    <x v="0"/>
    <x v="2"/>
    <x v="0"/>
    <x v="8"/>
    <x v="3"/>
    <x v="8"/>
    <x v="0"/>
  </r>
  <r>
    <s v="TX501499"/>
    <x v="8"/>
    <x v="0"/>
    <x v="266"/>
    <x v="1219"/>
    <x v="55"/>
    <d v="2025-02-26T00:00:00"/>
    <x v="1"/>
    <x v="1"/>
    <x v="4"/>
    <x v="0"/>
    <x v="8"/>
    <x v="3"/>
    <x v="8"/>
    <x v="1"/>
  </r>
  <r>
    <s v="TX501500"/>
    <x v="13"/>
    <x v="1"/>
    <x v="151"/>
    <x v="611"/>
    <x v="55"/>
    <d v="2025-02-28T00:00:00"/>
    <x v="2"/>
    <x v="1"/>
    <x v="2"/>
    <x v="0"/>
    <x v="17"/>
    <x v="2"/>
    <x v="8"/>
    <x v="2"/>
  </r>
  <r>
    <s v="TX501501"/>
    <x v="9"/>
    <x v="2"/>
    <x v="424"/>
    <x v="515"/>
    <x v="55"/>
    <d v="2025-03-03T00:00:00"/>
    <x v="2"/>
    <x v="0"/>
    <x v="4"/>
    <x v="0"/>
    <x v="11"/>
    <x v="4"/>
    <x v="8"/>
    <x v="2"/>
  </r>
  <r>
    <s v="TX501502"/>
    <x v="1"/>
    <x v="1"/>
    <x v="15"/>
    <x v="546"/>
    <x v="55"/>
    <d v="2025-02-27T00:00:00"/>
    <x v="2"/>
    <x v="1"/>
    <x v="0"/>
    <x v="0"/>
    <x v="18"/>
    <x v="1"/>
    <x v="8"/>
    <x v="2"/>
  </r>
  <r>
    <s v="TX501503"/>
    <x v="4"/>
    <x v="2"/>
    <x v="191"/>
    <x v="1220"/>
    <x v="55"/>
    <d v="2025-02-28T00:00:00"/>
    <x v="2"/>
    <x v="1"/>
    <x v="0"/>
    <x v="0"/>
    <x v="19"/>
    <x v="2"/>
    <x v="8"/>
    <x v="2"/>
  </r>
  <r>
    <s v="TX501504"/>
    <x v="13"/>
    <x v="14"/>
    <x v="25"/>
    <x v="1221"/>
    <x v="55"/>
    <d v="2025-02-26T00:00:00"/>
    <x v="1"/>
    <x v="1"/>
    <x v="1"/>
    <x v="0"/>
    <x v="13"/>
    <x v="3"/>
    <x v="8"/>
    <x v="1"/>
  </r>
  <r>
    <s v="TX501505"/>
    <x v="12"/>
    <x v="1"/>
    <x v="589"/>
    <x v="799"/>
    <x v="55"/>
    <d v="2025-03-02T00:00:00"/>
    <x v="2"/>
    <x v="0"/>
    <x v="2"/>
    <x v="0"/>
    <x v="21"/>
    <x v="0"/>
    <x v="8"/>
    <x v="2"/>
  </r>
  <r>
    <s v="TX501506"/>
    <x v="19"/>
    <x v="1"/>
    <x v="771"/>
    <x v="1222"/>
    <x v="55"/>
    <d v="2025-02-26T00:00:00"/>
    <x v="1"/>
    <x v="3"/>
    <x v="0"/>
    <x v="0"/>
    <x v="21"/>
    <x v="3"/>
    <x v="8"/>
    <x v="1"/>
  </r>
  <r>
    <s v="TX501507"/>
    <x v="6"/>
    <x v="0"/>
    <x v="772"/>
    <x v="1223"/>
    <x v="55"/>
    <d v="2025-03-05T00:00:00"/>
    <x v="1"/>
    <x v="2"/>
    <x v="1"/>
    <x v="0"/>
    <x v="1"/>
    <x v="9"/>
    <x v="8"/>
    <x v="1"/>
  </r>
  <r>
    <s v="TX501508"/>
    <x v="6"/>
    <x v="12"/>
    <x v="451"/>
    <x v="552"/>
    <x v="55"/>
    <d v="2025-02-26T00:00:00"/>
    <x v="1"/>
    <x v="0"/>
    <x v="0"/>
    <x v="0"/>
    <x v="3"/>
    <x v="3"/>
    <x v="8"/>
    <x v="1"/>
  </r>
  <r>
    <s v="TX501509"/>
    <x v="2"/>
    <x v="1"/>
    <x v="773"/>
    <x v="1224"/>
    <x v="55"/>
    <d v="2025-02-25T00:00:00"/>
    <x v="1"/>
    <x v="3"/>
    <x v="2"/>
    <x v="0"/>
    <x v="3"/>
    <x v="7"/>
    <x v="8"/>
    <x v="1"/>
  </r>
  <r>
    <s v="TX501510"/>
    <x v="1"/>
    <x v="4"/>
    <x v="509"/>
    <x v="1225"/>
    <x v="55"/>
    <d v="2025-03-01T00:00:00"/>
    <x v="1"/>
    <x v="1"/>
    <x v="1"/>
    <x v="0"/>
    <x v="3"/>
    <x v="5"/>
    <x v="8"/>
    <x v="1"/>
  </r>
  <r>
    <s v="TX501511"/>
    <x v="13"/>
    <x v="3"/>
    <x v="20"/>
    <x v="1226"/>
    <x v="55"/>
    <d v="2025-02-27T00:00:00"/>
    <x v="1"/>
    <x v="1"/>
    <x v="0"/>
    <x v="0"/>
    <x v="3"/>
    <x v="1"/>
    <x v="8"/>
    <x v="1"/>
  </r>
  <r>
    <s v="TX501512"/>
    <x v="17"/>
    <x v="13"/>
    <x v="774"/>
    <x v="1227"/>
    <x v="55"/>
    <d v="2025-02-26T00:00:00"/>
    <x v="2"/>
    <x v="2"/>
    <x v="0"/>
    <x v="0"/>
    <x v="3"/>
    <x v="3"/>
    <x v="8"/>
    <x v="2"/>
  </r>
  <r>
    <s v="TX501513"/>
    <x v="8"/>
    <x v="1"/>
    <x v="133"/>
    <x v="1228"/>
    <x v="56"/>
    <d v="2025-02-28T00:00:00"/>
    <x v="2"/>
    <x v="0"/>
    <x v="1"/>
    <x v="0"/>
    <x v="3"/>
    <x v="1"/>
    <x v="8"/>
    <x v="2"/>
  </r>
  <r>
    <s v="TX501514"/>
    <x v="6"/>
    <x v="12"/>
    <x v="699"/>
    <x v="138"/>
    <x v="56"/>
    <d v="2025-02-28T00:00:00"/>
    <x v="2"/>
    <x v="2"/>
    <x v="1"/>
    <x v="0"/>
    <x v="3"/>
    <x v="1"/>
    <x v="8"/>
    <x v="2"/>
  </r>
  <r>
    <s v="TX501515"/>
    <x v="10"/>
    <x v="0"/>
    <x v="195"/>
    <x v="1229"/>
    <x v="56"/>
    <d v="2025-03-05T00:00:00"/>
    <x v="2"/>
    <x v="0"/>
    <x v="2"/>
    <x v="0"/>
    <x v="3"/>
    <x v="6"/>
    <x v="8"/>
    <x v="2"/>
  </r>
  <r>
    <s v="TX501516"/>
    <x v="5"/>
    <x v="12"/>
    <x v="400"/>
    <x v="1230"/>
    <x v="56"/>
    <d v="2025-02-27T00:00:00"/>
    <x v="2"/>
    <x v="0"/>
    <x v="0"/>
    <x v="0"/>
    <x v="3"/>
    <x v="3"/>
    <x v="8"/>
    <x v="2"/>
  </r>
  <r>
    <s v="TX501517"/>
    <x v="9"/>
    <x v="9"/>
    <x v="775"/>
    <x v="25"/>
    <x v="56"/>
    <d v="2025-02-28T00:00:00"/>
    <x v="1"/>
    <x v="0"/>
    <x v="0"/>
    <x v="0"/>
    <x v="3"/>
    <x v="1"/>
    <x v="8"/>
    <x v="1"/>
  </r>
  <r>
    <s v="TX501518"/>
    <x v="2"/>
    <x v="1"/>
    <x v="776"/>
    <x v="1231"/>
    <x v="56"/>
    <d v="2025-02-27T00:00:00"/>
    <x v="2"/>
    <x v="1"/>
    <x v="1"/>
    <x v="0"/>
    <x v="3"/>
    <x v="3"/>
    <x v="8"/>
    <x v="2"/>
  </r>
  <r>
    <s v="TX501519"/>
    <x v="6"/>
    <x v="2"/>
    <x v="146"/>
    <x v="1174"/>
    <x v="56"/>
    <d v="2025-03-02T00:00:00"/>
    <x v="1"/>
    <x v="2"/>
    <x v="0"/>
    <x v="0"/>
    <x v="36"/>
    <x v="5"/>
    <x v="8"/>
    <x v="1"/>
  </r>
  <r>
    <s v="TX501520"/>
    <x v="1"/>
    <x v="38"/>
    <x v="259"/>
    <x v="1232"/>
    <x v="56"/>
    <d v="2025-02-28T00:00:00"/>
    <x v="2"/>
    <x v="0"/>
    <x v="0"/>
    <x v="0"/>
    <x v="8"/>
    <x v="1"/>
    <x v="8"/>
    <x v="2"/>
  </r>
  <r>
    <s v="TX501521"/>
    <x v="7"/>
    <x v="0"/>
    <x v="777"/>
    <x v="1233"/>
    <x v="56"/>
    <d v="2025-02-28T00:00:00"/>
    <x v="1"/>
    <x v="0"/>
    <x v="0"/>
    <x v="0"/>
    <x v="8"/>
    <x v="1"/>
    <x v="8"/>
    <x v="1"/>
  </r>
  <r>
    <s v="TX501522"/>
    <x v="5"/>
    <x v="12"/>
    <x v="322"/>
    <x v="1234"/>
    <x v="56"/>
    <d v="2025-02-26T00:00:00"/>
    <x v="1"/>
    <x v="0"/>
    <x v="2"/>
    <x v="0"/>
    <x v="8"/>
    <x v="7"/>
    <x v="8"/>
    <x v="1"/>
  </r>
  <r>
    <s v="TX501523"/>
    <x v="5"/>
    <x v="1"/>
    <x v="778"/>
    <x v="1235"/>
    <x v="56"/>
    <d v="2025-03-01T00:00:00"/>
    <x v="2"/>
    <x v="0"/>
    <x v="2"/>
    <x v="0"/>
    <x v="8"/>
    <x v="2"/>
    <x v="8"/>
    <x v="2"/>
  </r>
  <r>
    <s v="TX501524"/>
    <x v="16"/>
    <x v="3"/>
    <x v="779"/>
    <x v="1236"/>
    <x v="56"/>
    <d v="2025-02-26T00:00:00"/>
    <x v="0"/>
    <x v="3"/>
    <x v="0"/>
    <x v="0"/>
    <x v="17"/>
    <x v="7"/>
    <x v="8"/>
    <x v="0"/>
  </r>
  <r>
    <s v="TX501525"/>
    <x v="2"/>
    <x v="42"/>
    <x v="537"/>
    <x v="1237"/>
    <x v="56"/>
    <d v="2025-03-03T00:00:00"/>
    <x v="0"/>
    <x v="0"/>
    <x v="0"/>
    <x v="0"/>
    <x v="17"/>
    <x v="0"/>
    <x v="8"/>
    <x v="0"/>
  </r>
  <r>
    <s v="TX501526"/>
    <x v="5"/>
    <x v="9"/>
    <x v="780"/>
    <x v="1238"/>
    <x v="56"/>
    <d v="2025-02-27T00:00:00"/>
    <x v="1"/>
    <x v="4"/>
    <x v="4"/>
    <x v="0"/>
    <x v="26"/>
    <x v="3"/>
    <x v="8"/>
    <x v="1"/>
  </r>
  <r>
    <s v="TX501527"/>
    <x v="1"/>
    <x v="1"/>
    <x v="76"/>
    <x v="1239"/>
    <x v="56"/>
    <d v="2025-02-26T00:00:00"/>
    <x v="1"/>
    <x v="0"/>
    <x v="1"/>
    <x v="0"/>
    <x v="26"/>
    <x v="7"/>
    <x v="8"/>
    <x v="1"/>
  </r>
  <r>
    <s v="TX501528"/>
    <x v="7"/>
    <x v="1"/>
    <x v="716"/>
    <x v="507"/>
    <x v="56"/>
    <d v="2025-02-27T00:00:00"/>
    <x v="1"/>
    <x v="0"/>
    <x v="2"/>
    <x v="0"/>
    <x v="9"/>
    <x v="3"/>
    <x v="8"/>
    <x v="1"/>
  </r>
  <r>
    <s v="TX501529"/>
    <x v="2"/>
    <x v="9"/>
    <x v="781"/>
    <x v="1240"/>
    <x v="56"/>
    <d v="2025-02-28T00:00:00"/>
    <x v="0"/>
    <x v="2"/>
    <x v="2"/>
    <x v="0"/>
    <x v="9"/>
    <x v="1"/>
    <x v="8"/>
    <x v="0"/>
  </r>
  <r>
    <s v="TX501530"/>
    <x v="4"/>
    <x v="7"/>
    <x v="234"/>
    <x v="666"/>
    <x v="56"/>
    <d v="2025-03-01T00:00:00"/>
    <x v="1"/>
    <x v="0"/>
    <x v="4"/>
    <x v="0"/>
    <x v="10"/>
    <x v="2"/>
    <x v="8"/>
    <x v="1"/>
  </r>
  <r>
    <s v="TX501531"/>
    <x v="5"/>
    <x v="1"/>
    <x v="201"/>
    <x v="1005"/>
    <x v="56"/>
    <d v="2025-02-28T00:00:00"/>
    <x v="0"/>
    <x v="3"/>
    <x v="0"/>
    <x v="0"/>
    <x v="10"/>
    <x v="1"/>
    <x v="8"/>
    <x v="0"/>
  </r>
  <r>
    <s v="TX501532"/>
    <x v="17"/>
    <x v="12"/>
    <x v="774"/>
    <x v="1241"/>
    <x v="56"/>
    <d v="2025-02-26T00:00:00"/>
    <x v="1"/>
    <x v="2"/>
    <x v="0"/>
    <x v="0"/>
    <x v="19"/>
    <x v="7"/>
    <x v="8"/>
    <x v="1"/>
  </r>
  <r>
    <s v="TX501533"/>
    <x v="4"/>
    <x v="13"/>
    <x v="208"/>
    <x v="981"/>
    <x v="56"/>
    <d v="2025-02-27T00:00:00"/>
    <x v="0"/>
    <x v="3"/>
    <x v="2"/>
    <x v="0"/>
    <x v="13"/>
    <x v="3"/>
    <x v="8"/>
    <x v="0"/>
  </r>
  <r>
    <s v="TX501534"/>
    <x v="11"/>
    <x v="1"/>
    <x v="669"/>
    <x v="1242"/>
    <x v="56"/>
    <d v="2025-02-27T00:00:00"/>
    <x v="2"/>
    <x v="0"/>
    <x v="2"/>
    <x v="0"/>
    <x v="13"/>
    <x v="3"/>
    <x v="8"/>
    <x v="2"/>
  </r>
  <r>
    <s v="TX501535"/>
    <x v="6"/>
    <x v="12"/>
    <x v="245"/>
    <x v="1243"/>
    <x v="56"/>
    <d v="2025-03-02T00:00:00"/>
    <x v="2"/>
    <x v="0"/>
    <x v="1"/>
    <x v="0"/>
    <x v="21"/>
    <x v="5"/>
    <x v="8"/>
    <x v="2"/>
  </r>
  <r>
    <s v="TX501536"/>
    <x v="6"/>
    <x v="2"/>
    <x v="782"/>
    <x v="1244"/>
    <x v="56"/>
    <d v="2025-02-27T00:00:00"/>
    <x v="1"/>
    <x v="1"/>
    <x v="2"/>
    <x v="0"/>
    <x v="46"/>
    <x v="3"/>
    <x v="8"/>
    <x v="1"/>
  </r>
  <r>
    <s v="TX501537"/>
    <x v="4"/>
    <x v="9"/>
    <x v="606"/>
    <x v="497"/>
    <x v="56"/>
    <d v="2025-03-01T00:00:00"/>
    <x v="1"/>
    <x v="0"/>
    <x v="2"/>
    <x v="0"/>
    <x v="2"/>
    <x v="2"/>
    <x v="8"/>
    <x v="1"/>
  </r>
  <r>
    <s v="TX501538"/>
    <x v="12"/>
    <x v="11"/>
    <x v="304"/>
    <x v="1245"/>
    <x v="56"/>
    <d v="2025-02-27T00:00:00"/>
    <x v="2"/>
    <x v="1"/>
    <x v="1"/>
    <x v="0"/>
    <x v="22"/>
    <x v="3"/>
    <x v="8"/>
    <x v="2"/>
  </r>
  <r>
    <s v="TX501539"/>
    <x v="0"/>
    <x v="2"/>
    <x v="208"/>
    <x v="884"/>
    <x v="56"/>
    <d v="2025-03-01T00:00:00"/>
    <x v="2"/>
    <x v="0"/>
    <x v="2"/>
    <x v="0"/>
    <x v="22"/>
    <x v="2"/>
    <x v="8"/>
    <x v="2"/>
  </r>
  <r>
    <s v="TX501540"/>
    <x v="8"/>
    <x v="0"/>
    <x v="409"/>
    <x v="1246"/>
    <x v="56"/>
    <d v="2025-02-26T00:00:00"/>
    <x v="2"/>
    <x v="1"/>
    <x v="0"/>
    <x v="0"/>
    <x v="22"/>
    <x v="7"/>
    <x v="8"/>
    <x v="2"/>
  </r>
  <r>
    <s v="TX501541"/>
    <x v="0"/>
    <x v="2"/>
    <x v="261"/>
    <x v="1247"/>
    <x v="57"/>
    <d v="2025-02-27T00:00:00"/>
    <x v="1"/>
    <x v="4"/>
    <x v="2"/>
    <x v="0"/>
    <x v="3"/>
    <x v="7"/>
    <x v="8"/>
    <x v="1"/>
  </r>
  <r>
    <s v="TX501542"/>
    <x v="10"/>
    <x v="12"/>
    <x v="233"/>
    <x v="1248"/>
    <x v="57"/>
    <d v="2025-02-28T00:00:00"/>
    <x v="1"/>
    <x v="1"/>
    <x v="2"/>
    <x v="0"/>
    <x v="3"/>
    <x v="3"/>
    <x v="8"/>
    <x v="1"/>
  </r>
  <r>
    <s v="TX501543"/>
    <x v="18"/>
    <x v="9"/>
    <x v="457"/>
    <x v="1249"/>
    <x v="57"/>
    <d v="2025-03-02T00:00:00"/>
    <x v="1"/>
    <x v="3"/>
    <x v="4"/>
    <x v="0"/>
    <x v="3"/>
    <x v="2"/>
    <x v="8"/>
    <x v="1"/>
  </r>
  <r>
    <s v="TX501544"/>
    <x v="3"/>
    <x v="0"/>
    <x v="236"/>
    <x v="573"/>
    <x v="57"/>
    <d v="2025-03-02T00:00:00"/>
    <x v="2"/>
    <x v="1"/>
    <x v="0"/>
    <x v="0"/>
    <x v="3"/>
    <x v="2"/>
    <x v="8"/>
    <x v="2"/>
  </r>
  <r>
    <s v="TX501545"/>
    <x v="9"/>
    <x v="1"/>
    <x v="737"/>
    <x v="1250"/>
    <x v="57"/>
    <d v="2025-02-27T00:00:00"/>
    <x v="2"/>
    <x v="1"/>
    <x v="4"/>
    <x v="0"/>
    <x v="3"/>
    <x v="7"/>
    <x v="8"/>
    <x v="2"/>
  </r>
  <r>
    <s v="TX501546"/>
    <x v="15"/>
    <x v="12"/>
    <x v="329"/>
    <x v="1251"/>
    <x v="57"/>
    <d v="2025-03-01T00:00:00"/>
    <x v="2"/>
    <x v="0"/>
    <x v="0"/>
    <x v="0"/>
    <x v="16"/>
    <x v="1"/>
    <x v="8"/>
    <x v="2"/>
  </r>
  <r>
    <s v="TX501547"/>
    <x v="6"/>
    <x v="4"/>
    <x v="783"/>
    <x v="1252"/>
    <x v="57"/>
    <d v="2025-03-13T00:00:00"/>
    <x v="2"/>
    <x v="0"/>
    <x v="2"/>
    <x v="0"/>
    <x v="23"/>
    <x v="12"/>
    <x v="8"/>
    <x v="2"/>
  </r>
  <r>
    <s v="TX501548"/>
    <x v="8"/>
    <x v="1"/>
    <x v="167"/>
    <x v="1253"/>
    <x v="57"/>
    <d v="2025-03-03T00:00:00"/>
    <x v="2"/>
    <x v="1"/>
    <x v="0"/>
    <x v="0"/>
    <x v="6"/>
    <x v="5"/>
    <x v="8"/>
    <x v="2"/>
  </r>
  <r>
    <s v="TX501549"/>
    <x v="2"/>
    <x v="12"/>
    <x v="784"/>
    <x v="1254"/>
    <x v="57"/>
    <d v="2025-02-28T00:00:00"/>
    <x v="2"/>
    <x v="0"/>
    <x v="1"/>
    <x v="0"/>
    <x v="6"/>
    <x v="3"/>
    <x v="8"/>
    <x v="2"/>
  </r>
  <r>
    <s v="TX501550"/>
    <x v="18"/>
    <x v="1"/>
    <x v="642"/>
    <x v="255"/>
    <x v="57"/>
    <d v="2025-03-01T00:00:00"/>
    <x v="1"/>
    <x v="4"/>
    <x v="0"/>
    <x v="0"/>
    <x v="8"/>
    <x v="1"/>
    <x v="8"/>
    <x v="1"/>
  </r>
  <r>
    <s v="TX501551"/>
    <x v="8"/>
    <x v="1"/>
    <x v="654"/>
    <x v="707"/>
    <x v="57"/>
    <d v="2025-03-03T00:00:00"/>
    <x v="1"/>
    <x v="1"/>
    <x v="2"/>
    <x v="0"/>
    <x v="8"/>
    <x v="5"/>
    <x v="8"/>
    <x v="1"/>
  </r>
  <r>
    <s v="TX501552"/>
    <x v="8"/>
    <x v="43"/>
    <x v="161"/>
    <x v="1255"/>
    <x v="57"/>
    <d v="2025-03-01T00:00:00"/>
    <x v="1"/>
    <x v="2"/>
    <x v="2"/>
    <x v="0"/>
    <x v="8"/>
    <x v="1"/>
    <x v="8"/>
    <x v="1"/>
  </r>
  <r>
    <s v="TX501553"/>
    <x v="13"/>
    <x v="2"/>
    <x v="80"/>
    <x v="352"/>
    <x v="57"/>
    <d v="2025-03-02T00:00:00"/>
    <x v="1"/>
    <x v="0"/>
    <x v="2"/>
    <x v="0"/>
    <x v="8"/>
    <x v="2"/>
    <x v="8"/>
    <x v="1"/>
  </r>
  <r>
    <s v="TX501554"/>
    <x v="10"/>
    <x v="0"/>
    <x v="209"/>
    <x v="835"/>
    <x v="57"/>
    <d v="2025-02-28T00:00:00"/>
    <x v="2"/>
    <x v="0"/>
    <x v="0"/>
    <x v="0"/>
    <x v="17"/>
    <x v="3"/>
    <x v="8"/>
    <x v="2"/>
  </r>
  <r>
    <s v="TX501555"/>
    <x v="14"/>
    <x v="11"/>
    <x v="99"/>
    <x v="1256"/>
    <x v="57"/>
    <d v="2025-03-01T00:00:00"/>
    <x v="2"/>
    <x v="0"/>
    <x v="0"/>
    <x v="0"/>
    <x v="9"/>
    <x v="1"/>
    <x v="8"/>
    <x v="2"/>
  </r>
  <r>
    <s v="TX501556"/>
    <x v="3"/>
    <x v="4"/>
    <x v="14"/>
    <x v="1257"/>
    <x v="57"/>
    <d v="2025-03-02T00:00:00"/>
    <x v="0"/>
    <x v="0"/>
    <x v="2"/>
    <x v="0"/>
    <x v="11"/>
    <x v="2"/>
    <x v="8"/>
    <x v="0"/>
  </r>
  <r>
    <s v="TX501557"/>
    <x v="1"/>
    <x v="12"/>
    <x v="199"/>
    <x v="979"/>
    <x v="57"/>
    <d v="2025-03-04T00:00:00"/>
    <x v="1"/>
    <x v="3"/>
    <x v="0"/>
    <x v="0"/>
    <x v="11"/>
    <x v="0"/>
    <x v="8"/>
    <x v="1"/>
  </r>
  <r>
    <s v="TX501558"/>
    <x v="19"/>
    <x v="11"/>
    <x v="624"/>
    <x v="1258"/>
    <x v="57"/>
    <d v="2025-03-10T00:00:00"/>
    <x v="1"/>
    <x v="1"/>
    <x v="0"/>
    <x v="0"/>
    <x v="18"/>
    <x v="11"/>
    <x v="8"/>
    <x v="1"/>
  </r>
  <r>
    <s v="TX501559"/>
    <x v="18"/>
    <x v="3"/>
    <x v="785"/>
    <x v="1259"/>
    <x v="57"/>
    <d v="2025-02-27T00:00:00"/>
    <x v="3"/>
    <x v="3"/>
    <x v="0"/>
    <x v="0"/>
    <x v="31"/>
    <x v="7"/>
    <x v="8"/>
    <x v="3"/>
  </r>
  <r>
    <s v="TX501560"/>
    <x v="6"/>
    <x v="12"/>
    <x v="641"/>
    <x v="760"/>
    <x v="57"/>
    <d v="2025-03-01T00:00:00"/>
    <x v="2"/>
    <x v="1"/>
    <x v="0"/>
    <x v="0"/>
    <x v="1"/>
    <x v="1"/>
    <x v="8"/>
    <x v="2"/>
  </r>
  <r>
    <s v="TX501561"/>
    <x v="8"/>
    <x v="0"/>
    <x v="184"/>
    <x v="475"/>
    <x v="57"/>
    <d v="2025-02-28T00:00:00"/>
    <x v="2"/>
    <x v="2"/>
    <x v="2"/>
    <x v="0"/>
    <x v="2"/>
    <x v="3"/>
    <x v="8"/>
    <x v="2"/>
  </r>
  <r>
    <s v="TX501562"/>
    <x v="19"/>
    <x v="1"/>
    <x v="49"/>
    <x v="1260"/>
    <x v="57"/>
    <d v="2025-03-02T00:00:00"/>
    <x v="3"/>
    <x v="2"/>
    <x v="0"/>
    <x v="0"/>
    <x v="22"/>
    <x v="2"/>
    <x v="8"/>
    <x v="3"/>
  </r>
  <r>
    <s v="TX501563"/>
    <x v="12"/>
    <x v="7"/>
    <x v="452"/>
    <x v="892"/>
    <x v="58"/>
    <d v="2025-03-01T00:00:00"/>
    <x v="2"/>
    <x v="3"/>
    <x v="2"/>
    <x v="0"/>
    <x v="22"/>
    <x v="3"/>
    <x v="8"/>
    <x v="2"/>
  </r>
  <r>
    <s v="TX501564"/>
    <x v="10"/>
    <x v="1"/>
    <x v="21"/>
    <x v="1261"/>
    <x v="58"/>
    <d v="2025-02-28T00:00:00"/>
    <x v="2"/>
    <x v="0"/>
    <x v="0"/>
    <x v="0"/>
    <x v="34"/>
    <x v="7"/>
    <x v="8"/>
    <x v="2"/>
  </r>
  <r>
    <s v="TX501565"/>
    <x v="6"/>
    <x v="0"/>
    <x v="786"/>
    <x v="1262"/>
    <x v="58"/>
    <d v="2025-03-03T00:00:00"/>
    <x v="1"/>
    <x v="0"/>
    <x v="2"/>
    <x v="0"/>
    <x v="3"/>
    <x v="2"/>
    <x v="8"/>
    <x v="1"/>
  </r>
  <r>
    <s v="TX501566"/>
    <x v="2"/>
    <x v="11"/>
    <x v="238"/>
    <x v="1263"/>
    <x v="58"/>
    <d v="2025-03-01T00:00:00"/>
    <x v="1"/>
    <x v="0"/>
    <x v="2"/>
    <x v="0"/>
    <x v="3"/>
    <x v="3"/>
    <x v="8"/>
    <x v="1"/>
  </r>
  <r>
    <s v="TX501567"/>
    <x v="1"/>
    <x v="1"/>
    <x v="124"/>
    <x v="318"/>
    <x v="58"/>
    <d v="2025-03-01T00:00:00"/>
    <x v="2"/>
    <x v="2"/>
    <x v="1"/>
    <x v="0"/>
    <x v="3"/>
    <x v="3"/>
    <x v="8"/>
    <x v="2"/>
  </r>
  <r>
    <s v="TX501568"/>
    <x v="7"/>
    <x v="9"/>
    <x v="787"/>
    <x v="1264"/>
    <x v="58"/>
    <d v="2025-03-02T00:00:00"/>
    <x v="1"/>
    <x v="2"/>
    <x v="2"/>
    <x v="0"/>
    <x v="3"/>
    <x v="1"/>
    <x v="8"/>
    <x v="1"/>
  </r>
  <r>
    <s v="TX501569"/>
    <x v="8"/>
    <x v="9"/>
    <x v="788"/>
    <x v="692"/>
    <x v="58"/>
    <d v="2025-03-01T00:00:00"/>
    <x v="2"/>
    <x v="3"/>
    <x v="2"/>
    <x v="0"/>
    <x v="3"/>
    <x v="3"/>
    <x v="8"/>
    <x v="2"/>
  </r>
  <r>
    <s v="TX501570"/>
    <x v="9"/>
    <x v="2"/>
    <x v="236"/>
    <x v="1265"/>
    <x v="58"/>
    <d v="2025-03-04T00:00:00"/>
    <x v="1"/>
    <x v="2"/>
    <x v="2"/>
    <x v="0"/>
    <x v="3"/>
    <x v="5"/>
    <x v="8"/>
    <x v="1"/>
  </r>
  <r>
    <s v="TX501571"/>
    <x v="5"/>
    <x v="9"/>
    <x v="789"/>
    <x v="1266"/>
    <x v="58"/>
    <d v="2025-03-02T00:00:00"/>
    <x v="1"/>
    <x v="0"/>
    <x v="0"/>
    <x v="0"/>
    <x v="37"/>
    <x v="1"/>
    <x v="8"/>
    <x v="1"/>
  </r>
  <r>
    <s v="TX501572"/>
    <x v="6"/>
    <x v="1"/>
    <x v="489"/>
    <x v="613"/>
    <x v="58"/>
    <d v="2025-03-01T00:00:00"/>
    <x v="1"/>
    <x v="0"/>
    <x v="2"/>
    <x v="0"/>
    <x v="25"/>
    <x v="3"/>
    <x v="8"/>
    <x v="1"/>
  </r>
  <r>
    <s v="TX501573"/>
    <x v="6"/>
    <x v="12"/>
    <x v="470"/>
    <x v="1267"/>
    <x v="58"/>
    <d v="2025-03-03T00:00:00"/>
    <x v="2"/>
    <x v="0"/>
    <x v="1"/>
    <x v="0"/>
    <x v="23"/>
    <x v="2"/>
    <x v="8"/>
    <x v="2"/>
  </r>
  <r>
    <s v="TX501574"/>
    <x v="10"/>
    <x v="9"/>
    <x v="605"/>
    <x v="1268"/>
    <x v="58"/>
    <d v="2025-03-01T00:00:00"/>
    <x v="2"/>
    <x v="0"/>
    <x v="0"/>
    <x v="0"/>
    <x v="6"/>
    <x v="3"/>
    <x v="8"/>
    <x v="2"/>
  </r>
  <r>
    <s v="TX501575"/>
    <x v="1"/>
    <x v="9"/>
    <x v="227"/>
    <x v="1269"/>
    <x v="58"/>
    <d v="2025-03-02T00:00:00"/>
    <x v="2"/>
    <x v="2"/>
    <x v="0"/>
    <x v="0"/>
    <x v="8"/>
    <x v="1"/>
    <x v="8"/>
    <x v="2"/>
  </r>
  <r>
    <s v="TX501576"/>
    <x v="8"/>
    <x v="9"/>
    <x v="762"/>
    <x v="1270"/>
    <x v="58"/>
    <d v="2025-03-02T00:00:00"/>
    <x v="2"/>
    <x v="3"/>
    <x v="0"/>
    <x v="0"/>
    <x v="8"/>
    <x v="1"/>
    <x v="8"/>
    <x v="2"/>
  </r>
  <r>
    <s v="TX501577"/>
    <x v="10"/>
    <x v="12"/>
    <x v="790"/>
    <x v="956"/>
    <x v="58"/>
    <d v="2025-03-06T00:00:00"/>
    <x v="2"/>
    <x v="0"/>
    <x v="0"/>
    <x v="0"/>
    <x v="8"/>
    <x v="4"/>
    <x v="8"/>
    <x v="2"/>
  </r>
  <r>
    <s v="TX501578"/>
    <x v="9"/>
    <x v="2"/>
    <x v="789"/>
    <x v="1271"/>
    <x v="58"/>
    <d v="2025-03-02T00:00:00"/>
    <x v="2"/>
    <x v="1"/>
    <x v="2"/>
    <x v="0"/>
    <x v="9"/>
    <x v="1"/>
    <x v="8"/>
    <x v="2"/>
  </r>
  <r>
    <s v="TX501579"/>
    <x v="8"/>
    <x v="2"/>
    <x v="458"/>
    <x v="1272"/>
    <x v="58"/>
    <d v="2025-02-28T00:00:00"/>
    <x v="2"/>
    <x v="0"/>
    <x v="0"/>
    <x v="0"/>
    <x v="9"/>
    <x v="7"/>
    <x v="8"/>
    <x v="2"/>
  </r>
  <r>
    <s v="TX501580"/>
    <x v="1"/>
    <x v="7"/>
    <x v="637"/>
    <x v="1273"/>
    <x v="58"/>
    <d v="2025-03-02T00:00:00"/>
    <x v="2"/>
    <x v="0"/>
    <x v="2"/>
    <x v="0"/>
    <x v="9"/>
    <x v="1"/>
    <x v="8"/>
    <x v="2"/>
  </r>
  <r>
    <s v="TX501581"/>
    <x v="8"/>
    <x v="9"/>
    <x v="153"/>
    <x v="796"/>
    <x v="58"/>
    <d v="2025-02-28T00:00:00"/>
    <x v="1"/>
    <x v="4"/>
    <x v="2"/>
    <x v="0"/>
    <x v="10"/>
    <x v="7"/>
    <x v="8"/>
    <x v="1"/>
  </r>
  <r>
    <s v="TX501582"/>
    <x v="9"/>
    <x v="1"/>
    <x v="209"/>
    <x v="510"/>
    <x v="58"/>
    <d v="2025-03-05T00:00:00"/>
    <x v="2"/>
    <x v="0"/>
    <x v="0"/>
    <x v="0"/>
    <x v="11"/>
    <x v="0"/>
    <x v="8"/>
    <x v="2"/>
  </r>
  <r>
    <s v="TX501583"/>
    <x v="4"/>
    <x v="2"/>
    <x v="742"/>
    <x v="1274"/>
    <x v="58"/>
    <d v="2025-03-02T00:00:00"/>
    <x v="1"/>
    <x v="0"/>
    <x v="3"/>
    <x v="0"/>
    <x v="18"/>
    <x v="1"/>
    <x v="8"/>
    <x v="1"/>
  </r>
  <r>
    <s v="TX501584"/>
    <x v="7"/>
    <x v="2"/>
    <x v="484"/>
    <x v="794"/>
    <x v="58"/>
    <d v="2025-03-01T00:00:00"/>
    <x v="2"/>
    <x v="3"/>
    <x v="0"/>
    <x v="0"/>
    <x v="1"/>
    <x v="3"/>
    <x v="8"/>
    <x v="2"/>
  </r>
  <r>
    <s v="TX501585"/>
    <x v="6"/>
    <x v="2"/>
    <x v="789"/>
    <x v="1271"/>
    <x v="58"/>
    <d v="2025-03-03T00:00:00"/>
    <x v="0"/>
    <x v="4"/>
    <x v="4"/>
    <x v="0"/>
    <x v="1"/>
    <x v="2"/>
    <x v="8"/>
    <x v="0"/>
  </r>
  <r>
    <s v="TX501586"/>
    <x v="11"/>
    <x v="9"/>
    <x v="310"/>
    <x v="1275"/>
    <x v="58"/>
    <d v="2025-03-01T00:00:00"/>
    <x v="1"/>
    <x v="1"/>
    <x v="2"/>
    <x v="0"/>
    <x v="33"/>
    <x v="3"/>
    <x v="8"/>
    <x v="1"/>
  </r>
  <r>
    <s v="TX501587"/>
    <x v="0"/>
    <x v="8"/>
    <x v="590"/>
    <x v="281"/>
    <x v="58"/>
    <d v="2025-03-01T00:00:00"/>
    <x v="2"/>
    <x v="4"/>
    <x v="0"/>
    <x v="0"/>
    <x v="3"/>
    <x v="3"/>
    <x v="8"/>
    <x v="2"/>
  </r>
  <r>
    <s v="TX501588"/>
    <x v="8"/>
    <x v="2"/>
    <x v="210"/>
    <x v="1276"/>
    <x v="58"/>
    <d v="2025-03-01T00:00:00"/>
    <x v="1"/>
    <x v="0"/>
    <x v="2"/>
    <x v="0"/>
    <x v="3"/>
    <x v="3"/>
    <x v="8"/>
    <x v="1"/>
  </r>
  <r>
    <s v="TX501589"/>
    <x v="8"/>
    <x v="0"/>
    <x v="791"/>
    <x v="1277"/>
    <x v="58"/>
    <d v="2025-03-02T00:00:00"/>
    <x v="3"/>
    <x v="4"/>
    <x v="0"/>
    <x v="0"/>
    <x v="3"/>
    <x v="1"/>
    <x v="8"/>
    <x v="3"/>
  </r>
  <r>
    <s v="TX501590"/>
    <x v="6"/>
    <x v="2"/>
    <x v="792"/>
    <x v="1278"/>
    <x v="58"/>
    <d v="2025-03-01T00:00:00"/>
    <x v="2"/>
    <x v="0"/>
    <x v="3"/>
    <x v="0"/>
    <x v="3"/>
    <x v="3"/>
    <x v="8"/>
    <x v="2"/>
  </r>
  <r>
    <s v="TX501591"/>
    <x v="10"/>
    <x v="3"/>
    <x v="101"/>
    <x v="1279"/>
    <x v="58"/>
    <d v="2025-03-02T00:00:00"/>
    <x v="2"/>
    <x v="0"/>
    <x v="1"/>
    <x v="0"/>
    <x v="3"/>
    <x v="1"/>
    <x v="8"/>
    <x v="2"/>
  </r>
  <r>
    <s v="TX501592"/>
    <x v="5"/>
    <x v="2"/>
    <x v="495"/>
    <x v="701"/>
    <x v="59"/>
    <d v="2025-03-14T00:00:00"/>
    <x v="2"/>
    <x v="0"/>
    <x v="0"/>
    <x v="0"/>
    <x v="3"/>
    <x v="10"/>
    <x v="8"/>
    <x v="2"/>
  </r>
  <r>
    <s v="TX501593"/>
    <x v="1"/>
    <x v="12"/>
    <x v="545"/>
    <x v="465"/>
    <x v="59"/>
    <d v="2025-03-02T00:00:00"/>
    <x v="2"/>
    <x v="3"/>
    <x v="2"/>
    <x v="0"/>
    <x v="5"/>
    <x v="3"/>
    <x v="8"/>
    <x v="2"/>
  </r>
  <r>
    <s v="TX501594"/>
    <x v="10"/>
    <x v="1"/>
    <x v="147"/>
    <x v="186"/>
    <x v="59"/>
    <d v="2025-03-07T00:00:00"/>
    <x v="1"/>
    <x v="1"/>
    <x v="4"/>
    <x v="0"/>
    <x v="6"/>
    <x v="4"/>
    <x v="8"/>
    <x v="1"/>
  </r>
  <r>
    <s v="TX501595"/>
    <x v="11"/>
    <x v="8"/>
    <x v="167"/>
    <x v="1166"/>
    <x v="59"/>
    <d v="2025-03-06T00:00:00"/>
    <x v="2"/>
    <x v="0"/>
    <x v="0"/>
    <x v="0"/>
    <x v="6"/>
    <x v="0"/>
    <x v="8"/>
    <x v="2"/>
  </r>
  <r>
    <s v="TX501596"/>
    <x v="6"/>
    <x v="4"/>
    <x v="793"/>
    <x v="1280"/>
    <x v="59"/>
    <d v="2025-03-01T00:00:00"/>
    <x v="1"/>
    <x v="0"/>
    <x v="1"/>
    <x v="0"/>
    <x v="6"/>
    <x v="7"/>
    <x v="8"/>
    <x v="1"/>
  </r>
  <r>
    <s v="TX501597"/>
    <x v="1"/>
    <x v="1"/>
    <x v="197"/>
    <x v="517"/>
    <x v="59"/>
    <d v="2025-03-02T00:00:00"/>
    <x v="0"/>
    <x v="2"/>
    <x v="0"/>
    <x v="0"/>
    <x v="7"/>
    <x v="3"/>
    <x v="8"/>
    <x v="0"/>
  </r>
  <r>
    <s v="TX501598"/>
    <x v="0"/>
    <x v="2"/>
    <x v="324"/>
    <x v="1062"/>
    <x v="59"/>
    <d v="2025-03-05T00:00:00"/>
    <x v="2"/>
    <x v="0"/>
    <x v="0"/>
    <x v="0"/>
    <x v="8"/>
    <x v="5"/>
    <x v="8"/>
    <x v="2"/>
  </r>
  <r>
    <s v="TX501599"/>
    <x v="8"/>
    <x v="2"/>
    <x v="30"/>
    <x v="1281"/>
    <x v="59"/>
    <d v="2025-03-02T00:00:00"/>
    <x v="2"/>
    <x v="4"/>
    <x v="0"/>
    <x v="0"/>
    <x v="8"/>
    <x v="3"/>
    <x v="8"/>
    <x v="2"/>
  </r>
  <r>
    <s v="TX501600"/>
    <x v="5"/>
    <x v="8"/>
    <x v="324"/>
    <x v="1123"/>
    <x v="59"/>
    <d v="2025-03-09T00:00:00"/>
    <x v="2"/>
    <x v="4"/>
    <x v="0"/>
    <x v="0"/>
    <x v="8"/>
    <x v="9"/>
    <x v="8"/>
    <x v="2"/>
  </r>
  <r>
    <s v="TX501601"/>
    <x v="12"/>
    <x v="1"/>
    <x v="189"/>
    <x v="1282"/>
    <x v="59"/>
    <d v="2025-03-03T00:00:00"/>
    <x v="1"/>
    <x v="0"/>
    <x v="2"/>
    <x v="0"/>
    <x v="8"/>
    <x v="1"/>
    <x v="8"/>
    <x v="1"/>
  </r>
  <r>
    <s v="TX501602"/>
    <x v="18"/>
    <x v="1"/>
    <x v="497"/>
    <x v="632"/>
    <x v="59"/>
    <d v="2025-03-03T00:00:00"/>
    <x v="1"/>
    <x v="0"/>
    <x v="2"/>
    <x v="0"/>
    <x v="8"/>
    <x v="1"/>
    <x v="8"/>
    <x v="1"/>
  </r>
  <r>
    <s v="TX501603"/>
    <x v="10"/>
    <x v="1"/>
    <x v="438"/>
    <x v="1283"/>
    <x v="59"/>
    <d v="2025-03-01T00:00:00"/>
    <x v="2"/>
    <x v="1"/>
    <x v="0"/>
    <x v="0"/>
    <x v="11"/>
    <x v="7"/>
    <x v="8"/>
    <x v="2"/>
  </r>
  <r>
    <s v="TX501604"/>
    <x v="0"/>
    <x v="8"/>
    <x v="210"/>
    <x v="1284"/>
    <x v="59"/>
    <d v="2025-03-03T00:00:00"/>
    <x v="1"/>
    <x v="3"/>
    <x v="1"/>
    <x v="0"/>
    <x v="18"/>
    <x v="1"/>
    <x v="8"/>
    <x v="1"/>
  </r>
  <r>
    <s v="TX501605"/>
    <x v="9"/>
    <x v="2"/>
    <x v="51"/>
    <x v="1285"/>
    <x v="59"/>
    <d v="2025-03-02T00:00:00"/>
    <x v="1"/>
    <x v="1"/>
    <x v="0"/>
    <x v="0"/>
    <x v="19"/>
    <x v="3"/>
    <x v="8"/>
    <x v="1"/>
  </r>
  <r>
    <s v="TX501606"/>
    <x v="8"/>
    <x v="0"/>
    <x v="705"/>
    <x v="1286"/>
    <x v="59"/>
    <d v="2025-03-05T00:00:00"/>
    <x v="1"/>
    <x v="1"/>
    <x v="1"/>
    <x v="0"/>
    <x v="13"/>
    <x v="5"/>
    <x v="8"/>
    <x v="1"/>
  </r>
  <r>
    <s v="TX501607"/>
    <x v="9"/>
    <x v="2"/>
    <x v="29"/>
    <x v="1287"/>
    <x v="59"/>
    <d v="2025-03-02T00:00:00"/>
    <x v="2"/>
    <x v="3"/>
    <x v="4"/>
    <x v="0"/>
    <x v="21"/>
    <x v="3"/>
    <x v="8"/>
    <x v="2"/>
  </r>
  <r>
    <s v="TX501608"/>
    <x v="16"/>
    <x v="2"/>
    <x v="715"/>
    <x v="1288"/>
    <x v="59"/>
    <d v="2025-03-03T00:00:00"/>
    <x v="2"/>
    <x v="4"/>
    <x v="0"/>
    <x v="0"/>
    <x v="21"/>
    <x v="1"/>
    <x v="8"/>
    <x v="2"/>
  </r>
  <r>
    <s v="TX501609"/>
    <x v="11"/>
    <x v="1"/>
    <x v="37"/>
    <x v="292"/>
    <x v="59"/>
    <d v="2025-03-02T00:00:00"/>
    <x v="1"/>
    <x v="1"/>
    <x v="2"/>
    <x v="0"/>
    <x v="1"/>
    <x v="3"/>
    <x v="8"/>
    <x v="1"/>
  </r>
  <r>
    <s v="TX501610"/>
    <x v="8"/>
    <x v="1"/>
    <x v="7"/>
    <x v="7"/>
    <x v="59"/>
    <d v="2025-03-03T00:00:00"/>
    <x v="1"/>
    <x v="3"/>
    <x v="0"/>
    <x v="0"/>
    <x v="27"/>
    <x v="1"/>
    <x v="8"/>
    <x v="1"/>
  </r>
  <r>
    <s v="TX501611"/>
    <x v="8"/>
    <x v="2"/>
    <x v="661"/>
    <x v="1289"/>
    <x v="59"/>
    <d v="2025-03-02T00:00:00"/>
    <x v="1"/>
    <x v="0"/>
    <x v="2"/>
    <x v="0"/>
    <x v="34"/>
    <x v="3"/>
    <x v="8"/>
    <x v="1"/>
  </r>
  <r>
    <s v="TX501612"/>
    <x v="6"/>
    <x v="9"/>
    <x v="574"/>
    <x v="1290"/>
    <x v="59"/>
    <d v="2025-03-02T00:00:00"/>
    <x v="1"/>
    <x v="2"/>
    <x v="0"/>
    <x v="0"/>
    <x v="3"/>
    <x v="3"/>
    <x v="8"/>
    <x v="1"/>
  </r>
  <r>
    <s v="TX501613"/>
    <x v="12"/>
    <x v="12"/>
    <x v="794"/>
    <x v="1291"/>
    <x v="59"/>
    <d v="2025-03-05T00:00:00"/>
    <x v="2"/>
    <x v="4"/>
    <x v="2"/>
    <x v="0"/>
    <x v="3"/>
    <x v="5"/>
    <x v="8"/>
    <x v="2"/>
  </r>
  <r>
    <s v="TX501614"/>
    <x v="2"/>
    <x v="1"/>
    <x v="795"/>
    <x v="1292"/>
    <x v="60"/>
    <d v="2025-03-05T00:00:00"/>
    <x v="2"/>
    <x v="1"/>
    <x v="1"/>
    <x v="0"/>
    <x v="3"/>
    <x v="2"/>
    <x v="9"/>
    <x v="2"/>
  </r>
  <r>
    <s v="TX501615"/>
    <x v="15"/>
    <x v="9"/>
    <x v="297"/>
    <x v="1044"/>
    <x v="60"/>
    <d v="2025-03-04T00:00:00"/>
    <x v="2"/>
    <x v="3"/>
    <x v="0"/>
    <x v="0"/>
    <x v="3"/>
    <x v="1"/>
    <x v="9"/>
    <x v="2"/>
  </r>
  <r>
    <s v="TX501616"/>
    <x v="10"/>
    <x v="0"/>
    <x v="138"/>
    <x v="144"/>
    <x v="60"/>
    <d v="2025-03-04T00:00:00"/>
    <x v="2"/>
    <x v="0"/>
    <x v="1"/>
    <x v="0"/>
    <x v="3"/>
    <x v="1"/>
    <x v="9"/>
    <x v="2"/>
  </r>
  <r>
    <s v="TX501617"/>
    <x v="9"/>
    <x v="0"/>
    <x v="115"/>
    <x v="1201"/>
    <x v="60"/>
    <d v="2025-03-05T00:00:00"/>
    <x v="2"/>
    <x v="4"/>
    <x v="0"/>
    <x v="0"/>
    <x v="3"/>
    <x v="2"/>
    <x v="9"/>
    <x v="2"/>
  </r>
  <r>
    <s v="TX501618"/>
    <x v="6"/>
    <x v="0"/>
    <x v="591"/>
    <x v="1293"/>
    <x v="60"/>
    <d v="2025-03-16T00:00:00"/>
    <x v="3"/>
    <x v="0"/>
    <x v="2"/>
    <x v="0"/>
    <x v="3"/>
    <x v="12"/>
    <x v="9"/>
    <x v="3"/>
  </r>
  <r>
    <s v="TX501619"/>
    <x v="8"/>
    <x v="2"/>
    <x v="600"/>
    <x v="1294"/>
    <x v="60"/>
    <d v="2025-03-04T00:00:00"/>
    <x v="1"/>
    <x v="2"/>
    <x v="1"/>
    <x v="0"/>
    <x v="3"/>
    <x v="1"/>
    <x v="9"/>
    <x v="1"/>
  </r>
  <r>
    <s v="TX501620"/>
    <x v="9"/>
    <x v="6"/>
    <x v="707"/>
    <x v="1295"/>
    <x v="60"/>
    <d v="2025-03-02T00:00:00"/>
    <x v="2"/>
    <x v="2"/>
    <x v="0"/>
    <x v="0"/>
    <x v="3"/>
    <x v="7"/>
    <x v="9"/>
    <x v="2"/>
  </r>
  <r>
    <s v="TX501621"/>
    <x v="4"/>
    <x v="13"/>
    <x v="293"/>
    <x v="1296"/>
    <x v="60"/>
    <d v="2025-03-03T00:00:00"/>
    <x v="1"/>
    <x v="2"/>
    <x v="0"/>
    <x v="0"/>
    <x v="3"/>
    <x v="3"/>
    <x v="9"/>
    <x v="1"/>
  </r>
  <r>
    <s v="TX501622"/>
    <x v="10"/>
    <x v="1"/>
    <x v="248"/>
    <x v="1297"/>
    <x v="60"/>
    <d v="2025-03-04T00:00:00"/>
    <x v="1"/>
    <x v="2"/>
    <x v="0"/>
    <x v="0"/>
    <x v="3"/>
    <x v="1"/>
    <x v="9"/>
    <x v="1"/>
  </r>
  <r>
    <s v="TX501623"/>
    <x v="7"/>
    <x v="1"/>
    <x v="674"/>
    <x v="1298"/>
    <x v="60"/>
    <d v="2025-03-06T00:00:00"/>
    <x v="2"/>
    <x v="0"/>
    <x v="0"/>
    <x v="0"/>
    <x v="3"/>
    <x v="5"/>
    <x v="9"/>
    <x v="2"/>
  </r>
  <r>
    <s v="TX501624"/>
    <x v="8"/>
    <x v="13"/>
    <x v="53"/>
    <x v="807"/>
    <x v="60"/>
    <d v="2025-03-03T00:00:00"/>
    <x v="3"/>
    <x v="1"/>
    <x v="2"/>
    <x v="0"/>
    <x v="6"/>
    <x v="3"/>
    <x v="9"/>
    <x v="3"/>
  </r>
  <r>
    <s v="TX501625"/>
    <x v="15"/>
    <x v="5"/>
    <x v="357"/>
    <x v="1299"/>
    <x v="60"/>
    <d v="2025-03-03T00:00:00"/>
    <x v="3"/>
    <x v="1"/>
    <x v="1"/>
    <x v="0"/>
    <x v="7"/>
    <x v="3"/>
    <x v="9"/>
    <x v="3"/>
  </r>
  <r>
    <s v="TX501626"/>
    <x v="9"/>
    <x v="0"/>
    <x v="216"/>
    <x v="627"/>
    <x v="60"/>
    <d v="2025-03-06T00:00:00"/>
    <x v="2"/>
    <x v="0"/>
    <x v="2"/>
    <x v="0"/>
    <x v="7"/>
    <x v="5"/>
    <x v="9"/>
    <x v="2"/>
  </r>
  <r>
    <s v="TX501627"/>
    <x v="8"/>
    <x v="9"/>
    <x v="157"/>
    <x v="1300"/>
    <x v="60"/>
    <d v="2025-03-03T00:00:00"/>
    <x v="2"/>
    <x v="1"/>
    <x v="0"/>
    <x v="0"/>
    <x v="7"/>
    <x v="3"/>
    <x v="9"/>
    <x v="2"/>
  </r>
  <r>
    <s v="TX501628"/>
    <x v="12"/>
    <x v="11"/>
    <x v="184"/>
    <x v="1301"/>
    <x v="60"/>
    <d v="2025-03-04T00:00:00"/>
    <x v="1"/>
    <x v="0"/>
    <x v="0"/>
    <x v="0"/>
    <x v="8"/>
    <x v="1"/>
    <x v="9"/>
    <x v="1"/>
  </r>
  <r>
    <s v="TX501629"/>
    <x v="1"/>
    <x v="3"/>
    <x v="206"/>
    <x v="1198"/>
    <x v="60"/>
    <d v="2025-03-03T00:00:00"/>
    <x v="1"/>
    <x v="0"/>
    <x v="1"/>
    <x v="0"/>
    <x v="8"/>
    <x v="3"/>
    <x v="9"/>
    <x v="1"/>
  </r>
  <r>
    <s v="TX501630"/>
    <x v="1"/>
    <x v="7"/>
    <x v="796"/>
    <x v="1302"/>
    <x v="60"/>
    <d v="2025-03-05T00:00:00"/>
    <x v="2"/>
    <x v="1"/>
    <x v="0"/>
    <x v="0"/>
    <x v="8"/>
    <x v="2"/>
    <x v="9"/>
    <x v="2"/>
  </r>
  <r>
    <s v="TX501631"/>
    <x v="6"/>
    <x v="11"/>
    <x v="797"/>
    <x v="1303"/>
    <x v="60"/>
    <d v="2025-03-07T00:00:00"/>
    <x v="2"/>
    <x v="0"/>
    <x v="1"/>
    <x v="0"/>
    <x v="8"/>
    <x v="0"/>
    <x v="9"/>
    <x v="2"/>
  </r>
  <r>
    <s v="TX501632"/>
    <x v="7"/>
    <x v="3"/>
    <x v="508"/>
    <x v="1304"/>
    <x v="60"/>
    <d v="2025-03-04T00:00:00"/>
    <x v="2"/>
    <x v="0"/>
    <x v="0"/>
    <x v="0"/>
    <x v="17"/>
    <x v="1"/>
    <x v="9"/>
    <x v="2"/>
  </r>
  <r>
    <s v="TX501633"/>
    <x v="10"/>
    <x v="2"/>
    <x v="494"/>
    <x v="1133"/>
    <x v="60"/>
    <d v="2025-03-06T00:00:00"/>
    <x v="2"/>
    <x v="0"/>
    <x v="0"/>
    <x v="0"/>
    <x v="11"/>
    <x v="5"/>
    <x v="9"/>
    <x v="2"/>
  </r>
  <r>
    <s v="TX501634"/>
    <x v="8"/>
    <x v="3"/>
    <x v="594"/>
    <x v="1305"/>
    <x v="60"/>
    <d v="2025-03-04T00:00:00"/>
    <x v="0"/>
    <x v="3"/>
    <x v="0"/>
    <x v="0"/>
    <x v="11"/>
    <x v="1"/>
    <x v="9"/>
    <x v="0"/>
  </r>
  <r>
    <s v="TX501635"/>
    <x v="3"/>
    <x v="2"/>
    <x v="798"/>
    <x v="1306"/>
    <x v="60"/>
    <d v="2025-03-04T00:00:00"/>
    <x v="1"/>
    <x v="4"/>
    <x v="0"/>
    <x v="0"/>
    <x v="11"/>
    <x v="1"/>
    <x v="9"/>
    <x v="1"/>
  </r>
  <r>
    <s v="TX501636"/>
    <x v="7"/>
    <x v="21"/>
    <x v="329"/>
    <x v="1307"/>
    <x v="60"/>
    <d v="2025-03-16T00:00:00"/>
    <x v="1"/>
    <x v="1"/>
    <x v="0"/>
    <x v="0"/>
    <x v="53"/>
    <x v="12"/>
    <x v="9"/>
    <x v="1"/>
  </r>
  <r>
    <s v="TX501637"/>
    <x v="8"/>
    <x v="0"/>
    <x v="413"/>
    <x v="944"/>
    <x v="60"/>
    <d v="2025-03-05T00:00:00"/>
    <x v="1"/>
    <x v="0"/>
    <x v="2"/>
    <x v="0"/>
    <x v="30"/>
    <x v="2"/>
    <x v="9"/>
    <x v="1"/>
  </r>
  <r>
    <s v="TX501638"/>
    <x v="4"/>
    <x v="3"/>
    <x v="21"/>
    <x v="1308"/>
    <x v="60"/>
    <d v="2025-03-04T00:00:00"/>
    <x v="3"/>
    <x v="0"/>
    <x v="2"/>
    <x v="0"/>
    <x v="18"/>
    <x v="1"/>
    <x v="9"/>
    <x v="3"/>
  </r>
  <r>
    <s v="TX501639"/>
    <x v="15"/>
    <x v="3"/>
    <x v="65"/>
    <x v="926"/>
    <x v="60"/>
    <d v="2025-03-05T00:00:00"/>
    <x v="1"/>
    <x v="2"/>
    <x v="1"/>
    <x v="0"/>
    <x v="21"/>
    <x v="2"/>
    <x v="9"/>
    <x v="1"/>
  </r>
  <r>
    <s v="TX501640"/>
    <x v="5"/>
    <x v="3"/>
    <x v="647"/>
    <x v="43"/>
    <x v="60"/>
    <d v="2025-03-02T00:00:00"/>
    <x v="1"/>
    <x v="3"/>
    <x v="2"/>
    <x v="0"/>
    <x v="21"/>
    <x v="7"/>
    <x v="9"/>
    <x v="1"/>
  </r>
  <r>
    <s v="TX501641"/>
    <x v="15"/>
    <x v="1"/>
    <x v="240"/>
    <x v="1099"/>
    <x v="60"/>
    <d v="2025-03-03T00:00:00"/>
    <x v="1"/>
    <x v="0"/>
    <x v="2"/>
    <x v="0"/>
    <x v="21"/>
    <x v="3"/>
    <x v="9"/>
    <x v="1"/>
  </r>
  <r>
    <s v="TX501642"/>
    <x v="6"/>
    <x v="0"/>
    <x v="567"/>
    <x v="1283"/>
    <x v="61"/>
    <d v="2025-03-05T00:00:00"/>
    <x v="2"/>
    <x v="0"/>
    <x v="2"/>
    <x v="0"/>
    <x v="21"/>
    <x v="1"/>
    <x v="9"/>
    <x v="2"/>
  </r>
  <r>
    <s v="TX501643"/>
    <x v="6"/>
    <x v="0"/>
    <x v="526"/>
    <x v="1309"/>
    <x v="61"/>
    <d v="2025-03-05T00:00:00"/>
    <x v="1"/>
    <x v="1"/>
    <x v="1"/>
    <x v="0"/>
    <x v="1"/>
    <x v="1"/>
    <x v="9"/>
    <x v="1"/>
  </r>
  <r>
    <s v="TX501644"/>
    <x v="2"/>
    <x v="1"/>
    <x v="799"/>
    <x v="1310"/>
    <x v="61"/>
    <d v="2025-03-06T00:00:00"/>
    <x v="1"/>
    <x v="2"/>
    <x v="0"/>
    <x v="0"/>
    <x v="1"/>
    <x v="2"/>
    <x v="9"/>
    <x v="1"/>
  </r>
  <r>
    <s v="TX501645"/>
    <x v="4"/>
    <x v="2"/>
    <x v="275"/>
    <x v="1311"/>
    <x v="61"/>
    <d v="2025-03-05T00:00:00"/>
    <x v="1"/>
    <x v="2"/>
    <x v="0"/>
    <x v="0"/>
    <x v="22"/>
    <x v="1"/>
    <x v="9"/>
    <x v="1"/>
  </r>
  <r>
    <s v="TX501646"/>
    <x v="4"/>
    <x v="1"/>
    <x v="174"/>
    <x v="828"/>
    <x v="61"/>
    <d v="2025-03-06T00:00:00"/>
    <x v="1"/>
    <x v="0"/>
    <x v="2"/>
    <x v="0"/>
    <x v="3"/>
    <x v="2"/>
    <x v="9"/>
    <x v="1"/>
  </r>
  <r>
    <s v="TX501647"/>
    <x v="15"/>
    <x v="36"/>
    <x v="108"/>
    <x v="1312"/>
    <x v="61"/>
    <d v="2025-03-04T00:00:00"/>
    <x v="1"/>
    <x v="0"/>
    <x v="1"/>
    <x v="0"/>
    <x v="3"/>
    <x v="3"/>
    <x v="9"/>
    <x v="1"/>
  </r>
  <r>
    <s v="TX501648"/>
    <x v="6"/>
    <x v="5"/>
    <x v="800"/>
    <x v="1313"/>
    <x v="61"/>
    <d v="2025-03-05T00:00:00"/>
    <x v="1"/>
    <x v="4"/>
    <x v="2"/>
    <x v="0"/>
    <x v="3"/>
    <x v="1"/>
    <x v="9"/>
    <x v="1"/>
  </r>
  <r>
    <s v="TX501649"/>
    <x v="19"/>
    <x v="0"/>
    <x v="307"/>
    <x v="53"/>
    <x v="61"/>
    <d v="2025-03-04T00:00:00"/>
    <x v="2"/>
    <x v="0"/>
    <x v="1"/>
    <x v="0"/>
    <x v="3"/>
    <x v="3"/>
    <x v="9"/>
    <x v="2"/>
  </r>
  <r>
    <s v="TX501650"/>
    <x v="8"/>
    <x v="1"/>
    <x v="719"/>
    <x v="1314"/>
    <x v="61"/>
    <d v="2025-03-06T00:00:00"/>
    <x v="2"/>
    <x v="2"/>
    <x v="0"/>
    <x v="0"/>
    <x v="3"/>
    <x v="2"/>
    <x v="9"/>
    <x v="2"/>
  </r>
  <r>
    <s v="TX501651"/>
    <x v="18"/>
    <x v="2"/>
    <x v="226"/>
    <x v="246"/>
    <x v="61"/>
    <d v="2025-03-05T00:00:00"/>
    <x v="2"/>
    <x v="1"/>
    <x v="2"/>
    <x v="0"/>
    <x v="3"/>
    <x v="1"/>
    <x v="9"/>
    <x v="2"/>
  </r>
  <r>
    <s v="TX501652"/>
    <x v="5"/>
    <x v="27"/>
    <x v="430"/>
    <x v="1315"/>
    <x v="61"/>
    <d v="2025-03-04T00:00:00"/>
    <x v="2"/>
    <x v="3"/>
    <x v="2"/>
    <x v="0"/>
    <x v="3"/>
    <x v="3"/>
    <x v="9"/>
    <x v="2"/>
  </r>
  <r>
    <s v="TX501653"/>
    <x v="2"/>
    <x v="1"/>
    <x v="801"/>
    <x v="1316"/>
    <x v="61"/>
    <d v="2025-03-06T00:00:00"/>
    <x v="1"/>
    <x v="3"/>
    <x v="2"/>
    <x v="0"/>
    <x v="3"/>
    <x v="2"/>
    <x v="9"/>
    <x v="1"/>
  </r>
  <r>
    <s v="TX501654"/>
    <x v="5"/>
    <x v="3"/>
    <x v="751"/>
    <x v="1317"/>
    <x v="61"/>
    <d v="2025-03-06T00:00:00"/>
    <x v="2"/>
    <x v="0"/>
    <x v="0"/>
    <x v="0"/>
    <x v="3"/>
    <x v="2"/>
    <x v="9"/>
    <x v="2"/>
  </r>
  <r>
    <s v="TX501655"/>
    <x v="17"/>
    <x v="1"/>
    <x v="790"/>
    <x v="610"/>
    <x v="61"/>
    <d v="2025-03-06T00:00:00"/>
    <x v="1"/>
    <x v="4"/>
    <x v="0"/>
    <x v="0"/>
    <x v="3"/>
    <x v="2"/>
    <x v="9"/>
    <x v="1"/>
  </r>
  <r>
    <s v="TX501656"/>
    <x v="2"/>
    <x v="12"/>
    <x v="802"/>
    <x v="1318"/>
    <x v="61"/>
    <d v="2025-03-06T00:00:00"/>
    <x v="2"/>
    <x v="1"/>
    <x v="0"/>
    <x v="0"/>
    <x v="3"/>
    <x v="2"/>
    <x v="9"/>
    <x v="2"/>
  </r>
  <r>
    <s v="TX501657"/>
    <x v="2"/>
    <x v="13"/>
    <x v="539"/>
    <x v="1319"/>
    <x v="61"/>
    <d v="2025-03-06T00:00:00"/>
    <x v="1"/>
    <x v="0"/>
    <x v="2"/>
    <x v="0"/>
    <x v="3"/>
    <x v="2"/>
    <x v="9"/>
    <x v="1"/>
  </r>
  <r>
    <s v="TX501658"/>
    <x v="11"/>
    <x v="0"/>
    <x v="26"/>
    <x v="1320"/>
    <x v="61"/>
    <d v="2025-03-04T00:00:00"/>
    <x v="2"/>
    <x v="2"/>
    <x v="0"/>
    <x v="0"/>
    <x v="25"/>
    <x v="3"/>
    <x v="9"/>
    <x v="2"/>
  </r>
  <r>
    <s v="TX501659"/>
    <x v="4"/>
    <x v="1"/>
    <x v="803"/>
    <x v="1321"/>
    <x v="61"/>
    <d v="2025-03-06T00:00:00"/>
    <x v="1"/>
    <x v="0"/>
    <x v="2"/>
    <x v="0"/>
    <x v="25"/>
    <x v="2"/>
    <x v="9"/>
    <x v="1"/>
  </r>
  <r>
    <s v="TX501660"/>
    <x v="2"/>
    <x v="12"/>
    <x v="283"/>
    <x v="1322"/>
    <x v="61"/>
    <d v="2025-03-06T00:00:00"/>
    <x v="2"/>
    <x v="0"/>
    <x v="2"/>
    <x v="0"/>
    <x v="6"/>
    <x v="2"/>
    <x v="9"/>
    <x v="2"/>
  </r>
  <r>
    <s v="TX501661"/>
    <x v="16"/>
    <x v="0"/>
    <x v="541"/>
    <x v="1323"/>
    <x v="61"/>
    <d v="2025-03-08T00:00:00"/>
    <x v="2"/>
    <x v="2"/>
    <x v="2"/>
    <x v="0"/>
    <x v="6"/>
    <x v="0"/>
    <x v="9"/>
    <x v="2"/>
  </r>
  <r>
    <s v="TX501662"/>
    <x v="1"/>
    <x v="0"/>
    <x v="804"/>
    <x v="1324"/>
    <x v="61"/>
    <d v="2025-03-06T00:00:00"/>
    <x v="1"/>
    <x v="1"/>
    <x v="0"/>
    <x v="0"/>
    <x v="6"/>
    <x v="2"/>
    <x v="9"/>
    <x v="1"/>
  </r>
  <r>
    <s v="TX501663"/>
    <x v="6"/>
    <x v="8"/>
    <x v="52"/>
    <x v="335"/>
    <x v="61"/>
    <d v="2025-03-11T00:00:00"/>
    <x v="1"/>
    <x v="0"/>
    <x v="2"/>
    <x v="0"/>
    <x v="7"/>
    <x v="9"/>
    <x v="9"/>
    <x v="1"/>
  </r>
  <r>
    <s v="TX501664"/>
    <x v="8"/>
    <x v="12"/>
    <x v="217"/>
    <x v="624"/>
    <x v="61"/>
    <d v="2025-03-04T00:00:00"/>
    <x v="2"/>
    <x v="0"/>
    <x v="0"/>
    <x v="0"/>
    <x v="7"/>
    <x v="3"/>
    <x v="9"/>
    <x v="2"/>
  </r>
  <r>
    <s v="TX501665"/>
    <x v="8"/>
    <x v="1"/>
    <x v="791"/>
    <x v="1325"/>
    <x v="61"/>
    <d v="2025-03-04T00:00:00"/>
    <x v="2"/>
    <x v="0"/>
    <x v="4"/>
    <x v="0"/>
    <x v="8"/>
    <x v="3"/>
    <x v="9"/>
    <x v="2"/>
  </r>
  <r>
    <s v="TX501666"/>
    <x v="8"/>
    <x v="2"/>
    <x v="172"/>
    <x v="1326"/>
    <x v="61"/>
    <d v="2025-03-04T00:00:00"/>
    <x v="2"/>
    <x v="3"/>
    <x v="0"/>
    <x v="0"/>
    <x v="17"/>
    <x v="3"/>
    <x v="9"/>
    <x v="2"/>
  </r>
  <r>
    <s v="TX501667"/>
    <x v="2"/>
    <x v="2"/>
    <x v="203"/>
    <x v="1327"/>
    <x v="61"/>
    <d v="2025-03-04T00:00:00"/>
    <x v="2"/>
    <x v="2"/>
    <x v="2"/>
    <x v="0"/>
    <x v="26"/>
    <x v="3"/>
    <x v="9"/>
    <x v="2"/>
  </r>
  <r>
    <s v="TX501668"/>
    <x v="8"/>
    <x v="11"/>
    <x v="313"/>
    <x v="1328"/>
    <x v="61"/>
    <d v="2025-03-06T00:00:00"/>
    <x v="2"/>
    <x v="0"/>
    <x v="2"/>
    <x v="0"/>
    <x v="9"/>
    <x v="2"/>
    <x v="9"/>
    <x v="2"/>
  </r>
  <r>
    <s v="TX501669"/>
    <x v="6"/>
    <x v="2"/>
    <x v="434"/>
    <x v="1329"/>
    <x v="61"/>
    <d v="2025-03-06T00:00:00"/>
    <x v="1"/>
    <x v="2"/>
    <x v="0"/>
    <x v="0"/>
    <x v="9"/>
    <x v="2"/>
    <x v="9"/>
    <x v="1"/>
  </r>
  <r>
    <s v="TX501670"/>
    <x v="9"/>
    <x v="9"/>
    <x v="209"/>
    <x v="160"/>
    <x v="61"/>
    <d v="2025-03-07T00:00:00"/>
    <x v="1"/>
    <x v="0"/>
    <x v="1"/>
    <x v="0"/>
    <x v="11"/>
    <x v="5"/>
    <x v="9"/>
    <x v="1"/>
  </r>
  <r>
    <s v="TX501671"/>
    <x v="3"/>
    <x v="2"/>
    <x v="440"/>
    <x v="1330"/>
    <x v="61"/>
    <d v="2025-03-04T00:00:00"/>
    <x v="2"/>
    <x v="0"/>
    <x v="0"/>
    <x v="0"/>
    <x v="32"/>
    <x v="3"/>
    <x v="9"/>
    <x v="2"/>
  </r>
  <r>
    <s v="TX501672"/>
    <x v="5"/>
    <x v="2"/>
    <x v="805"/>
    <x v="1331"/>
    <x v="61"/>
    <d v="2025-03-05T00:00:00"/>
    <x v="1"/>
    <x v="4"/>
    <x v="0"/>
    <x v="0"/>
    <x v="19"/>
    <x v="1"/>
    <x v="9"/>
    <x v="1"/>
  </r>
  <r>
    <s v="TX501673"/>
    <x v="6"/>
    <x v="2"/>
    <x v="318"/>
    <x v="1332"/>
    <x v="61"/>
    <d v="2025-03-03T00:00:00"/>
    <x v="2"/>
    <x v="2"/>
    <x v="1"/>
    <x v="0"/>
    <x v="19"/>
    <x v="7"/>
    <x v="9"/>
    <x v="2"/>
  </r>
  <r>
    <s v="TX501674"/>
    <x v="2"/>
    <x v="8"/>
    <x v="806"/>
    <x v="1333"/>
    <x v="62"/>
    <d v="2025-03-05T00:00:00"/>
    <x v="2"/>
    <x v="1"/>
    <x v="0"/>
    <x v="0"/>
    <x v="13"/>
    <x v="3"/>
    <x v="9"/>
    <x v="2"/>
  </r>
  <r>
    <s v="TX501675"/>
    <x v="6"/>
    <x v="3"/>
    <x v="219"/>
    <x v="1334"/>
    <x v="62"/>
    <d v="2025-03-07T00:00:00"/>
    <x v="2"/>
    <x v="4"/>
    <x v="1"/>
    <x v="0"/>
    <x v="21"/>
    <x v="2"/>
    <x v="9"/>
    <x v="2"/>
  </r>
  <r>
    <s v="TX501676"/>
    <x v="8"/>
    <x v="27"/>
    <x v="807"/>
    <x v="1335"/>
    <x v="62"/>
    <d v="2025-03-05T00:00:00"/>
    <x v="2"/>
    <x v="2"/>
    <x v="0"/>
    <x v="0"/>
    <x v="21"/>
    <x v="3"/>
    <x v="9"/>
    <x v="2"/>
  </r>
  <r>
    <s v="TX501677"/>
    <x v="10"/>
    <x v="13"/>
    <x v="271"/>
    <x v="1336"/>
    <x v="62"/>
    <d v="2025-03-15T00:00:00"/>
    <x v="2"/>
    <x v="0"/>
    <x v="0"/>
    <x v="0"/>
    <x v="21"/>
    <x v="11"/>
    <x v="9"/>
    <x v="2"/>
  </r>
  <r>
    <s v="TX501678"/>
    <x v="6"/>
    <x v="1"/>
    <x v="190"/>
    <x v="215"/>
    <x v="62"/>
    <d v="2025-03-07T00:00:00"/>
    <x v="3"/>
    <x v="0"/>
    <x v="4"/>
    <x v="0"/>
    <x v="1"/>
    <x v="2"/>
    <x v="9"/>
    <x v="3"/>
  </r>
  <r>
    <s v="TX501679"/>
    <x v="2"/>
    <x v="1"/>
    <x v="808"/>
    <x v="1337"/>
    <x v="62"/>
    <d v="2025-03-05T00:00:00"/>
    <x v="2"/>
    <x v="0"/>
    <x v="1"/>
    <x v="0"/>
    <x v="1"/>
    <x v="3"/>
    <x v="9"/>
    <x v="2"/>
  </r>
  <r>
    <s v="TX501680"/>
    <x v="15"/>
    <x v="0"/>
    <x v="466"/>
    <x v="572"/>
    <x v="62"/>
    <d v="2025-03-06T00:00:00"/>
    <x v="2"/>
    <x v="2"/>
    <x v="0"/>
    <x v="0"/>
    <x v="44"/>
    <x v="1"/>
    <x v="9"/>
    <x v="2"/>
  </r>
  <r>
    <s v="TX501681"/>
    <x v="2"/>
    <x v="3"/>
    <x v="809"/>
    <x v="1338"/>
    <x v="62"/>
    <d v="2025-03-05T00:00:00"/>
    <x v="1"/>
    <x v="2"/>
    <x v="4"/>
    <x v="0"/>
    <x v="22"/>
    <x v="3"/>
    <x v="9"/>
    <x v="1"/>
  </r>
  <r>
    <s v="TX501682"/>
    <x v="1"/>
    <x v="12"/>
    <x v="810"/>
    <x v="1339"/>
    <x v="62"/>
    <d v="2025-03-06T00:00:00"/>
    <x v="2"/>
    <x v="0"/>
    <x v="1"/>
    <x v="0"/>
    <x v="22"/>
    <x v="1"/>
    <x v="9"/>
    <x v="2"/>
  </r>
  <r>
    <s v="TX501683"/>
    <x v="1"/>
    <x v="3"/>
    <x v="811"/>
    <x v="1340"/>
    <x v="62"/>
    <d v="2025-03-05T00:00:00"/>
    <x v="1"/>
    <x v="2"/>
    <x v="1"/>
    <x v="0"/>
    <x v="3"/>
    <x v="3"/>
    <x v="9"/>
    <x v="1"/>
  </r>
  <r>
    <s v="TX501684"/>
    <x v="6"/>
    <x v="0"/>
    <x v="477"/>
    <x v="422"/>
    <x v="62"/>
    <d v="2025-03-18T00:00:00"/>
    <x v="2"/>
    <x v="0"/>
    <x v="1"/>
    <x v="0"/>
    <x v="3"/>
    <x v="12"/>
    <x v="9"/>
    <x v="2"/>
  </r>
  <r>
    <s v="TX501685"/>
    <x v="2"/>
    <x v="1"/>
    <x v="662"/>
    <x v="1341"/>
    <x v="62"/>
    <d v="2025-03-05T00:00:00"/>
    <x v="2"/>
    <x v="0"/>
    <x v="0"/>
    <x v="0"/>
    <x v="3"/>
    <x v="3"/>
    <x v="9"/>
    <x v="2"/>
  </r>
  <r>
    <s v="TX501686"/>
    <x v="8"/>
    <x v="0"/>
    <x v="793"/>
    <x v="1342"/>
    <x v="62"/>
    <d v="2025-03-05T00:00:00"/>
    <x v="0"/>
    <x v="1"/>
    <x v="0"/>
    <x v="0"/>
    <x v="3"/>
    <x v="3"/>
    <x v="9"/>
    <x v="0"/>
  </r>
  <r>
    <s v="TX501687"/>
    <x v="6"/>
    <x v="1"/>
    <x v="812"/>
    <x v="1343"/>
    <x v="62"/>
    <d v="2025-03-05T00:00:00"/>
    <x v="2"/>
    <x v="1"/>
    <x v="1"/>
    <x v="0"/>
    <x v="3"/>
    <x v="3"/>
    <x v="9"/>
    <x v="2"/>
  </r>
  <r>
    <s v="TX501688"/>
    <x v="8"/>
    <x v="1"/>
    <x v="304"/>
    <x v="1344"/>
    <x v="62"/>
    <d v="2025-03-06T00:00:00"/>
    <x v="2"/>
    <x v="0"/>
    <x v="1"/>
    <x v="0"/>
    <x v="3"/>
    <x v="1"/>
    <x v="9"/>
    <x v="2"/>
  </r>
  <r>
    <s v="TX501689"/>
    <x v="8"/>
    <x v="2"/>
    <x v="533"/>
    <x v="694"/>
    <x v="62"/>
    <d v="2025-03-05T00:00:00"/>
    <x v="2"/>
    <x v="2"/>
    <x v="0"/>
    <x v="0"/>
    <x v="3"/>
    <x v="3"/>
    <x v="9"/>
    <x v="2"/>
  </r>
  <r>
    <s v="TX501690"/>
    <x v="16"/>
    <x v="0"/>
    <x v="534"/>
    <x v="486"/>
    <x v="62"/>
    <d v="2025-03-05T00:00:00"/>
    <x v="2"/>
    <x v="1"/>
    <x v="2"/>
    <x v="0"/>
    <x v="3"/>
    <x v="3"/>
    <x v="9"/>
    <x v="2"/>
  </r>
  <r>
    <s v="TX501691"/>
    <x v="1"/>
    <x v="2"/>
    <x v="6"/>
    <x v="1345"/>
    <x v="62"/>
    <d v="2025-03-07T00:00:00"/>
    <x v="2"/>
    <x v="0"/>
    <x v="4"/>
    <x v="0"/>
    <x v="40"/>
    <x v="2"/>
    <x v="9"/>
    <x v="2"/>
  </r>
  <r>
    <s v="TX501692"/>
    <x v="6"/>
    <x v="3"/>
    <x v="617"/>
    <x v="1346"/>
    <x v="62"/>
    <d v="2025-03-08T00:00:00"/>
    <x v="2"/>
    <x v="1"/>
    <x v="0"/>
    <x v="0"/>
    <x v="7"/>
    <x v="5"/>
    <x v="9"/>
    <x v="2"/>
  </r>
  <r>
    <s v="TX501693"/>
    <x v="6"/>
    <x v="12"/>
    <x v="563"/>
    <x v="751"/>
    <x v="62"/>
    <d v="2025-03-06T00:00:00"/>
    <x v="1"/>
    <x v="1"/>
    <x v="0"/>
    <x v="0"/>
    <x v="7"/>
    <x v="1"/>
    <x v="9"/>
    <x v="1"/>
  </r>
  <r>
    <s v="TX501694"/>
    <x v="10"/>
    <x v="8"/>
    <x v="629"/>
    <x v="1347"/>
    <x v="62"/>
    <d v="2025-03-05T00:00:00"/>
    <x v="2"/>
    <x v="0"/>
    <x v="0"/>
    <x v="0"/>
    <x v="7"/>
    <x v="3"/>
    <x v="9"/>
    <x v="2"/>
  </r>
  <r>
    <s v="TX501695"/>
    <x v="6"/>
    <x v="2"/>
    <x v="259"/>
    <x v="1348"/>
    <x v="62"/>
    <d v="2025-03-07T00:00:00"/>
    <x v="2"/>
    <x v="1"/>
    <x v="0"/>
    <x v="0"/>
    <x v="8"/>
    <x v="2"/>
    <x v="9"/>
    <x v="2"/>
  </r>
  <r>
    <s v="TX501696"/>
    <x v="15"/>
    <x v="0"/>
    <x v="302"/>
    <x v="1349"/>
    <x v="62"/>
    <d v="2025-03-04T00:00:00"/>
    <x v="1"/>
    <x v="4"/>
    <x v="0"/>
    <x v="0"/>
    <x v="8"/>
    <x v="7"/>
    <x v="9"/>
    <x v="1"/>
  </r>
  <r>
    <s v="TX501697"/>
    <x v="8"/>
    <x v="12"/>
    <x v="369"/>
    <x v="1350"/>
    <x v="62"/>
    <d v="2025-03-06T00:00:00"/>
    <x v="2"/>
    <x v="2"/>
    <x v="0"/>
    <x v="0"/>
    <x v="8"/>
    <x v="1"/>
    <x v="9"/>
    <x v="2"/>
  </r>
  <r>
    <s v="TX501698"/>
    <x v="5"/>
    <x v="8"/>
    <x v="222"/>
    <x v="1351"/>
    <x v="62"/>
    <d v="2025-03-06T00:00:00"/>
    <x v="1"/>
    <x v="1"/>
    <x v="2"/>
    <x v="0"/>
    <x v="8"/>
    <x v="1"/>
    <x v="9"/>
    <x v="1"/>
  </r>
  <r>
    <s v="TX501699"/>
    <x v="9"/>
    <x v="1"/>
    <x v="127"/>
    <x v="1352"/>
    <x v="62"/>
    <d v="2025-03-10T00:00:00"/>
    <x v="2"/>
    <x v="3"/>
    <x v="0"/>
    <x v="0"/>
    <x v="8"/>
    <x v="4"/>
    <x v="9"/>
    <x v="2"/>
  </r>
  <r>
    <s v="TX501700"/>
    <x v="8"/>
    <x v="0"/>
    <x v="409"/>
    <x v="1246"/>
    <x v="62"/>
    <d v="2025-03-06T00:00:00"/>
    <x v="2"/>
    <x v="2"/>
    <x v="2"/>
    <x v="0"/>
    <x v="8"/>
    <x v="1"/>
    <x v="9"/>
    <x v="2"/>
  </r>
  <r>
    <s v="TX501701"/>
    <x v="6"/>
    <x v="12"/>
    <x v="250"/>
    <x v="1353"/>
    <x v="62"/>
    <d v="2025-03-05T00:00:00"/>
    <x v="2"/>
    <x v="1"/>
    <x v="2"/>
    <x v="0"/>
    <x v="17"/>
    <x v="3"/>
    <x v="9"/>
    <x v="2"/>
  </r>
  <r>
    <s v="TX501702"/>
    <x v="1"/>
    <x v="11"/>
    <x v="484"/>
    <x v="1354"/>
    <x v="62"/>
    <d v="2025-03-08T00:00:00"/>
    <x v="1"/>
    <x v="1"/>
    <x v="0"/>
    <x v="0"/>
    <x v="11"/>
    <x v="5"/>
    <x v="9"/>
    <x v="1"/>
  </r>
  <r>
    <s v="TX501703"/>
    <x v="18"/>
    <x v="1"/>
    <x v="561"/>
    <x v="1355"/>
    <x v="62"/>
    <d v="2025-03-05T00:00:00"/>
    <x v="1"/>
    <x v="2"/>
    <x v="0"/>
    <x v="0"/>
    <x v="28"/>
    <x v="3"/>
    <x v="9"/>
    <x v="1"/>
  </r>
  <r>
    <s v="TX501704"/>
    <x v="0"/>
    <x v="2"/>
    <x v="55"/>
    <x v="1356"/>
    <x v="62"/>
    <d v="2025-03-05T00:00:00"/>
    <x v="2"/>
    <x v="4"/>
    <x v="0"/>
    <x v="0"/>
    <x v="21"/>
    <x v="3"/>
    <x v="9"/>
    <x v="2"/>
  </r>
  <r>
    <s v="TX501705"/>
    <x v="0"/>
    <x v="0"/>
    <x v="209"/>
    <x v="835"/>
    <x v="62"/>
    <d v="2025-03-05T00:00:00"/>
    <x v="2"/>
    <x v="1"/>
    <x v="0"/>
    <x v="0"/>
    <x v="1"/>
    <x v="3"/>
    <x v="9"/>
    <x v="2"/>
  </r>
  <r>
    <s v="TX501706"/>
    <x v="6"/>
    <x v="9"/>
    <x v="760"/>
    <x v="1357"/>
    <x v="62"/>
    <d v="2025-03-07T00:00:00"/>
    <x v="2"/>
    <x v="2"/>
    <x v="0"/>
    <x v="0"/>
    <x v="2"/>
    <x v="2"/>
    <x v="9"/>
    <x v="2"/>
  </r>
  <r>
    <s v="TX501707"/>
    <x v="5"/>
    <x v="1"/>
    <x v="621"/>
    <x v="1358"/>
    <x v="62"/>
    <d v="2025-03-05T00:00:00"/>
    <x v="1"/>
    <x v="0"/>
    <x v="2"/>
    <x v="0"/>
    <x v="50"/>
    <x v="3"/>
    <x v="9"/>
    <x v="1"/>
  </r>
  <r>
    <s v="TX501708"/>
    <x v="6"/>
    <x v="0"/>
    <x v="328"/>
    <x v="969"/>
    <x v="62"/>
    <d v="2025-03-05T00:00:00"/>
    <x v="2"/>
    <x v="2"/>
    <x v="1"/>
    <x v="0"/>
    <x v="3"/>
    <x v="3"/>
    <x v="9"/>
    <x v="2"/>
  </r>
  <r>
    <s v="TX501709"/>
    <x v="10"/>
    <x v="13"/>
    <x v="153"/>
    <x v="1359"/>
    <x v="62"/>
    <d v="2025-03-08T00:00:00"/>
    <x v="2"/>
    <x v="0"/>
    <x v="0"/>
    <x v="0"/>
    <x v="3"/>
    <x v="5"/>
    <x v="9"/>
    <x v="2"/>
  </r>
  <r>
    <s v="TX501710"/>
    <x v="6"/>
    <x v="0"/>
    <x v="813"/>
    <x v="1360"/>
    <x v="62"/>
    <d v="2025-03-06T00:00:00"/>
    <x v="2"/>
    <x v="3"/>
    <x v="0"/>
    <x v="0"/>
    <x v="3"/>
    <x v="1"/>
    <x v="9"/>
    <x v="2"/>
  </r>
  <r>
    <s v="TX501711"/>
    <x v="2"/>
    <x v="9"/>
    <x v="707"/>
    <x v="951"/>
    <x v="62"/>
    <d v="2025-03-05T00:00:00"/>
    <x v="1"/>
    <x v="0"/>
    <x v="1"/>
    <x v="0"/>
    <x v="3"/>
    <x v="3"/>
    <x v="9"/>
    <x v="1"/>
  </r>
  <r>
    <s v="TX501712"/>
    <x v="3"/>
    <x v="9"/>
    <x v="814"/>
    <x v="1361"/>
    <x v="62"/>
    <d v="2025-03-05T00:00:00"/>
    <x v="1"/>
    <x v="0"/>
    <x v="0"/>
    <x v="0"/>
    <x v="3"/>
    <x v="3"/>
    <x v="9"/>
    <x v="1"/>
  </r>
  <r>
    <s v="TX501713"/>
    <x v="6"/>
    <x v="12"/>
    <x v="815"/>
    <x v="1362"/>
    <x v="62"/>
    <d v="2025-03-05T00:00:00"/>
    <x v="2"/>
    <x v="2"/>
    <x v="2"/>
    <x v="0"/>
    <x v="3"/>
    <x v="3"/>
    <x v="9"/>
    <x v="2"/>
  </r>
  <r>
    <s v="TX501714"/>
    <x v="7"/>
    <x v="2"/>
    <x v="816"/>
    <x v="1363"/>
    <x v="62"/>
    <d v="2025-03-05T00:00:00"/>
    <x v="1"/>
    <x v="4"/>
    <x v="0"/>
    <x v="0"/>
    <x v="3"/>
    <x v="3"/>
    <x v="9"/>
    <x v="1"/>
  </r>
  <r>
    <s v="TX501715"/>
    <x v="8"/>
    <x v="2"/>
    <x v="606"/>
    <x v="1364"/>
    <x v="62"/>
    <d v="2025-03-11T00:00:00"/>
    <x v="2"/>
    <x v="1"/>
    <x v="2"/>
    <x v="0"/>
    <x v="29"/>
    <x v="6"/>
    <x v="9"/>
    <x v="2"/>
  </r>
  <r>
    <s v="TX501716"/>
    <x v="2"/>
    <x v="1"/>
    <x v="817"/>
    <x v="1365"/>
    <x v="62"/>
    <d v="2025-03-07T00:00:00"/>
    <x v="1"/>
    <x v="1"/>
    <x v="2"/>
    <x v="0"/>
    <x v="16"/>
    <x v="2"/>
    <x v="9"/>
    <x v="1"/>
  </r>
  <r>
    <s v="TX501717"/>
    <x v="15"/>
    <x v="3"/>
    <x v="523"/>
    <x v="1366"/>
    <x v="62"/>
    <d v="2025-03-05T00:00:00"/>
    <x v="2"/>
    <x v="3"/>
    <x v="0"/>
    <x v="0"/>
    <x v="25"/>
    <x v="3"/>
    <x v="9"/>
    <x v="2"/>
  </r>
  <r>
    <s v="TX501718"/>
    <x v="4"/>
    <x v="0"/>
    <x v="191"/>
    <x v="333"/>
    <x v="62"/>
    <d v="2025-03-05T00:00:00"/>
    <x v="2"/>
    <x v="0"/>
    <x v="1"/>
    <x v="0"/>
    <x v="6"/>
    <x v="3"/>
    <x v="9"/>
    <x v="2"/>
  </r>
  <r>
    <s v="TX501719"/>
    <x v="6"/>
    <x v="1"/>
    <x v="794"/>
    <x v="1367"/>
    <x v="62"/>
    <d v="2025-03-09T00:00:00"/>
    <x v="2"/>
    <x v="3"/>
    <x v="2"/>
    <x v="0"/>
    <x v="6"/>
    <x v="0"/>
    <x v="9"/>
    <x v="2"/>
  </r>
  <r>
    <s v="TX501720"/>
    <x v="6"/>
    <x v="1"/>
    <x v="456"/>
    <x v="1272"/>
    <x v="62"/>
    <d v="2025-03-08T00:00:00"/>
    <x v="2"/>
    <x v="0"/>
    <x v="0"/>
    <x v="0"/>
    <x v="6"/>
    <x v="5"/>
    <x v="9"/>
    <x v="2"/>
  </r>
  <r>
    <s v="TX501721"/>
    <x v="12"/>
    <x v="9"/>
    <x v="730"/>
    <x v="1278"/>
    <x v="63"/>
    <d v="2025-03-08T00:00:00"/>
    <x v="2"/>
    <x v="4"/>
    <x v="0"/>
    <x v="0"/>
    <x v="6"/>
    <x v="2"/>
    <x v="9"/>
    <x v="2"/>
  </r>
  <r>
    <s v="TX501722"/>
    <x v="6"/>
    <x v="2"/>
    <x v="818"/>
    <x v="1368"/>
    <x v="63"/>
    <d v="2025-03-05T00:00:00"/>
    <x v="1"/>
    <x v="3"/>
    <x v="0"/>
    <x v="0"/>
    <x v="8"/>
    <x v="7"/>
    <x v="9"/>
    <x v="1"/>
  </r>
  <r>
    <s v="TX501723"/>
    <x v="1"/>
    <x v="1"/>
    <x v="548"/>
    <x v="1155"/>
    <x v="63"/>
    <d v="2025-03-08T00:00:00"/>
    <x v="2"/>
    <x v="1"/>
    <x v="2"/>
    <x v="0"/>
    <x v="8"/>
    <x v="2"/>
    <x v="9"/>
    <x v="2"/>
  </r>
  <r>
    <s v="TX501724"/>
    <x v="0"/>
    <x v="0"/>
    <x v="421"/>
    <x v="731"/>
    <x v="63"/>
    <d v="2025-03-06T00:00:00"/>
    <x v="1"/>
    <x v="0"/>
    <x v="0"/>
    <x v="0"/>
    <x v="8"/>
    <x v="3"/>
    <x v="9"/>
    <x v="1"/>
  </r>
  <r>
    <s v="TX501725"/>
    <x v="4"/>
    <x v="3"/>
    <x v="332"/>
    <x v="379"/>
    <x v="63"/>
    <d v="2025-03-07T00:00:00"/>
    <x v="2"/>
    <x v="1"/>
    <x v="2"/>
    <x v="0"/>
    <x v="9"/>
    <x v="1"/>
    <x v="9"/>
    <x v="2"/>
  </r>
  <r>
    <s v="TX501726"/>
    <x v="12"/>
    <x v="13"/>
    <x v="819"/>
    <x v="1369"/>
    <x v="63"/>
    <d v="2025-03-06T00:00:00"/>
    <x v="3"/>
    <x v="0"/>
    <x v="2"/>
    <x v="0"/>
    <x v="10"/>
    <x v="3"/>
    <x v="9"/>
    <x v="3"/>
  </r>
  <r>
    <s v="TX501727"/>
    <x v="8"/>
    <x v="1"/>
    <x v="672"/>
    <x v="233"/>
    <x v="63"/>
    <d v="2025-03-09T00:00:00"/>
    <x v="1"/>
    <x v="0"/>
    <x v="2"/>
    <x v="0"/>
    <x v="10"/>
    <x v="5"/>
    <x v="9"/>
    <x v="1"/>
  </r>
  <r>
    <s v="TX501728"/>
    <x v="16"/>
    <x v="2"/>
    <x v="215"/>
    <x v="889"/>
    <x v="63"/>
    <d v="2025-03-06T00:00:00"/>
    <x v="2"/>
    <x v="0"/>
    <x v="0"/>
    <x v="0"/>
    <x v="11"/>
    <x v="3"/>
    <x v="9"/>
    <x v="2"/>
  </r>
  <r>
    <s v="TX501729"/>
    <x v="12"/>
    <x v="12"/>
    <x v="450"/>
    <x v="1370"/>
    <x v="63"/>
    <d v="2025-03-06T00:00:00"/>
    <x v="0"/>
    <x v="0"/>
    <x v="0"/>
    <x v="0"/>
    <x v="11"/>
    <x v="3"/>
    <x v="9"/>
    <x v="0"/>
  </r>
  <r>
    <s v="TX501730"/>
    <x v="9"/>
    <x v="0"/>
    <x v="661"/>
    <x v="1057"/>
    <x v="63"/>
    <d v="2025-03-08T00:00:00"/>
    <x v="1"/>
    <x v="2"/>
    <x v="1"/>
    <x v="0"/>
    <x v="19"/>
    <x v="2"/>
    <x v="9"/>
    <x v="1"/>
  </r>
  <r>
    <s v="TX501731"/>
    <x v="10"/>
    <x v="9"/>
    <x v="599"/>
    <x v="1371"/>
    <x v="63"/>
    <d v="2025-03-10T00:00:00"/>
    <x v="2"/>
    <x v="0"/>
    <x v="0"/>
    <x v="0"/>
    <x v="13"/>
    <x v="0"/>
    <x v="9"/>
    <x v="2"/>
  </r>
  <r>
    <s v="TX501732"/>
    <x v="0"/>
    <x v="5"/>
    <x v="136"/>
    <x v="674"/>
    <x v="63"/>
    <d v="2025-03-09T00:00:00"/>
    <x v="2"/>
    <x v="3"/>
    <x v="4"/>
    <x v="0"/>
    <x v="21"/>
    <x v="5"/>
    <x v="9"/>
    <x v="2"/>
  </r>
  <r>
    <s v="TX501733"/>
    <x v="9"/>
    <x v="12"/>
    <x v="672"/>
    <x v="1372"/>
    <x v="63"/>
    <d v="2025-03-05T00:00:00"/>
    <x v="2"/>
    <x v="0"/>
    <x v="1"/>
    <x v="0"/>
    <x v="21"/>
    <x v="7"/>
    <x v="9"/>
    <x v="2"/>
  </r>
  <r>
    <s v="TX501734"/>
    <x v="7"/>
    <x v="9"/>
    <x v="508"/>
    <x v="1373"/>
    <x v="63"/>
    <d v="2025-03-09T00:00:00"/>
    <x v="1"/>
    <x v="1"/>
    <x v="0"/>
    <x v="0"/>
    <x v="21"/>
    <x v="5"/>
    <x v="9"/>
    <x v="1"/>
  </r>
  <r>
    <s v="TX501735"/>
    <x v="5"/>
    <x v="3"/>
    <x v="820"/>
    <x v="1374"/>
    <x v="63"/>
    <d v="2025-03-06T00:00:00"/>
    <x v="1"/>
    <x v="1"/>
    <x v="2"/>
    <x v="0"/>
    <x v="21"/>
    <x v="3"/>
    <x v="9"/>
    <x v="1"/>
  </r>
  <r>
    <s v="TX501736"/>
    <x v="1"/>
    <x v="8"/>
    <x v="310"/>
    <x v="1375"/>
    <x v="63"/>
    <d v="2025-03-05T00:00:00"/>
    <x v="1"/>
    <x v="2"/>
    <x v="2"/>
    <x v="0"/>
    <x v="1"/>
    <x v="7"/>
    <x v="9"/>
    <x v="1"/>
  </r>
  <r>
    <s v="TX501737"/>
    <x v="9"/>
    <x v="8"/>
    <x v="729"/>
    <x v="1376"/>
    <x v="63"/>
    <d v="2025-03-09T00:00:00"/>
    <x v="2"/>
    <x v="2"/>
    <x v="0"/>
    <x v="0"/>
    <x v="2"/>
    <x v="5"/>
    <x v="9"/>
    <x v="2"/>
  </r>
  <r>
    <s v="TX501738"/>
    <x v="1"/>
    <x v="8"/>
    <x v="458"/>
    <x v="1377"/>
    <x v="63"/>
    <d v="2025-03-06T00:00:00"/>
    <x v="2"/>
    <x v="2"/>
    <x v="0"/>
    <x v="0"/>
    <x v="22"/>
    <x v="3"/>
    <x v="9"/>
    <x v="2"/>
  </r>
  <r>
    <s v="TX501739"/>
    <x v="8"/>
    <x v="7"/>
    <x v="256"/>
    <x v="1378"/>
    <x v="63"/>
    <d v="2025-03-05T00:00:00"/>
    <x v="3"/>
    <x v="0"/>
    <x v="0"/>
    <x v="0"/>
    <x v="50"/>
    <x v="7"/>
    <x v="9"/>
    <x v="3"/>
  </r>
  <r>
    <s v="TX501740"/>
    <x v="17"/>
    <x v="9"/>
    <x v="46"/>
    <x v="46"/>
    <x v="63"/>
    <d v="2025-03-08T00:00:00"/>
    <x v="2"/>
    <x v="2"/>
    <x v="1"/>
    <x v="0"/>
    <x v="3"/>
    <x v="2"/>
    <x v="9"/>
    <x v="2"/>
  </r>
  <r>
    <s v="TX501741"/>
    <x v="5"/>
    <x v="11"/>
    <x v="821"/>
    <x v="1379"/>
    <x v="63"/>
    <d v="2025-03-10T00:00:00"/>
    <x v="1"/>
    <x v="3"/>
    <x v="2"/>
    <x v="0"/>
    <x v="3"/>
    <x v="0"/>
    <x v="9"/>
    <x v="1"/>
  </r>
  <r>
    <s v="TX501742"/>
    <x v="6"/>
    <x v="3"/>
    <x v="227"/>
    <x v="245"/>
    <x v="63"/>
    <d v="2025-03-08T00:00:00"/>
    <x v="2"/>
    <x v="2"/>
    <x v="2"/>
    <x v="0"/>
    <x v="3"/>
    <x v="2"/>
    <x v="9"/>
    <x v="2"/>
  </r>
  <r>
    <s v="TX501743"/>
    <x v="18"/>
    <x v="21"/>
    <x v="355"/>
    <x v="1380"/>
    <x v="63"/>
    <d v="2025-03-06T00:00:00"/>
    <x v="1"/>
    <x v="0"/>
    <x v="2"/>
    <x v="0"/>
    <x v="3"/>
    <x v="3"/>
    <x v="9"/>
    <x v="1"/>
  </r>
  <r>
    <s v="TX501744"/>
    <x v="11"/>
    <x v="2"/>
    <x v="543"/>
    <x v="1381"/>
    <x v="63"/>
    <d v="2025-03-08T00:00:00"/>
    <x v="3"/>
    <x v="0"/>
    <x v="4"/>
    <x v="0"/>
    <x v="3"/>
    <x v="2"/>
    <x v="9"/>
    <x v="3"/>
  </r>
  <r>
    <s v="TX501745"/>
    <x v="8"/>
    <x v="1"/>
    <x v="359"/>
    <x v="1139"/>
    <x v="63"/>
    <d v="2025-03-15T00:00:00"/>
    <x v="1"/>
    <x v="0"/>
    <x v="0"/>
    <x v="0"/>
    <x v="3"/>
    <x v="14"/>
    <x v="9"/>
    <x v="1"/>
  </r>
  <r>
    <s v="TX501746"/>
    <x v="3"/>
    <x v="13"/>
    <x v="495"/>
    <x v="335"/>
    <x v="63"/>
    <d v="2025-03-09T00:00:00"/>
    <x v="2"/>
    <x v="0"/>
    <x v="2"/>
    <x v="0"/>
    <x v="3"/>
    <x v="5"/>
    <x v="9"/>
    <x v="2"/>
  </r>
  <r>
    <s v="TX501747"/>
    <x v="5"/>
    <x v="13"/>
    <x v="576"/>
    <x v="1382"/>
    <x v="63"/>
    <d v="2025-03-06T00:00:00"/>
    <x v="2"/>
    <x v="1"/>
    <x v="0"/>
    <x v="0"/>
    <x v="3"/>
    <x v="3"/>
    <x v="9"/>
    <x v="2"/>
  </r>
  <r>
    <s v="TX501748"/>
    <x v="4"/>
    <x v="8"/>
    <x v="39"/>
    <x v="1383"/>
    <x v="63"/>
    <d v="2025-03-09T00:00:00"/>
    <x v="2"/>
    <x v="4"/>
    <x v="0"/>
    <x v="0"/>
    <x v="3"/>
    <x v="5"/>
    <x v="9"/>
    <x v="2"/>
  </r>
  <r>
    <s v="TX501749"/>
    <x v="1"/>
    <x v="1"/>
    <x v="81"/>
    <x v="1384"/>
    <x v="63"/>
    <d v="2025-03-07T00:00:00"/>
    <x v="1"/>
    <x v="0"/>
    <x v="0"/>
    <x v="0"/>
    <x v="6"/>
    <x v="1"/>
    <x v="9"/>
    <x v="1"/>
  </r>
  <r>
    <s v="TX501750"/>
    <x v="9"/>
    <x v="8"/>
    <x v="629"/>
    <x v="1347"/>
    <x v="63"/>
    <d v="2025-03-06T00:00:00"/>
    <x v="1"/>
    <x v="0"/>
    <x v="0"/>
    <x v="0"/>
    <x v="7"/>
    <x v="3"/>
    <x v="9"/>
    <x v="1"/>
  </r>
  <r>
    <s v="TX501751"/>
    <x v="0"/>
    <x v="3"/>
    <x v="384"/>
    <x v="557"/>
    <x v="63"/>
    <d v="2025-03-08T00:00:00"/>
    <x v="1"/>
    <x v="2"/>
    <x v="1"/>
    <x v="0"/>
    <x v="8"/>
    <x v="2"/>
    <x v="9"/>
    <x v="1"/>
  </r>
  <r>
    <s v="TX501752"/>
    <x v="2"/>
    <x v="2"/>
    <x v="56"/>
    <x v="1385"/>
    <x v="63"/>
    <d v="2025-03-06T00:00:00"/>
    <x v="2"/>
    <x v="0"/>
    <x v="2"/>
    <x v="0"/>
    <x v="8"/>
    <x v="3"/>
    <x v="9"/>
    <x v="2"/>
  </r>
  <r>
    <s v="TX501753"/>
    <x v="14"/>
    <x v="44"/>
    <x v="138"/>
    <x v="1386"/>
    <x v="63"/>
    <d v="2025-03-06T00:00:00"/>
    <x v="1"/>
    <x v="0"/>
    <x v="0"/>
    <x v="0"/>
    <x v="8"/>
    <x v="3"/>
    <x v="9"/>
    <x v="1"/>
  </r>
  <r>
    <s v="TX501754"/>
    <x v="10"/>
    <x v="2"/>
    <x v="511"/>
    <x v="1387"/>
    <x v="63"/>
    <d v="2025-03-06T00:00:00"/>
    <x v="2"/>
    <x v="1"/>
    <x v="2"/>
    <x v="0"/>
    <x v="8"/>
    <x v="3"/>
    <x v="9"/>
    <x v="2"/>
  </r>
  <r>
    <s v="TX501755"/>
    <x v="0"/>
    <x v="13"/>
    <x v="822"/>
    <x v="610"/>
    <x v="63"/>
    <d v="2025-03-08T00:00:00"/>
    <x v="1"/>
    <x v="0"/>
    <x v="0"/>
    <x v="0"/>
    <x v="8"/>
    <x v="2"/>
    <x v="9"/>
    <x v="1"/>
  </r>
  <r>
    <s v="TX501756"/>
    <x v="14"/>
    <x v="2"/>
    <x v="179"/>
    <x v="1388"/>
    <x v="64"/>
    <d v="2025-03-06T00:00:00"/>
    <x v="2"/>
    <x v="4"/>
    <x v="0"/>
    <x v="0"/>
    <x v="17"/>
    <x v="7"/>
    <x v="9"/>
    <x v="2"/>
  </r>
  <r>
    <s v="TX501757"/>
    <x v="9"/>
    <x v="0"/>
    <x v="823"/>
    <x v="998"/>
    <x v="64"/>
    <d v="2025-03-10T00:00:00"/>
    <x v="3"/>
    <x v="2"/>
    <x v="2"/>
    <x v="0"/>
    <x v="17"/>
    <x v="5"/>
    <x v="9"/>
    <x v="3"/>
  </r>
  <r>
    <s v="TX501758"/>
    <x v="1"/>
    <x v="1"/>
    <x v="424"/>
    <x v="1389"/>
    <x v="64"/>
    <d v="2025-03-07T00:00:00"/>
    <x v="1"/>
    <x v="1"/>
    <x v="2"/>
    <x v="0"/>
    <x v="26"/>
    <x v="3"/>
    <x v="9"/>
    <x v="1"/>
  </r>
  <r>
    <s v="TX501759"/>
    <x v="2"/>
    <x v="1"/>
    <x v="824"/>
    <x v="1390"/>
    <x v="64"/>
    <d v="2025-03-13T00:00:00"/>
    <x v="1"/>
    <x v="0"/>
    <x v="3"/>
    <x v="0"/>
    <x v="11"/>
    <x v="6"/>
    <x v="9"/>
    <x v="1"/>
  </r>
  <r>
    <s v="TX501760"/>
    <x v="7"/>
    <x v="13"/>
    <x v="607"/>
    <x v="827"/>
    <x v="64"/>
    <d v="2025-03-09T00:00:00"/>
    <x v="2"/>
    <x v="1"/>
    <x v="0"/>
    <x v="0"/>
    <x v="11"/>
    <x v="2"/>
    <x v="9"/>
    <x v="2"/>
  </r>
  <r>
    <s v="TX501761"/>
    <x v="2"/>
    <x v="0"/>
    <x v="825"/>
    <x v="1391"/>
    <x v="64"/>
    <d v="2025-03-09T00:00:00"/>
    <x v="1"/>
    <x v="2"/>
    <x v="0"/>
    <x v="0"/>
    <x v="11"/>
    <x v="2"/>
    <x v="9"/>
    <x v="1"/>
  </r>
  <r>
    <s v="TX501762"/>
    <x v="6"/>
    <x v="5"/>
    <x v="664"/>
    <x v="1392"/>
    <x v="64"/>
    <d v="2025-03-08T00:00:00"/>
    <x v="1"/>
    <x v="2"/>
    <x v="2"/>
    <x v="0"/>
    <x v="18"/>
    <x v="1"/>
    <x v="9"/>
    <x v="1"/>
  </r>
  <r>
    <s v="TX501763"/>
    <x v="2"/>
    <x v="10"/>
    <x v="177"/>
    <x v="1393"/>
    <x v="64"/>
    <d v="2025-03-08T00:00:00"/>
    <x v="1"/>
    <x v="1"/>
    <x v="1"/>
    <x v="0"/>
    <x v="18"/>
    <x v="1"/>
    <x v="9"/>
    <x v="1"/>
  </r>
  <r>
    <s v="TX501764"/>
    <x v="18"/>
    <x v="3"/>
    <x v="480"/>
    <x v="348"/>
    <x v="64"/>
    <d v="2025-03-07T00:00:00"/>
    <x v="1"/>
    <x v="2"/>
    <x v="0"/>
    <x v="0"/>
    <x v="21"/>
    <x v="3"/>
    <x v="9"/>
    <x v="1"/>
  </r>
  <r>
    <s v="TX501765"/>
    <x v="9"/>
    <x v="9"/>
    <x v="195"/>
    <x v="838"/>
    <x v="64"/>
    <d v="2025-03-08T00:00:00"/>
    <x v="1"/>
    <x v="2"/>
    <x v="0"/>
    <x v="0"/>
    <x v="1"/>
    <x v="1"/>
    <x v="9"/>
    <x v="1"/>
  </r>
  <r>
    <s v="TX501766"/>
    <x v="0"/>
    <x v="7"/>
    <x v="826"/>
    <x v="383"/>
    <x v="64"/>
    <d v="2025-03-07T00:00:00"/>
    <x v="1"/>
    <x v="0"/>
    <x v="2"/>
    <x v="0"/>
    <x v="3"/>
    <x v="3"/>
    <x v="9"/>
    <x v="1"/>
  </r>
  <r>
    <s v="TX501767"/>
    <x v="0"/>
    <x v="12"/>
    <x v="201"/>
    <x v="58"/>
    <x v="64"/>
    <d v="2025-03-07T00:00:00"/>
    <x v="1"/>
    <x v="4"/>
    <x v="1"/>
    <x v="0"/>
    <x v="3"/>
    <x v="3"/>
    <x v="9"/>
    <x v="1"/>
  </r>
  <r>
    <s v="TX501768"/>
    <x v="14"/>
    <x v="8"/>
    <x v="608"/>
    <x v="854"/>
    <x v="64"/>
    <d v="2025-03-07T00:00:00"/>
    <x v="1"/>
    <x v="1"/>
    <x v="0"/>
    <x v="0"/>
    <x v="24"/>
    <x v="3"/>
    <x v="9"/>
    <x v="1"/>
  </r>
  <r>
    <s v="TX501769"/>
    <x v="12"/>
    <x v="0"/>
    <x v="780"/>
    <x v="1394"/>
    <x v="64"/>
    <d v="2025-03-08T00:00:00"/>
    <x v="2"/>
    <x v="2"/>
    <x v="2"/>
    <x v="0"/>
    <x v="6"/>
    <x v="1"/>
    <x v="9"/>
    <x v="2"/>
  </r>
  <r>
    <s v="TX501770"/>
    <x v="1"/>
    <x v="2"/>
    <x v="296"/>
    <x v="1395"/>
    <x v="64"/>
    <d v="2025-03-08T00:00:00"/>
    <x v="2"/>
    <x v="1"/>
    <x v="2"/>
    <x v="0"/>
    <x v="6"/>
    <x v="1"/>
    <x v="9"/>
    <x v="2"/>
  </r>
  <r>
    <s v="TX501771"/>
    <x v="6"/>
    <x v="12"/>
    <x v="737"/>
    <x v="1396"/>
    <x v="64"/>
    <d v="2025-03-06T00:00:00"/>
    <x v="1"/>
    <x v="1"/>
    <x v="2"/>
    <x v="0"/>
    <x v="6"/>
    <x v="7"/>
    <x v="9"/>
    <x v="1"/>
  </r>
  <r>
    <s v="TX501772"/>
    <x v="10"/>
    <x v="5"/>
    <x v="533"/>
    <x v="590"/>
    <x v="64"/>
    <d v="2025-03-13T00:00:00"/>
    <x v="1"/>
    <x v="0"/>
    <x v="2"/>
    <x v="0"/>
    <x v="8"/>
    <x v="6"/>
    <x v="9"/>
    <x v="1"/>
  </r>
  <r>
    <s v="TX501773"/>
    <x v="16"/>
    <x v="8"/>
    <x v="571"/>
    <x v="1397"/>
    <x v="64"/>
    <d v="2025-03-10T00:00:00"/>
    <x v="2"/>
    <x v="2"/>
    <x v="1"/>
    <x v="0"/>
    <x v="8"/>
    <x v="5"/>
    <x v="9"/>
    <x v="2"/>
  </r>
  <r>
    <s v="TX501774"/>
    <x v="1"/>
    <x v="15"/>
    <x v="827"/>
    <x v="1398"/>
    <x v="64"/>
    <d v="2025-03-08T00:00:00"/>
    <x v="2"/>
    <x v="0"/>
    <x v="0"/>
    <x v="0"/>
    <x v="8"/>
    <x v="1"/>
    <x v="9"/>
    <x v="2"/>
  </r>
  <r>
    <s v="TX501775"/>
    <x v="8"/>
    <x v="1"/>
    <x v="56"/>
    <x v="628"/>
    <x v="64"/>
    <d v="2025-03-07T00:00:00"/>
    <x v="1"/>
    <x v="0"/>
    <x v="1"/>
    <x v="0"/>
    <x v="8"/>
    <x v="3"/>
    <x v="9"/>
    <x v="1"/>
  </r>
  <r>
    <s v="TX501776"/>
    <x v="3"/>
    <x v="1"/>
    <x v="363"/>
    <x v="330"/>
    <x v="64"/>
    <d v="2025-03-08T00:00:00"/>
    <x v="1"/>
    <x v="0"/>
    <x v="1"/>
    <x v="0"/>
    <x v="17"/>
    <x v="1"/>
    <x v="9"/>
    <x v="1"/>
  </r>
  <r>
    <s v="TX501777"/>
    <x v="13"/>
    <x v="13"/>
    <x v="679"/>
    <x v="1399"/>
    <x v="64"/>
    <d v="2025-03-08T00:00:00"/>
    <x v="1"/>
    <x v="4"/>
    <x v="0"/>
    <x v="0"/>
    <x v="18"/>
    <x v="1"/>
    <x v="9"/>
    <x v="1"/>
  </r>
  <r>
    <s v="TX501778"/>
    <x v="16"/>
    <x v="1"/>
    <x v="308"/>
    <x v="350"/>
    <x v="64"/>
    <d v="2025-03-09T00:00:00"/>
    <x v="1"/>
    <x v="0"/>
    <x v="0"/>
    <x v="0"/>
    <x v="20"/>
    <x v="2"/>
    <x v="9"/>
    <x v="1"/>
  </r>
  <r>
    <s v="TX501779"/>
    <x v="8"/>
    <x v="1"/>
    <x v="736"/>
    <x v="1400"/>
    <x v="64"/>
    <d v="2025-03-08T00:00:00"/>
    <x v="2"/>
    <x v="3"/>
    <x v="0"/>
    <x v="0"/>
    <x v="21"/>
    <x v="1"/>
    <x v="9"/>
    <x v="2"/>
  </r>
  <r>
    <s v="TX501780"/>
    <x v="6"/>
    <x v="2"/>
    <x v="72"/>
    <x v="1401"/>
    <x v="64"/>
    <d v="2025-03-11T00:00:00"/>
    <x v="2"/>
    <x v="0"/>
    <x v="2"/>
    <x v="0"/>
    <x v="21"/>
    <x v="0"/>
    <x v="9"/>
    <x v="2"/>
  </r>
  <r>
    <s v="TX501781"/>
    <x v="6"/>
    <x v="1"/>
    <x v="328"/>
    <x v="915"/>
    <x v="64"/>
    <d v="2025-03-07T00:00:00"/>
    <x v="2"/>
    <x v="1"/>
    <x v="2"/>
    <x v="0"/>
    <x v="21"/>
    <x v="3"/>
    <x v="9"/>
    <x v="2"/>
  </r>
  <r>
    <s v="TX501782"/>
    <x v="8"/>
    <x v="13"/>
    <x v="157"/>
    <x v="1402"/>
    <x v="64"/>
    <d v="2025-03-09T00:00:00"/>
    <x v="2"/>
    <x v="0"/>
    <x v="1"/>
    <x v="0"/>
    <x v="22"/>
    <x v="2"/>
    <x v="9"/>
    <x v="2"/>
  </r>
  <r>
    <s v="TX501783"/>
    <x v="4"/>
    <x v="12"/>
    <x v="380"/>
    <x v="1403"/>
    <x v="64"/>
    <d v="2025-03-16T00:00:00"/>
    <x v="1"/>
    <x v="0"/>
    <x v="0"/>
    <x v="0"/>
    <x v="22"/>
    <x v="14"/>
    <x v="9"/>
    <x v="1"/>
  </r>
  <r>
    <s v="TX501784"/>
    <x v="5"/>
    <x v="2"/>
    <x v="828"/>
    <x v="1404"/>
    <x v="64"/>
    <d v="2025-03-07T00:00:00"/>
    <x v="2"/>
    <x v="0"/>
    <x v="1"/>
    <x v="0"/>
    <x v="3"/>
    <x v="3"/>
    <x v="9"/>
    <x v="2"/>
  </r>
  <r>
    <s v="TX501785"/>
    <x v="6"/>
    <x v="1"/>
    <x v="245"/>
    <x v="1405"/>
    <x v="64"/>
    <d v="2025-03-08T00:00:00"/>
    <x v="2"/>
    <x v="0"/>
    <x v="0"/>
    <x v="0"/>
    <x v="3"/>
    <x v="1"/>
    <x v="9"/>
    <x v="2"/>
  </r>
  <r>
    <s v="TX501786"/>
    <x v="0"/>
    <x v="3"/>
    <x v="324"/>
    <x v="1248"/>
    <x v="64"/>
    <d v="2025-03-08T00:00:00"/>
    <x v="2"/>
    <x v="1"/>
    <x v="2"/>
    <x v="0"/>
    <x v="3"/>
    <x v="1"/>
    <x v="9"/>
    <x v="2"/>
  </r>
  <r>
    <s v="TX501787"/>
    <x v="7"/>
    <x v="3"/>
    <x v="148"/>
    <x v="1406"/>
    <x v="64"/>
    <d v="2025-03-06T00:00:00"/>
    <x v="2"/>
    <x v="4"/>
    <x v="2"/>
    <x v="0"/>
    <x v="3"/>
    <x v="7"/>
    <x v="9"/>
    <x v="2"/>
  </r>
  <r>
    <s v="TX501788"/>
    <x v="9"/>
    <x v="0"/>
    <x v="86"/>
    <x v="1407"/>
    <x v="65"/>
    <d v="2025-03-08T00:00:00"/>
    <x v="1"/>
    <x v="0"/>
    <x v="1"/>
    <x v="0"/>
    <x v="3"/>
    <x v="3"/>
    <x v="9"/>
    <x v="1"/>
  </r>
  <r>
    <s v="TX501789"/>
    <x v="6"/>
    <x v="7"/>
    <x v="288"/>
    <x v="1408"/>
    <x v="65"/>
    <d v="2025-03-11T00:00:00"/>
    <x v="2"/>
    <x v="0"/>
    <x v="0"/>
    <x v="0"/>
    <x v="3"/>
    <x v="5"/>
    <x v="9"/>
    <x v="2"/>
  </r>
  <r>
    <s v="TX501790"/>
    <x v="1"/>
    <x v="2"/>
    <x v="824"/>
    <x v="1409"/>
    <x v="65"/>
    <d v="2025-03-11T00:00:00"/>
    <x v="2"/>
    <x v="3"/>
    <x v="0"/>
    <x v="0"/>
    <x v="3"/>
    <x v="5"/>
    <x v="9"/>
    <x v="2"/>
  </r>
  <r>
    <s v="TX501791"/>
    <x v="8"/>
    <x v="9"/>
    <x v="49"/>
    <x v="340"/>
    <x v="65"/>
    <d v="2025-03-10T00:00:00"/>
    <x v="1"/>
    <x v="0"/>
    <x v="1"/>
    <x v="0"/>
    <x v="3"/>
    <x v="2"/>
    <x v="9"/>
    <x v="1"/>
  </r>
  <r>
    <s v="TX501792"/>
    <x v="0"/>
    <x v="12"/>
    <x v="0"/>
    <x v="1195"/>
    <x v="65"/>
    <d v="2025-03-08T00:00:00"/>
    <x v="1"/>
    <x v="2"/>
    <x v="0"/>
    <x v="0"/>
    <x v="3"/>
    <x v="3"/>
    <x v="9"/>
    <x v="1"/>
  </r>
  <r>
    <s v="TX501793"/>
    <x v="16"/>
    <x v="2"/>
    <x v="196"/>
    <x v="1410"/>
    <x v="65"/>
    <d v="2025-03-12T00:00:00"/>
    <x v="2"/>
    <x v="4"/>
    <x v="0"/>
    <x v="0"/>
    <x v="3"/>
    <x v="0"/>
    <x v="9"/>
    <x v="2"/>
  </r>
  <r>
    <s v="TX501794"/>
    <x v="5"/>
    <x v="1"/>
    <x v="469"/>
    <x v="1411"/>
    <x v="65"/>
    <d v="2025-03-08T00:00:00"/>
    <x v="1"/>
    <x v="0"/>
    <x v="2"/>
    <x v="0"/>
    <x v="23"/>
    <x v="3"/>
    <x v="9"/>
    <x v="1"/>
  </r>
  <r>
    <s v="TX501795"/>
    <x v="4"/>
    <x v="2"/>
    <x v="307"/>
    <x v="807"/>
    <x v="65"/>
    <d v="2025-03-08T00:00:00"/>
    <x v="1"/>
    <x v="1"/>
    <x v="0"/>
    <x v="0"/>
    <x v="6"/>
    <x v="3"/>
    <x v="9"/>
    <x v="1"/>
  </r>
  <r>
    <s v="TX501796"/>
    <x v="2"/>
    <x v="0"/>
    <x v="795"/>
    <x v="1403"/>
    <x v="65"/>
    <d v="2025-03-08T00:00:00"/>
    <x v="1"/>
    <x v="4"/>
    <x v="2"/>
    <x v="0"/>
    <x v="6"/>
    <x v="3"/>
    <x v="9"/>
    <x v="1"/>
  </r>
  <r>
    <s v="TX501797"/>
    <x v="18"/>
    <x v="3"/>
    <x v="57"/>
    <x v="1412"/>
    <x v="65"/>
    <d v="2025-03-08T00:00:00"/>
    <x v="2"/>
    <x v="3"/>
    <x v="0"/>
    <x v="0"/>
    <x v="8"/>
    <x v="3"/>
    <x v="9"/>
    <x v="2"/>
  </r>
  <r>
    <s v="TX501798"/>
    <x v="10"/>
    <x v="2"/>
    <x v="256"/>
    <x v="1413"/>
    <x v="65"/>
    <d v="2025-03-09T00:00:00"/>
    <x v="1"/>
    <x v="1"/>
    <x v="2"/>
    <x v="0"/>
    <x v="8"/>
    <x v="1"/>
    <x v="9"/>
    <x v="1"/>
  </r>
  <r>
    <s v="TX501799"/>
    <x v="5"/>
    <x v="2"/>
    <x v="269"/>
    <x v="292"/>
    <x v="65"/>
    <d v="2025-03-12T00:00:00"/>
    <x v="2"/>
    <x v="0"/>
    <x v="0"/>
    <x v="0"/>
    <x v="8"/>
    <x v="0"/>
    <x v="9"/>
    <x v="2"/>
  </r>
  <r>
    <s v="TX501800"/>
    <x v="8"/>
    <x v="10"/>
    <x v="805"/>
    <x v="1414"/>
    <x v="65"/>
    <d v="2025-03-08T00:00:00"/>
    <x v="2"/>
    <x v="3"/>
    <x v="4"/>
    <x v="0"/>
    <x v="8"/>
    <x v="3"/>
    <x v="9"/>
    <x v="2"/>
  </r>
  <r>
    <s v="TX501801"/>
    <x v="8"/>
    <x v="12"/>
    <x v="375"/>
    <x v="1415"/>
    <x v="65"/>
    <d v="2025-03-07T00:00:00"/>
    <x v="2"/>
    <x v="0"/>
    <x v="0"/>
    <x v="0"/>
    <x v="8"/>
    <x v="7"/>
    <x v="9"/>
    <x v="2"/>
  </r>
  <r>
    <s v="TX501802"/>
    <x v="7"/>
    <x v="2"/>
    <x v="181"/>
    <x v="1416"/>
    <x v="65"/>
    <d v="2025-03-08T00:00:00"/>
    <x v="2"/>
    <x v="3"/>
    <x v="2"/>
    <x v="0"/>
    <x v="8"/>
    <x v="3"/>
    <x v="9"/>
    <x v="2"/>
  </r>
  <r>
    <s v="TX501803"/>
    <x v="0"/>
    <x v="1"/>
    <x v="569"/>
    <x v="1417"/>
    <x v="65"/>
    <d v="2025-03-08T00:00:00"/>
    <x v="2"/>
    <x v="3"/>
    <x v="1"/>
    <x v="0"/>
    <x v="8"/>
    <x v="3"/>
    <x v="9"/>
    <x v="2"/>
  </r>
  <r>
    <s v="TX501804"/>
    <x v="9"/>
    <x v="1"/>
    <x v="829"/>
    <x v="1415"/>
    <x v="65"/>
    <d v="2025-03-08T00:00:00"/>
    <x v="1"/>
    <x v="2"/>
    <x v="2"/>
    <x v="0"/>
    <x v="9"/>
    <x v="3"/>
    <x v="9"/>
    <x v="1"/>
  </r>
  <r>
    <s v="TX501805"/>
    <x v="7"/>
    <x v="0"/>
    <x v="830"/>
    <x v="1101"/>
    <x v="65"/>
    <d v="2025-03-13T00:00:00"/>
    <x v="1"/>
    <x v="4"/>
    <x v="4"/>
    <x v="0"/>
    <x v="9"/>
    <x v="4"/>
    <x v="9"/>
    <x v="1"/>
  </r>
  <r>
    <s v="TX501806"/>
    <x v="0"/>
    <x v="7"/>
    <x v="335"/>
    <x v="520"/>
    <x v="65"/>
    <d v="2025-03-08T00:00:00"/>
    <x v="2"/>
    <x v="0"/>
    <x v="2"/>
    <x v="0"/>
    <x v="9"/>
    <x v="3"/>
    <x v="9"/>
    <x v="2"/>
  </r>
  <r>
    <s v="TX501807"/>
    <x v="7"/>
    <x v="12"/>
    <x v="777"/>
    <x v="1418"/>
    <x v="66"/>
    <d v="2025-03-12T00:00:00"/>
    <x v="1"/>
    <x v="1"/>
    <x v="0"/>
    <x v="0"/>
    <x v="11"/>
    <x v="5"/>
    <x v="9"/>
    <x v="1"/>
  </r>
  <r>
    <s v="TX501808"/>
    <x v="5"/>
    <x v="1"/>
    <x v="105"/>
    <x v="110"/>
    <x v="66"/>
    <d v="2025-03-09T00:00:00"/>
    <x v="2"/>
    <x v="0"/>
    <x v="2"/>
    <x v="0"/>
    <x v="18"/>
    <x v="3"/>
    <x v="9"/>
    <x v="2"/>
  </r>
  <r>
    <s v="TX501809"/>
    <x v="10"/>
    <x v="12"/>
    <x v="533"/>
    <x v="1419"/>
    <x v="66"/>
    <d v="2025-03-10T00:00:00"/>
    <x v="2"/>
    <x v="1"/>
    <x v="1"/>
    <x v="0"/>
    <x v="19"/>
    <x v="1"/>
    <x v="9"/>
    <x v="2"/>
  </r>
  <r>
    <s v="TX501810"/>
    <x v="2"/>
    <x v="2"/>
    <x v="831"/>
    <x v="1420"/>
    <x v="66"/>
    <d v="2025-03-12T00:00:00"/>
    <x v="2"/>
    <x v="2"/>
    <x v="2"/>
    <x v="0"/>
    <x v="56"/>
    <x v="5"/>
    <x v="9"/>
    <x v="2"/>
  </r>
  <r>
    <s v="TX501811"/>
    <x v="2"/>
    <x v="12"/>
    <x v="832"/>
    <x v="1421"/>
    <x v="66"/>
    <d v="2025-03-12T00:00:00"/>
    <x v="3"/>
    <x v="2"/>
    <x v="2"/>
    <x v="0"/>
    <x v="21"/>
    <x v="5"/>
    <x v="9"/>
    <x v="3"/>
  </r>
  <r>
    <s v="TX501812"/>
    <x v="2"/>
    <x v="1"/>
    <x v="833"/>
    <x v="1147"/>
    <x v="66"/>
    <d v="2025-03-11T00:00:00"/>
    <x v="2"/>
    <x v="1"/>
    <x v="0"/>
    <x v="0"/>
    <x v="21"/>
    <x v="2"/>
    <x v="9"/>
    <x v="2"/>
  </r>
  <r>
    <s v="TX501813"/>
    <x v="0"/>
    <x v="0"/>
    <x v="347"/>
    <x v="1422"/>
    <x v="66"/>
    <d v="2025-03-09T00:00:00"/>
    <x v="2"/>
    <x v="2"/>
    <x v="2"/>
    <x v="0"/>
    <x v="21"/>
    <x v="3"/>
    <x v="9"/>
    <x v="2"/>
  </r>
  <r>
    <s v="TX501814"/>
    <x v="9"/>
    <x v="1"/>
    <x v="134"/>
    <x v="139"/>
    <x v="66"/>
    <d v="2025-03-11T00:00:00"/>
    <x v="1"/>
    <x v="4"/>
    <x v="2"/>
    <x v="0"/>
    <x v="1"/>
    <x v="2"/>
    <x v="9"/>
    <x v="1"/>
  </r>
  <r>
    <s v="TX501815"/>
    <x v="12"/>
    <x v="1"/>
    <x v="834"/>
    <x v="1423"/>
    <x v="66"/>
    <d v="2025-03-10T00:00:00"/>
    <x v="2"/>
    <x v="0"/>
    <x v="3"/>
    <x v="0"/>
    <x v="33"/>
    <x v="1"/>
    <x v="9"/>
    <x v="2"/>
  </r>
  <r>
    <s v="TX501816"/>
    <x v="15"/>
    <x v="5"/>
    <x v="26"/>
    <x v="1424"/>
    <x v="66"/>
    <d v="2025-03-08T00:00:00"/>
    <x v="1"/>
    <x v="0"/>
    <x v="0"/>
    <x v="0"/>
    <x v="22"/>
    <x v="7"/>
    <x v="9"/>
    <x v="1"/>
  </r>
  <r>
    <s v="TX501817"/>
    <x v="3"/>
    <x v="12"/>
    <x v="740"/>
    <x v="839"/>
    <x v="66"/>
    <d v="2025-03-10T00:00:00"/>
    <x v="3"/>
    <x v="0"/>
    <x v="1"/>
    <x v="0"/>
    <x v="22"/>
    <x v="1"/>
    <x v="9"/>
    <x v="3"/>
  </r>
  <r>
    <s v="TX501818"/>
    <x v="7"/>
    <x v="1"/>
    <x v="835"/>
    <x v="403"/>
    <x v="66"/>
    <d v="2025-03-08T00:00:00"/>
    <x v="2"/>
    <x v="1"/>
    <x v="0"/>
    <x v="0"/>
    <x v="3"/>
    <x v="7"/>
    <x v="9"/>
    <x v="2"/>
  </r>
  <r>
    <s v="TX501819"/>
    <x v="1"/>
    <x v="0"/>
    <x v="116"/>
    <x v="988"/>
    <x v="66"/>
    <d v="2025-03-12T00:00:00"/>
    <x v="0"/>
    <x v="2"/>
    <x v="0"/>
    <x v="0"/>
    <x v="3"/>
    <x v="5"/>
    <x v="9"/>
    <x v="0"/>
  </r>
  <r>
    <s v="TX501820"/>
    <x v="6"/>
    <x v="12"/>
    <x v="836"/>
    <x v="80"/>
    <x v="66"/>
    <d v="2025-03-10T00:00:00"/>
    <x v="2"/>
    <x v="1"/>
    <x v="0"/>
    <x v="0"/>
    <x v="3"/>
    <x v="1"/>
    <x v="9"/>
    <x v="2"/>
  </r>
  <r>
    <s v="TX501821"/>
    <x v="1"/>
    <x v="12"/>
    <x v="310"/>
    <x v="353"/>
    <x v="66"/>
    <d v="2025-03-09T00:00:00"/>
    <x v="2"/>
    <x v="1"/>
    <x v="0"/>
    <x v="0"/>
    <x v="3"/>
    <x v="3"/>
    <x v="9"/>
    <x v="2"/>
  </r>
  <r>
    <s v="TX501822"/>
    <x v="6"/>
    <x v="45"/>
    <x v="5"/>
    <x v="1425"/>
    <x v="66"/>
    <d v="2025-03-10T00:00:00"/>
    <x v="0"/>
    <x v="3"/>
    <x v="0"/>
    <x v="0"/>
    <x v="3"/>
    <x v="1"/>
    <x v="9"/>
    <x v="0"/>
  </r>
  <r>
    <s v="TX501823"/>
    <x v="19"/>
    <x v="4"/>
    <x v="515"/>
    <x v="1092"/>
    <x v="66"/>
    <d v="2025-03-08T00:00:00"/>
    <x v="1"/>
    <x v="2"/>
    <x v="0"/>
    <x v="0"/>
    <x v="3"/>
    <x v="7"/>
    <x v="9"/>
    <x v="1"/>
  </r>
  <r>
    <s v="TX501824"/>
    <x v="12"/>
    <x v="2"/>
    <x v="181"/>
    <x v="1416"/>
    <x v="66"/>
    <d v="2025-03-09T00:00:00"/>
    <x v="3"/>
    <x v="4"/>
    <x v="0"/>
    <x v="0"/>
    <x v="3"/>
    <x v="3"/>
    <x v="9"/>
    <x v="3"/>
  </r>
  <r>
    <s v="TX501825"/>
    <x v="0"/>
    <x v="0"/>
    <x v="83"/>
    <x v="1426"/>
    <x v="66"/>
    <d v="2025-03-10T00:00:00"/>
    <x v="1"/>
    <x v="0"/>
    <x v="0"/>
    <x v="0"/>
    <x v="3"/>
    <x v="1"/>
    <x v="9"/>
    <x v="1"/>
  </r>
  <r>
    <s v="TX501826"/>
    <x v="4"/>
    <x v="12"/>
    <x v="200"/>
    <x v="1427"/>
    <x v="66"/>
    <d v="2025-03-09T00:00:00"/>
    <x v="2"/>
    <x v="2"/>
    <x v="2"/>
    <x v="0"/>
    <x v="3"/>
    <x v="3"/>
    <x v="9"/>
    <x v="2"/>
  </r>
  <r>
    <s v="TX501827"/>
    <x v="8"/>
    <x v="13"/>
    <x v="292"/>
    <x v="1428"/>
    <x v="66"/>
    <d v="2025-03-09T00:00:00"/>
    <x v="0"/>
    <x v="0"/>
    <x v="1"/>
    <x v="0"/>
    <x v="3"/>
    <x v="3"/>
    <x v="9"/>
    <x v="0"/>
  </r>
  <r>
    <s v="TX501828"/>
    <x v="4"/>
    <x v="0"/>
    <x v="210"/>
    <x v="1429"/>
    <x v="67"/>
    <d v="2025-03-10T00:00:00"/>
    <x v="1"/>
    <x v="2"/>
    <x v="1"/>
    <x v="0"/>
    <x v="3"/>
    <x v="3"/>
    <x v="10"/>
    <x v="1"/>
  </r>
  <r>
    <s v="TX501829"/>
    <x v="6"/>
    <x v="1"/>
    <x v="837"/>
    <x v="1430"/>
    <x v="67"/>
    <d v="2025-03-15T00:00:00"/>
    <x v="2"/>
    <x v="0"/>
    <x v="0"/>
    <x v="0"/>
    <x v="37"/>
    <x v="4"/>
    <x v="10"/>
    <x v="2"/>
  </r>
  <r>
    <s v="TX501830"/>
    <x v="9"/>
    <x v="3"/>
    <x v="630"/>
    <x v="1431"/>
    <x v="67"/>
    <d v="2025-03-10T00:00:00"/>
    <x v="1"/>
    <x v="2"/>
    <x v="2"/>
    <x v="0"/>
    <x v="25"/>
    <x v="3"/>
    <x v="10"/>
    <x v="1"/>
  </r>
  <r>
    <s v="TX501831"/>
    <x v="1"/>
    <x v="1"/>
    <x v="480"/>
    <x v="1432"/>
    <x v="67"/>
    <d v="2025-03-10T00:00:00"/>
    <x v="2"/>
    <x v="2"/>
    <x v="2"/>
    <x v="0"/>
    <x v="23"/>
    <x v="3"/>
    <x v="10"/>
    <x v="2"/>
  </r>
  <r>
    <s v="TX501832"/>
    <x v="6"/>
    <x v="12"/>
    <x v="352"/>
    <x v="1433"/>
    <x v="67"/>
    <d v="2025-03-11T00:00:00"/>
    <x v="0"/>
    <x v="4"/>
    <x v="0"/>
    <x v="0"/>
    <x v="7"/>
    <x v="1"/>
    <x v="10"/>
    <x v="0"/>
  </r>
  <r>
    <s v="TX501833"/>
    <x v="1"/>
    <x v="1"/>
    <x v="369"/>
    <x v="1047"/>
    <x v="67"/>
    <d v="2025-03-21T00:00:00"/>
    <x v="2"/>
    <x v="0"/>
    <x v="2"/>
    <x v="0"/>
    <x v="8"/>
    <x v="13"/>
    <x v="10"/>
    <x v="2"/>
  </r>
  <r>
    <s v="TX501834"/>
    <x v="8"/>
    <x v="12"/>
    <x v="347"/>
    <x v="1434"/>
    <x v="67"/>
    <d v="2025-03-15T00:00:00"/>
    <x v="1"/>
    <x v="3"/>
    <x v="0"/>
    <x v="0"/>
    <x v="8"/>
    <x v="4"/>
    <x v="10"/>
    <x v="1"/>
  </r>
  <r>
    <s v="TX501835"/>
    <x v="8"/>
    <x v="2"/>
    <x v="297"/>
    <x v="1435"/>
    <x v="67"/>
    <d v="2025-03-13T00:00:00"/>
    <x v="1"/>
    <x v="3"/>
    <x v="1"/>
    <x v="0"/>
    <x v="8"/>
    <x v="5"/>
    <x v="10"/>
    <x v="1"/>
  </r>
  <r>
    <s v="TX501836"/>
    <x v="19"/>
    <x v="0"/>
    <x v="826"/>
    <x v="1436"/>
    <x v="67"/>
    <d v="2025-03-10T00:00:00"/>
    <x v="2"/>
    <x v="2"/>
    <x v="2"/>
    <x v="0"/>
    <x v="8"/>
    <x v="3"/>
    <x v="10"/>
    <x v="2"/>
  </r>
  <r>
    <s v="TX501837"/>
    <x v="2"/>
    <x v="1"/>
    <x v="792"/>
    <x v="1437"/>
    <x v="67"/>
    <d v="2025-03-10T00:00:00"/>
    <x v="2"/>
    <x v="0"/>
    <x v="1"/>
    <x v="0"/>
    <x v="8"/>
    <x v="3"/>
    <x v="10"/>
    <x v="2"/>
  </r>
  <r>
    <s v="TX501838"/>
    <x v="8"/>
    <x v="2"/>
    <x v="269"/>
    <x v="292"/>
    <x v="67"/>
    <d v="2025-03-14T00:00:00"/>
    <x v="2"/>
    <x v="1"/>
    <x v="1"/>
    <x v="0"/>
    <x v="8"/>
    <x v="0"/>
    <x v="10"/>
    <x v="2"/>
  </r>
  <r>
    <s v="TX501839"/>
    <x v="2"/>
    <x v="7"/>
    <x v="838"/>
    <x v="1438"/>
    <x v="67"/>
    <d v="2025-03-15T00:00:00"/>
    <x v="1"/>
    <x v="3"/>
    <x v="1"/>
    <x v="0"/>
    <x v="8"/>
    <x v="4"/>
    <x v="10"/>
    <x v="1"/>
  </r>
  <r>
    <s v="TX501840"/>
    <x v="17"/>
    <x v="1"/>
    <x v="52"/>
    <x v="925"/>
    <x v="67"/>
    <d v="2025-03-17T00:00:00"/>
    <x v="2"/>
    <x v="0"/>
    <x v="4"/>
    <x v="0"/>
    <x v="8"/>
    <x v="9"/>
    <x v="10"/>
    <x v="2"/>
  </r>
  <r>
    <s v="TX501841"/>
    <x v="2"/>
    <x v="1"/>
    <x v="839"/>
    <x v="1439"/>
    <x v="67"/>
    <d v="2025-03-10T00:00:00"/>
    <x v="1"/>
    <x v="0"/>
    <x v="2"/>
    <x v="0"/>
    <x v="17"/>
    <x v="3"/>
    <x v="10"/>
    <x v="1"/>
  </r>
  <r>
    <s v="TX501842"/>
    <x v="12"/>
    <x v="32"/>
    <x v="840"/>
    <x v="1440"/>
    <x v="67"/>
    <d v="2025-03-10T00:00:00"/>
    <x v="2"/>
    <x v="4"/>
    <x v="4"/>
    <x v="0"/>
    <x v="26"/>
    <x v="3"/>
    <x v="10"/>
    <x v="2"/>
  </r>
  <r>
    <s v="TX501843"/>
    <x v="15"/>
    <x v="0"/>
    <x v="423"/>
    <x v="1441"/>
    <x v="67"/>
    <d v="2025-03-12T00:00:00"/>
    <x v="0"/>
    <x v="2"/>
    <x v="2"/>
    <x v="0"/>
    <x v="11"/>
    <x v="2"/>
    <x v="10"/>
    <x v="0"/>
  </r>
  <r>
    <s v="TX501844"/>
    <x v="1"/>
    <x v="0"/>
    <x v="325"/>
    <x v="440"/>
    <x v="67"/>
    <d v="2025-03-13T00:00:00"/>
    <x v="2"/>
    <x v="0"/>
    <x v="0"/>
    <x v="0"/>
    <x v="11"/>
    <x v="5"/>
    <x v="10"/>
    <x v="2"/>
  </r>
  <r>
    <s v="TX501845"/>
    <x v="8"/>
    <x v="20"/>
    <x v="498"/>
    <x v="1442"/>
    <x v="67"/>
    <d v="2025-03-10T00:00:00"/>
    <x v="1"/>
    <x v="1"/>
    <x v="1"/>
    <x v="0"/>
    <x v="11"/>
    <x v="3"/>
    <x v="10"/>
    <x v="1"/>
  </r>
  <r>
    <s v="TX501846"/>
    <x v="4"/>
    <x v="12"/>
    <x v="736"/>
    <x v="1443"/>
    <x v="67"/>
    <d v="2025-03-10T00:00:00"/>
    <x v="3"/>
    <x v="2"/>
    <x v="0"/>
    <x v="0"/>
    <x v="11"/>
    <x v="3"/>
    <x v="10"/>
    <x v="3"/>
  </r>
  <r>
    <s v="TX501847"/>
    <x v="16"/>
    <x v="2"/>
    <x v="166"/>
    <x v="905"/>
    <x v="67"/>
    <d v="2025-03-14T00:00:00"/>
    <x v="2"/>
    <x v="4"/>
    <x v="0"/>
    <x v="0"/>
    <x v="18"/>
    <x v="0"/>
    <x v="10"/>
    <x v="2"/>
  </r>
  <r>
    <s v="TX501848"/>
    <x v="2"/>
    <x v="9"/>
    <x v="316"/>
    <x v="1444"/>
    <x v="67"/>
    <d v="2025-03-11T00:00:00"/>
    <x v="2"/>
    <x v="2"/>
    <x v="0"/>
    <x v="0"/>
    <x v="19"/>
    <x v="1"/>
    <x v="10"/>
    <x v="2"/>
  </r>
  <r>
    <s v="TX501849"/>
    <x v="4"/>
    <x v="1"/>
    <x v="459"/>
    <x v="793"/>
    <x v="67"/>
    <d v="2025-03-10T00:00:00"/>
    <x v="2"/>
    <x v="1"/>
    <x v="3"/>
    <x v="0"/>
    <x v="20"/>
    <x v="3"/>
    <x v="10"/>
    <x v="2"/>
  </r>
  <r>
    <s v="TX501850"/>
    <x v="2"/>
    <x v="1"/>
    <x v="841"/>
    <x v="160"/>
    <x v="67"/>
    <d v="2025-03-15T00:00:00"/>
    <x v="1"/>
    <x v="1"/>
    <x v="2"/>
    <x v="0"/>
    <x v="20"/>
    <x v="4"/>
    <x v="10"/>
    <x v="1"/>
  </r>
  <r>
    <s v="TX501851"/>
    <x v="8"/>
    <x v="2"/>
    <x v="143"/>
    <x v="1205"/>
    <x v="67"/>
    <d v="2025-03-10T00:00:00"/>
    <x v="2"/>
    <x v="4"/>
    <x v="0"/>
    <x v="0"/>
    <x v="13"/>
    <x v="3"/>
    <x v="10"/>
    <x v="2"/>
  </r>
  <r>
    <s v="TX501852"/>
    <x v="12"/>
    <x v="1"/>
    <x v="842"/>
    <x v="806"/>
    <x v="67"/>
    <d v="2025-03-10T00:00:00"/>
    <x v="2"/>
    <x v="0"/>
    <x v="2"/>
    <x v="0"/>
    <x v="21"/>
    <x v="3"/>
    <x v="10"/>
    <x v="2"/>
  </r>
  <r>
    <s v="TX501853"/>
    <x v="0"/>
    <x v="9"/>
    <x v="260"/>
    <x v="427"/>
    <x v="67"/>
    <d v="2025-03-11T00:00:00"/>
    <x v="2"/>
    <x v="1"/>
    <x v="2"/>
    <x v="0"/>
    <x v="21"/>
    <x v="1"/>
    <x v="10"/>
    <x v="2"/>
  </r>
  <r>
    <s v="TX501854"/>
    <x v="14"/>
    <x v="9"/>
    <x v="209"/>
    <x v="160"/>
    <x v="67"/>
    <d v="2025-03-12T00:00:00"/>
    <x v="1"/>
    <x v="2"/>
    <x v="0"/>
    <x v="0"/>
    <x v="1"/>
    <x v="2"/>
    <x v="10"/>
    <x v="1"/>
  </r>
  <r>
    <s v="TX501855"/>
    <x v="8"/>
    <x v="1"/>
    <x v="1"/>
    <x v="1"/>
    <x v="68"/>
    <d v="2025-03-12T00:00:00"/>
    <x v="2"/>
    <x v="0"/>
    <x v="0"/>
    <x v="0"/>
    <x v="1"/>
    <x v="1"/>
    <x v="10"/>
    <x v="2"/>
  </r>
  <r>
    <s v="TX501856"/>
    <x v="10"/>
    <x v="9"/>
    <x v="614"/>
    <x v="1445"/>
    <x v="68"/>
    <d v="2025-03-11T00:00:00"/>
    <x v="1"/>
    <x v="1"/>
    <x v="1"/>
    <x v="0"/>
    <x v="27"/>
    <x v="3"/>
    <x v="10"/>
    <x v="1"/>
  </r>
  <r>
    <s v="TX501857"/>
    <x v="17"/>
    <x v="11"/>
    <x v="624"/>
    <x v="1258"/>
    <x v="68"/>
    <d v="2025-03-16T00:00:00"/>
    <x v="2"/>
    <x v="2"/>
    <x v="0"/>
    <x v="0"/>
    <x v="44"/>
    <x v="4"/>
    <x v="10"/>
    <x v="2"/>
  </r>
  <r>
    <s v="TX501858"/>
    <x v="6"/>
    <x v="3"/>
    <x v="777"/>
    <x v="1446"/>
    <x v="68"/>
    <d v="2025-03-15T00:00:00"/>
    <x v="2"/>
    <x v="1"/>
    <x v="2"/>
    <x v="0"/>
    <x v="50"/>
    <x v="0"/>
    <x v="10"/>
    <x v="2"/>
  </r>
  <r>
    <s v="TX501859"/>
    <x v="17"/>
    <x v="13"/>
    <x v="188"/>
    <x v="1134"/>
    <x v="68"/>
    <d v="2025-03-13T00:00:00"/>
    <x v="2"/>
    <x v="2"/>
    <x v="0"/>
    <x v="0"/>
    <x v="3"/>
    <x v="2"/>
    <x v="10"/>
    <x v="2"/>
  </r>
  <r>
    <s v="TX501860"/>
    <x v="2"/>
    <x v="1"/>
    <x v="819"/>
    <x v="751"/>
    <x v="68"/>
    <d v="2025-03-10T00:00:00"/>
    <x v="1"/>
    <x v="2"/>
    <x v="2"/>
    <x v="0"/>
    <x v="3"/>
    <x v="7"/>
    <x v="10"/>
    <x v="1"/>
  </r>
  <r>
    <s v="TX501861"/>
    <x v="0"/>
    <x v="1"/>
    <x v="121"/>
    <x v="1447"/>
    <x v="68"/>
    <d v="2025-03-11T00:00:00"/>
    <x v="1"/>
    <x v="1"/>
    <x v="2"/>
    <x v="0"/>
    <x v="3"/>
    <x v="3"/>
    <x v="10"/>
    <x v="1"/>
  </r>
  <r>
    <s v="TX501862"/>
    <x v="8"/>
    <x v="2"/>
    <x v="289"/>
    <x v="1448"/>
    <x v="68"/>
    <d v="2025-03-12T00:00:00"/>
    <x v="3"/>
    <x v="0"/>
    <x v="2"/>
    <x v="0"/>
    <x v="3"/>
    <x v="1"/>
    <x v="10"/>
    <x v="3"/>
  </r>
  <r>
    <s v="TX501863"/>
    <x v="12"/>
    <x v="1"/>
    <x v="642"/>
    <x v="255"/>
    <x v="68"/>
    <d v="2025-03-11T00:00:00"/>
    <x v="1"/>
    <x v="1"/>
    <x v="2"/>
    <x v="0"/>
    <x v="3"/>
    <x v="3"/>
    <x v="10"/>
    <x v="1"/>
  </r>
  <r>
    <s v="TX501864"/>
    <x v="12"/>
    <x v="2"/>
    <x v="751"/>
    <x v="1449"/>
    <x v="68"/>
    <d v="2025-03-12T00:00:00"/>
    <x v="2"/>
    <x v="2"/>
    <x v="4"/>
    <x v="0"/>
    <x v="3"/>
    <x v="1"/>
    <x v="10"/>
    <x v="2"/>
  </r>
  <r>
    <s v="TX501865"/>
    <x v="9"/>
    <x v="0"/>
    <x v="644"/>
    <x v="923"/>
    <x v="68"/>
    <d v="2025-03-12T00:00:00"/>
    <x v="2"/>
    <x v="0"/>
    <x v="0"/>
    <x v="0"/>
    <x v="3"/>
    <x v="1"/>
    <x v="10"/>
    <x v="2"/>
  </r>
  <r>
    <s v="TX501866"/>
    <x v="7"/>
    <x v="30"/>
    <x v="495"/>
    <x v="1450"/>
    <x v="68"/>
    <d v="2025-03-12T00:00:00"/>
    <x v="1"/>
    <x v="0"/>
    <x v="2"/>
    <x v="0"/>
    <x v="3"/>
    <x v="1"/>
    <x v="10"/>
    <x v="1"/>
  </r>
  <r>
    <s v="TX501867"/>
    <x v="15"/>
    <x v="0"/>
    <x v="39"/>
    <x v="39"/>
    <x v="68"/>
    <d v="2025-03-10T00:00:00"/>
    <x v="3"/>
    <x v="1"/>
    <x v="2"/>
    <x v="0"/>
    <x v="3"/>
    <x v="7"/>
    <x v="10"/>
    <x v="3"/>
  </r>
  <r>
    <s v="TX501868"/>
    <x v="6"/>
    <x v="12"/>
    <x v="142"/>
    <x v="1451"/>
    <x v="68"/>
    <d v="2025-03-11T00:00:00"/>
    <x v="2"/>
    <x v="4"/>
    <x v="2"/>
    <x v="0"/>
    <x v="3"/>
    <x v="3"/>
    <x v="10"/>
    <x v="2"/>
  </r>
  <r>
    <s v="TX501869"/>
    <x v="4"/>
    <x v="0"/>
    <x v="300"/>
    <x v="337"/>
    <x v="68"/>
    <d v="2025-03-11T00:00:00"/>
    <x v="3"/>
    <x v="0"/>
    <x v="0"/>
    <x v="0"/>
    <x v="3"/>
    <x v="3"/>
    <x v="10"/>
    <x v="3"/>
  </r>
  <r>
    <s v="TX501870"/>
    <x v="8"/>
    <x v="9"/>
    <x v="383"/>
    <x v="1058"/>
    <x v="68"/>
    <d v="2025-03-10T00:00:00"/>
    <x v="2"/>
    <x v="2"/>
    <x v="0"/>
    <x v="0"/>
    <x v="3"/>
    <x v="7"/>
    <x v="10"/>
    <x v="2"/>
  </r>
  <r>
    <s v="TX501871"/>
    <x v="10"/>
    <x v="12"/>
    <x v="299"/>
    <x v="1452"/>
    <x v="68"/>
    <d v="2025-03-13T00:00:00"/>
    <x v="2"/>
    <x v="0"/>
    <x v="2"/>
    <x v="0"/>
    <x v="3"/>
    <x v="2"/>
    <x v="10"/>
    <x v="2"/>
  </r>
  <r>
    <s v="TX501872"/>
    <x v="0"/>
    <x v="1"/>
    <x v="843"/>
    <x v="291"/>
    <x v="68"/>
    <d v="2025-03-12T00:00:00"/>
    <x v="1"/>
    <x v="0"/>
    <x v="2"/>
    <x v="0"/>
    <x v="37"/>
    <x v="1"/>
    <x v="10"/>
    <x v="1"/>
  </r>
  <r>
    <s v="TX501873"/>
    <x v="4"/>
    <x v="9"/>
    <x v="436"/>
    <x v="531"/>
    <x v="68"/>
    <d v="2025-03-11T00:00:00"/>
    <x v="2"/>
    <x v="2"/>
    <x v="0"/>
    <x v="0"/>
    <x v="25"/>
    <x v="3"/>
    <x v="10"/>
    <x v="2"/>
  </r>
  <r>
    <s v="TX501874"/>
    <x v="2"/>
    <x v="11"/>
    <x v="844"/>
    <x v="1453"/>
    <x v="68"/>
    <d v="2025-03-12T00:00:00"/>
    <x v="3"/>
    <x v="2"/>
    <x v="0"/>
    <x v="0"/>
    <x v="5"/>
    <x v="1"/>
    <x v="10"/>
    <x v="3"/>
  </r>
  <r>
    <s v="TX501875"/>
    <x v="6"/>
    <x v="0"/>
    <x v="74"/>
    <x v="1454"/>
    <x v="68"/>
    <d v="2025-03-12T00:00:00"/>
    <x v="2"/>
    <x v="1"/>
    <x v="0"/>
    <x v="0"/>
    <x v="5"/>
    <x v="1"/>
    <x v="10"/>
    <x v="2"/>
  </r>
  <r>
    <s v="TX501876"/>
    <x v="2"/>
    <x v="1"/>
    <x v="466"/>
    <x v="833"/>
    <x v="68"/>
    <d v="2025-03-15T00:00:00"/>
    <x v="2"/>
    <x v="1"/>
    <x v="2"/>
    <x v="0"/>
    <x v="6"/>
    <x v="0"/>
    <x v="10"/>
    <x v="2"/>
  </r>
  <r>
    <s v="TX501877"/>
    <x v="13"/>
    <x v="0"/>
    <x v="217"/>
    <x v="1455"/>
    <x v="68"/>
    <d v="2025-03-11T00:00:00"/>
    <x v="2"/>
    <x v="1"/>
    <x v="1"/>
    <x v="0"/>
    <x v="6"/>
    <x v="3"/>
    <x v="10"/>
    <x v="2"/>
  </r>
  <r>
    <s v="TX501878"/>
    <x v="7"/>
    <x v="9"/>
    <x v="78"/>
    <x v="79"/>
    <x v="68"/>
    <d v="2025-03-12T00:00:00"/>
    <x v="2"/>
    <x v="0"/>
    <x v="0"/>
    <x v="0"/>
    <x v="8"/>
    <x v="1"/>
    <x v="10"/>
    <x v="2"/>
  </r>
  <r>
    <s v="TX501879"/>
    <x v="3"/>
    <x v="0"/>
    <x v="845"/>
    <x v="533"/>
    <x v="68"/>
    <d v="2025-03-11T00:00:00"/>
    <x v="2"/>
    <x v="0"/>
    <x v="0"/>
    <x v="0"/>
    <x v="8"/>
    <x v="3"/>
    <x v="10"/>
    <x v="2"/>
  </r>
  <r>
    <s v="TX501880"/>
    <x v="14"/>
    <x v="0"/>
    <x v="613"/>
    <x v="1456"/>
    <x v="68"/>
    <d v="2025-03-11T00:00:00"/>
    <x v="1"/>
    <x v="0"/>
    <x v="1"/>
    <x v="0"/>
    <x v="8"/>
    <x v="3"/>
    <x v="10"/>
    <x v="1"/>
  </r>
  <r>
    <s v="TX501881"/>
    <x v="9"/>
    <x v="8"/>
    <x v="632"/>
    <x v="895"/>
    <x v="68"/>
    <d v="2025-03-11T00:00:00"/>
    <x v="2"/>
    <x v="1"/>
    <x v="2"/>
    <x v="0"/>
    <x v="8"/>
    <x v="3"/>
    <x v="10"/>
    <x v="2"/>
  </r>
  <r>
    <s v="TX501882"/>
    <x v="11"/>
    <x v="12"/>
    <x v="271"/>
    <x v="1457"/>
    <x v="68"/>
    <d v="2025-03-12T00:00:00"/>
    <x v="2"/>
    <x v="0"/>
    <x v="2"/>
    <x v="0"/>
    <x v="8"/>
    <x v="1"/>
    <x v="10"/>
    <x v="2"/>
  </r>
  <r>
    <s v="TX501883"/>
    <x v="1"/>
    <x v="2"/>
    <x v="556"/>
    <x v="1458"/>
    <x v="68"/>
    <d v="2025-03-12T00:00:00"/>
    <x v="1"/>
    <x v="4"/>
    <x v="2"/>
    <x v="0"/>
    <x v="8"/>
    <x v="1"/>
    <x v="10"/>
    <x v="1"/>
  </r>
  <r>
    <s v="TX501884"/>
    <x v="8"/>
    <x v="12"/>
    <x v="438"/>
    <x v="533"/>
    <x v="68"/>
    <d v="2025-03-13T00:00:00"/>
    <x v="1"/>
    <x v="3"/>
    <x v="0"/>
    <x v="0"/>
    <x v="8"/>
    <x v="2"/>
    <x v="10"/>
    <x v="1"/>
  </r>
  <r>
    <s v="TX501885"/>
    <x v="8"/>
    <x v="2"/>
    <x v="846"/>
    <x v="1459"/>
    <x v="68"/>
    <d v="2025-03-24T00:00:00"/>
    <x v="0"/>
    <x v="0"/>
    <x v="4"/>
    <x v="0"/>
    <x v="8"/>
    <x v="12"/>
    <x v="10"/>
    <x v="0"/>
  </r>
  <r>
    <s v="TX501886"/>
    <x v="1"/>
    <x v="12"/>
    <x v="417"/>
    <x v="1460"/>
    <x v="68"/>
    <d v="2025-03-11T00:00:00"/>
    <x v="1"/>
    <x v="4"/>
    <x v="0"/>
    <x v="0"/>
    <x v="8"/>
    <x v="3"/>
    <x v="10"/>
    <x v="1"/>
  </r>
  <r>
    <s v="TX501887"/>
    <x v="10"/>
    <x v="4"/>
    <x v="43"/>
    <x v="1461"/>
    <x v="68"/>
    <d v="2025-03-13T00:00:00"/>
    <x v="2"/>
    <x v="0"/>
    <x v="2"/>
    <x v="0"/>
    <x v="8"/>
    <x v="2"/>
    <x v="10"/>
    <x v="2"/>
  </r>
  <r>
    <s v="TX501888"/>
    <x v="5"/>
    <x v="21"/>
    <x v="128"/>
    <x v="1462"/>
    <x v="68"/>
    <d v="2025-03-12T00:00:00"/>
    <x v="2"/>
    <x v="0"/>
    <x v="1"/>
    <x v="0"/>
    <x v="9"/>
    <x v="1"/>
    <x v="10"/>
    <x v="2"/>
  </r>
  <r>
    <s v="TX501889"/>
    <x v="16"/>
    <x v="9"/>
    <x v="212"/>
    <x v="1463"/>
    <x v="69"/>
    <d v="2025-03-14T00:00:00"/>
    <x v="2"/>
    <x v="4"/>
    <x v="1"/>
    <x v="0"/>
    <x v="9"/>
    <x v="2"/>
    <x v="10"/>
    <x v="2"/>
  </r>
  <r>
    <s v="TX501890"/>
    <x v="15"/>
    <x v="0"/>
    <x v="425"/>
    <x v="516"/>
    <x v="69"/>
    <d v="2025-03-12T00:00:00"/>
    <x v="1"/>
    <x v="2"/>
    <x v="0"/>
    <x v="0"/>
    <x v="9"/>
    <x v="3"/>
    <x v="10"/>
    <x v="1"/>
  </r>
  <r>
    <s v="TX501891"/>
    <x v="1"/>
    <x v="2"/>
    <x v="847"/>
    <x v="1464"/>
    <x v="69"/>
    <d v="2025-03-13T00:00:00"/>
    <x v="2"/>
    <x v="1"/>
    <x v="2"/>
    <x v="0"/>
    <x v="11"/>
    <x v="1"/>
    <x v="10"/>
    <x v="2"/>
  </r>
  <r>
    <s v="TX501892"/>
    <x v="10"/>
    <x v="1"/>
    <x v="571"/>
    <x v="372"/>
    <x v="69"/>
    <d v="2025-03-17T00:00:00"/>
    <x v="1"/>
    <x v="0"/>
    <x v="0"/>
    <x v="0"/>
    <x v="11"/>
    <x v="4"/>
    <x v="10"/>
    <x v="1"/>
  </r>
  <r>
    <s v="TX501893"/>
    <x v="5"/>
    <x v="0"/>
    <x v="80"/>
    <x v="1465"/>
    <x v="69"/>
    <d v="2025-03-12T00:00:00"/>
    <x v="1"/>
    <x v="2"/>
    <x v="0"/>
    <x v="0"/>
    <x v="31"/>
    <x v="3"/>
    <x v="10"/>
    <x v="1"/>
  </r>
  <r>
    <s v="TX501894"/>
    <x v="9"/>
    <x v="1"/>
    <x v="27"/>
    <x v="1466"/>
    <x v="69"/>
    <d v="2025-03-13T00:00:00"/>
    <x v="1"/>
    <x v="2"/>
    <x v="1"/>
    <x v="0"/>
    <x v="20"/>
    <x v="1"/>
    <x v="10"/>
    <x v="1"/>
  </r>
  <r>
    <s v="TX501895"/>
    <x v="6"/>
    <x v="1"/>
    <x v="344"/>
    <x v="1467"/>
    <x v="69"/>
    <d v="2025-03-13T00:00:00"/>
    <x v="2"/>
    <x v="0"/>
    <x v="4"/>
    <x v="0"/>
    <x v="20"/>
    <x v="1"/>
    <x v="10"/>
    <x v="2"/>
  </r>
  <r>
    <s v="TX501896"/>
    <x v="5"/>
    <x v="2"/>
    <x v="154"/>
    <x v="1468"/>
    <x v="69"/>
    <d v="2025-03-12T00:00:00"/>
    <x v="1"/>
    <x v="2"/>
    <x v="1"/>
    <x v="0"/>
    <x v="52"/>
    <x v="3"/>
    <x v="10"/>
    <x v="1"/>
  </r>
  <r>
    <s v="TX501897"/>
    <x v="6"/>
    <x v="9"/>
    <x v="485"/>
    <x v="1469"/>
    <x v="69"/>
    <d v="2025-03-14T00:00:00"/>
    <x v="1"/>
    <x v="0"/>
    <x v="0"/>
    <x v="0"/>
    <x v="13"/>
    <x v="2"/>
    <x v="10"/>
    <x v="1"/>
  </r>
  <r>
    <s v="TX501898"/>
    <x v="18"/>
    <x v="0"/>
    <x v="614"/>
    <x v="940"/>
    <x v="69"/>
    <d v="2025-03-14T00:00:00"/>
    <x v="1"/>
    <x v="4"/>
    <x v="0"/>
    <x v="0"/>
    <x v="21"/>
    <x v="2"/>
    <x v="10"/>
    <x v="1"/>
  </r>
  <r>
    <s v="TX501899"/>
    <x v="6"/>
    <x v="9"/>
    <x v="649"/>
    <x v="1470"/>
    <x v="69"/>
    <d v="2025-03-24T00:00:00"/>
    <x v="2"/>
    <x v="2"/>
    <x v="0"/>
    <x v="0"/>
    <x v="1"/>
    <x v="10"/>
    <x v="10"/>
    <x v="2"/>
  </r>
  <r>
    <s v="TX501900"/>
    <x v="10"/>
    <x v="46"/>
    <x v="48"/>
    <x v="1471"/>
    <x v="69"/>
    <d v="2025-03-12T00:00:00"/>
    <x v="2"/>
    <x v="2"/>
    <x v="0"/>
    <x v="0"/>
    <x v="1"/>
    <x v="3"/>
    <x v="10"/>
    <x v="2"/>
  </r>
  <r>
    <s v="TX501901"/>
    <x v="17"/>
    <x v="9"/>
    <x v="136"/>
    <x v="309"/>
    <x v="69"/>
    <d v="2025-03-11T00:00:00"/>
    <x v="2"/>
    <x v="1"/>
    <x v="2"/>
    <x v="0"/>
    <x v="3"/>
    <x v="7"/>
    <x v="10"/>
    <x v="2"/>
  </r>
  <r>
    <s v="TX501902"/>
    <x v="2"/>
    <x v="2"/>
    <x v="848"/>
    <x v="1472"/>
    <x v="69"/>
    <d v="2025-03-12T00:00:00"/>
    <x v="2"/>
    <x v="1"/>
    <x v="1"/>
    <x v="0"/>
    <x v="3"/>
    <x v="3"/>
    <x v="10"/>
    <x v="2"/>
  </r>
  <r>
    <s v="TX501903"/>
    <x v="2"/>
    <x v="1"/>
    <x v="849"/>
    <x v="1473"/>
    <x v="69"/>
    <d v="2025-03-12T00:00:00"/>
    <x v="1"/>
    <x v="2"/>
    <x v="4"/>
    <x v="0"/>
    <x v="3"/>
    <x v="3"/>
    <x v="10"/>
    <x v="1"/>
  </r>
  <r>
    <s v="TX501904"/>
    <x v="1"/>
    <x v="0"/>
    <x v="850"/>
    <x v="1474"/>
    <x v="69"/>
    <d v="2025-03-12T00:00:00"/>
    <x v="2"/>
    <x v="0"/>
    <x v="0"/>
    <x v="0"/>
    <x v="3"/>
    <x v="3"/>
    <x v="10"/>
    <x v="2"/>
  </r>
  <r>
    <s v="TX501905"/>
    <x v="12"/>
    <x v="9"/>
    <x v="101"/>
    <x v="1475"/>
    <x v="69"/>
    <d v="2025-03-12T00:00:00"/>
    <x v="2"/>
    <x v="0"/>
    <x v="0"/>
    <x v="0"/>
    <x v="3"/>
    <x v="3"/>
    <x v="10"/>
    <x v="2"/>
  </r>
  <r>
    <s v="TX501906"/>
    <x v="9"/>
    <x v="1"/>
    <x v="464"/>
    <x v="556"/>
    <x v="69"/>
    <d v="2025-03-14T00:00:00"/>
    <x v="1"/>
    <x v="1"/>
    <x v="2"/>
    <x v="0"/>
    <x v="3"/>
    <x v="2"/>
    <x v="10"/>
    <x v="1"/>
  </r>
  <r>
    <s v="TX501907"/>
    <x v="10"/>
    <x v="1"/>
    <x v="183"/>
    <x v="197"/>
    <x v="69"/>
    <d v="2025-03-13T00:00:00"/>
    <x v="1"/>
    <x v="1"/>
    <x v="0"/>
    <x v="0"/>
    <x v="3"/>
    <x v="1"/>
    <x v="10"/>
    <x v="1"/>
  </r>
  <r>
    <s v="TX501908"/>
    <x v="2"/>
    <x v="0"/>
    <x v="618"/>
    <x v="1476"/>
    <x v="69"/>
    <d v="2025-03-12T00:00:00"/>
    <x v="2"/>
    <x v="0"/>
    <x v="2"/>
    <x v="0"/>
    <x v="3"/>
    <x v="3"/>
    <x v="10"/>
    <x v="2"/>
  </r>
  <r>
    <s v="TX501909"/>
    <x v="18"/>
    <x v="12"/>
    <x v="239"/>
    <x v="394"/>
    <x v="69"/>
    <d v="2025-03-14T00:00:00"/>
    <x v="0"/>
    <x v="1"/>
    <x v="0"/>
    <x v="0"/>
    <x v="3"/>
    <x v="2"/>
    <x v="10"/>
    <x v="0"/>
  </r>
  <r>
    <s v="TX501910"/>
    <x v="6"/>
    <x v="5"/>
    <x v="851"/>
    <x v="1477"/>
    <x v="69"/>
    <d v="2025-03-12T00:00:00"/>
    <x v="2"/>
    <x v="4"/>
    <x v="0"/>
    <x v="0"/>
    <x v="3"/>
    <x v="3"/>
    <x v="10"/>
    <x v="2"/>
  </r>
  <r>
    <s v="TX501911"/>
    <x v="8"/>
    <x v="2"/>
    <x v="478"/>
    <x v="1478"/>
    <x v="69"/>
    <d v="2025-03-12T00:00:00"/>
    <x v="2"/>
    <x v="4"/>
    <x v="4"/>
    <x v="0"/>
    <x v="3"/>
    <x v="3"/>
    <x v="10"/>
    <x v="2"/>
  </r>
  <r>
    <s v="TX501912"/>
    <x v="1"/>
    <x v="0"/>
    <x v="7"/>
    <x v="518"/>
    <x v="69"/>
    <d v="2025-03-12T00:00:00"/>
    <x v="3"/>
    <x v="1"/>
    <x v="0"/>
    <x v="0"/>
    <x v="3"/>
    <x v="3"/>
    <x v="10"/>
    <x v="3"/>
  </r>
  <r>
    <s v="TX501913"/>
    <x v="6"/>
    <x v="1"/>
    <x v="586"/>
    <x v="1479"/>
    <x v="69"/>
    <d v="2025-03-16T00:00:00"/>
    <x v="1"/>
    <x v="0"/>
    <x v="2"/>
    <x v="0"/>
    <x v="6"/>
    <x v="0"/>
    <x v="10"/>
    <x v="1"/>
  </r>
  <r>
    <s v="TX501914"/>
    <x v="8"/>
    <x v="2"/>
    <x v="297"/>
    <x v="1435"/>
    <x v="69"/>
    <d v="2025-03-16T00:00:00"/>
    <x v="2"/>
    <x v="4"/>
    <x v="0"/>
    <x v="0"/>
    <x v="7"/>
    <x v="0"/>
    <x v="10"/>
    <x v="2"/>
  </r>
  <r>
    <s v="TX501915"/>
    <x v="2"/>
    <x v="2"/>
    <x v="852"/>
    <x v="1480"/>
    <x v="69"/>
    <d v="2025-03-13T00:00:00"/>
    <x v="2"/>
    <x v="0"/>
    <x v="1"/>
    <x v="0"/>
    <x v="7"/>
    <x v="1"/>
    <x v="10"/>
    <x v="2"/>
  </r>
  <r>
    <s v="TX501916"/>
    <x v="1"/>
    <x v="1"/>
    <x v="853"/>
    <x v="154"/>
    <x v="69"/>
    <d v="2025-03-11T00:00:00"/>
    <x v="2"/>
    <x v="1"/>
    <x v="0"/>
    <x v="0"/>
    <x v="8"/>
    <x v="7"/>
    <x v="10"/>
    <x v="2"/>
  </r>
  <r>
    <s v="TX501917"/>
    <x v="6"/>
    <x v="0"/>
    <x v="313"/>
    <x v="1481"/>
    <x v="69"/>
    <d v="2025-03-13T00:00:00"/>
    <x v="3"/>
    <x v="1"/>
    <x v="0"/>
    <x v="0"/>
    <x v="8"/>
    <x v="1"/>
    <x v="10"/>
    <x v="3"/>
  </r>
  <r>
    <s v="TX501918"/>
    <x v="9"/>
    <x v="2"/>
    <x v="854"/>
    <x v="1173"/>
    <x v="69"/>
    <d v="2025-03-13T00:00:00"/>
    <x v="2"/>
    <x v="4"/>
    <x v="2"/>
    <x v="0"/>
    <x v="8"/>
    <x v="1"/>
    <x v="10"/>
    <x v="2"/>
  </r>
  <r>
    <s v="TX501919"/>
    <x v="0"/>
    <x v="0"/>
    <x v="150"/>
    <x v="1482"/>
    <x v="70"/>
    <d v="2025-03-15T00:00:00"/>
    <x v="2"/>
    <x v="0"/>
    <x v="1"/>
    <x v="0"/>
    <x v="8"/>
    <x v="2"/>
    <x v="10"/>
    <x v="2"/>
  </r>
  <r>
    <s v="TX501920"/>
    <x v="4"/>
    <x v="12"/>
    <x v="334"/>
    <x v="381"/>
    <x v="70"/>
    <d v="2025-03-13T00:00:00"/>
    <x v="1"/>
    <x v="2"/>
    <x v="1"/>
    <x v="0"/>
    <x v="17"/>
    <x v="3"/>
    <x v="10"/>
    <x v="1"/>
  </r>
  <r>
    <s v="TX501921"/>
    <x v="5"/>
    <x v="1"/>
    <x v="740"/>
    <x v="1483"/>
    <x v="70"/>
    <d v="2025-03-13T00:00:00"/>
    <x v="1"/>
    <x v="0"/>
    <x v="1"/>
    <x v="0"/>
    <x v="26"/>
    <x v="3"/>
    <x v="10"/>
    <x v="1"/>
  </r>
  <r>
    <s v="TX501922"/>
    <x v="7"/>
    <x v="1"/>
    <x v="461"/>
    <x v="1484"/>
    <x v="70"/>
    <d v="2025-03-14T00:00:00"/>
    <x v="1"/>
    <x v="4"/>
    <x v="1"/>
    <x v="0"/>
    <x v="9"/>
    <x v="1"/>
    <x v="10"/>
    <x v="1"/>
  </r>
  <r>
    <s v="TX501923"/>
    <x v="2"/>
    <x v="13"/>
    <x v="753"/>
    <x v="1485"/>
    <x v="70"/>
    <d v="2025-03-13T00:00:00"/>
    <x v="1"/>
    <x v="3"/>
    <x v="2"/>
    <x v="0"/>
    <x v="9"/>
    <x v="3"/>
    <x v="10"/>
    <x v="1"/>
  </r>
  <r>
    <s v="TX501924"/>
    <x v="2"/>
    <x v="2"/>
    <x v="724"/>
    <x v="1486"/>
    <x v="70"/>
    <d v="2025-03-14T00:00:00"/>
    <x v="2"/>
    <x v="1"/>
    <x v="0"/>
    <x v="0"/>
    <x v="11"/>
    <x v="1"/>
    <x v="10"/>
    <x v="2"/>
  </r>
  <r>
    <s v="TX501925"/>
    <x v="18"/>
    <x v="1"/>
    <x v="340"/>
    <x v="1487"/>
    <x v="70"/>
    <d v="2025-03-15T00:00:00"/>
    <x v="2"/>
    <x v="4"/>
    <x v="0"/>
    <x v="0"/>
    <x v="11"/>
    <x v="2"/>
    <x v="10"/>
    <x v="2"/>
  </r>
  <r>
    <s v="TX501926"/>
    <x v="5"/>
    <x v="2"/>
    <x v="855"/>
    <x v="1488"/>
    <x v="70"/>
    <d v="2025-03-12T00:00:00"/>
    <x v="2"/>
    <x v="2"/>
    <x v="2"/>
    <x v="0"/>
    <x v="18"/>
    <x v="7"/>
    <x v="10"/>
    <x v="2"/>
  </r>
  <r>
    <s v="TX501927"/>
    <x v="10"/>
    <x v="2"/>
    <x v="134"/>
    <x v="1489"/>
    <x v="70"/>
    <d v="2025-03-12T00:00:00"/>
    <x v="0"/>
    <x v="2"/>
    <x v="2"/>
    <x v="0"/>
    <x v="19"/>
    <x v="7"/>
    <x v="10"/>
    <x v="0"/>
  </r>
  <r>
    <s v="TX501928"/>
    <x v="8"/>
    <x v="10"/>
    <x v="856"/>
    <x v="1490"/>
    <x v="70"/>
    <d v="2025-03-14T00:00:00"/>
    <x v="3"/>
    <x v="2"/>
    <x v="0"/>
    <x v="0"/>
    <x v="20"/>
    <x v="1"/>
    <x v="10"/>
    <x v="3"/>
  </r>
  <r>
    <s v="TX501929"/>
    <x v="12"/>
    <x v="2"/>
    <x v="313"/>
    <x v="756"/>
    <x v="70"/>
    <d v="2025-03-20T00:00:00"/>
    <x v="2"/>
    <x v="0"/>
    <x v="0"/>
    <x v="0"/>
    <x v="21"/>
    <x v="9"/>
    <x v="10"/>
    <x v="2"/>
  </r>
  <r>
    <s v="TX501930"/>
    <x v="10"/>
    <x v="1"/>
    <x v="79"/>
    <x v="855"/>
    <x v="70"/>
    <d v="2025-03-15T00:00:00"/>
    <x v="1"/>
    <x v="2"/>
    <x v="4"/>
    <x v="0"/>
    <x v="21"/>
    <x v="2"/>
    <x v="10"/>
    <x v="1"/>
  </r>
  <r>
    <s v="TX501931"/>
    <x v="3"/>
    <x v="9"/>
    <x v="192"/>
    <x v="1491"/>
    <x v="70"/>
    <d v="2025-03-16T00:00:00"/>
    <x v="1"/>
    <x v="3"/>
    <x v="0"/>
    <x v="0"/>
    <x v="21"/>
    <x v="5"/>
    <x v="10"/>
    <x v="1"/>
  </r>
  <r>
    <s v="TX501932"/>
    <x v="9"/>
    <x v="8"/>
    <x v="18"/>
    <x v="18"/>
    <x v="70"/>
    <d v="2025-03-14T00:00:00"/>
    <x v="2"/>
    <x v="0"/>
    <x v="0"/>
    <x v="0"/>
    <x v="1"/>
    <x v="1"/>
    <x v="10"/>
    <x v="2"/>
  </r>
  <r>
    <s v="TX501933"/>
    <x v="9"/>
    <x v="0"/>
    <x v="160"/>
    <x v="168"/>
    <x v="70"/>
    <d v="2025-03-13T00:00:00"/>
    <x v="2"/>
    <x v="0"/>
    <x v="2"/>
    <x v="0"/>
    <x v="34"/>
    <x v="3"/>
    <x v="10"/>
    <x v="2"/>
  </r>
  <r>
    <s v="TX501934"/>
    <x v="14"/>
    <x v="0"/>
    <x v="585"/>
    <x v="1492"/>
    <x v="70"/>
    <d v="2025-03-13T00:00:00"/>
    <x v="1"/>
    <x v="0"/>
    <x v="0"/>
    <x v="0"/>
    <x v="3"/>
    <x v="3"/>
    <x v="10"/>
    <x v="1"/>
  </r>
  <r>
    <s v="TX501935"/>
    <x v="17"/>
    <x v="0"/>
    <x v="90"/>
    <x v="1493"/>
    <x v="70"/>
    <d v="2025-03-15T00:00:00"/>
    <x v="2"/>
    <x v="3"/>
    <x v="1"/>
    <x v="0"/>
    <x v="3"/>
    <x v="2"/>
    <x v="10"/>
    <x v="2"/>
  </r>
  <r>
    <s v="TX501936"/>
    <x v="8"/>
    <x v="0"/>
    <x v="857"/>
    <x v="1494"/>
    <x v="70"/>
    <d v="2025-03-13T00:00:00"/>
    <x v="1"/>
    <x v="3"/>
    <x v="0"/>
    <x v="0"/>
    <x v="3"/>
    <x v="3"/>
    <x v="10"/>
    <x v="1"/>
  </r>
  <r>
    <s v="TX501937"/>
    <x v="1"/>
    <x v="2"/>
    <x v="259"/>
    <x v="1348"/>
    <x v="70"/>
    <d v="2025-03-17T00:00:00"/>
    <x v="2"/>
    <x v="2"/>
    <x v="1"/>
    <x v="0"/>
    <x v="3"/>
    <x v="0"/>
    <x v="10"/>
    <x v="2"/>
  </r>
  <r>
    <s v="TX501938"/>
    <x v="1"/>
    <x v="3"/>
    <x v="858"/>
    <x v="1495"/>
    <x v="70"/>
    <d v="2025-03-12T00:00:00"/>
    <x v="2"/>
    <x v="0"/>
    <x v="1"/>
    <x v="0"/>
    <x v="3"/>
    <x v="7"/>
    <x v="10"/>
    <x v="2"/>
  </r>
  <r>
    <s v="TX501939"/>
    <x v="0"/>
    <x v="1"/>
    <x v="736"/>
    <x v="1400"/>
    <x v="70"/>
    <d v="2025-03-13T00:00:00"/>
    <x v="1"/>
    <x v="0"/>
    <x v="1"/>
    <x v="0"/>
    <x v="3"/>
    <x v="3"/>
    <x v="10"/>
    <x v="1"/>
  </r>
  <r>
    <s v="TX501940"/>
    <x v="11"/>
    <x v="5"/>
    <x v="669"/>
    <x v="1496"/>
    <x v="70"/>
    <d v="2025-03-13T00:00:00"/>
    <x v="1"/>
    <x v="0"/>
    <x v="0"/>
    <x v="0"/>
    <x v="3"/>
    <x v="3"/>
    <x v="10"/>
    <x v="1"/>
  </r>
  <r>
    <s v="TX501941"/>
    <x v="15"/>
    <x v="3"/>
    <x v="430"/>
    <x v="1497"/>
    <x v="70"/>
    <d v="2025-03-13T00:00:00"/>
    <x v="1"/>
    <x v="1"/>
    <x v="0"/>
    <x v="0"/>
    <x v="3"/>
    <x v="3"/>
    <x v="10"/>
    <x v="1"/>
  </r>
  <r>
    <s v="TX501942"/>
    <x v="2"/>
    <x v="0"/>
    <x v="448"/>
    <x v="1498"/>
    <x v="70"/>
    <d v="2025-03-13T00:00:00"/>
    <x v="2"/>
    <x v="2"/>
    <x v="1"/>
    <x v="0"/>
    <x v="3"/>
    <x v="3"/>
    <x v="10"/>
    <x v="2"/>
  </r>
  <r>
    <s v="TX501943"/>
    <x v="2"/>
    <x v="1"/>
    <x v="668"/>
    <x v="981"/>
    <x v="70"/>
    <d v="2025-03-18T00:00:00"/>
    <x v="1"/>
    <x v="1"/>
    <x v="4"/>
    <x v="0"/>
    <x v="25"/>
    <x v="4"/>
    <x v="10"/>
    <x v="1"/>
  </r>
  <r>
    <s v="TX501944"/>
    <x v="2"/>
    <x v="9"/>
    <x v="424"/>
    <x v="1499"/>
    <x v="70"/>
    <d v="2025-03-15T00:00:00"/>
    <x v="1"/>
    <x v="1"/>
    <x v="0"/>
    <x v="0"/>
    <x v="7"/>
    <x v="2"/>
    <x v="10"/>
    <x v="1"/>
  </r>
  <r>
    <s v="TX501945"/>
    <x v="2"/>
    <x v="1"/>
    <x v="859"/>
    <x v="277"/>
    <x v="70"/>
    <d v="2025-03-15T00:00:00"/>
    <x v="1"/>
    <x v="1"/>
    <x v="0"/>
    <x v="0"/>
    <x v="8"/>
    <x v="2"/>
    <x v="10"/>
    <x v="1"/>
  </r>
  <r>
    <s v="TX501946"/>
    <x v="12"/>
    <x v="13"/>
    <x v="219"/>
    <x v="592"/>
    <x v="70"/>
    <d v="2025-03-23T00:00:00"/>
    <x v="1"/>
    <x v="0"/>
    <x v="0"/>
    <x v="0"/>
    <x v="8"/>
    <x v="11"/>
    <x v="10"/>
    <x v="1"/>
  </r>
  <r>
    <s v="TX501947"/>
    <x v="4"/>
    <x v="0"/>
    <x v="468"/>
    <x v="1500"/>
    <x v="70"/>
    <d v="2025-03-13T00:00:00"/>
    <x v="0"/>
    <x v="0"/>
    <x v="1"/>
    <x v="0"/>
    <x v="8"/>
    <x v="3"/>
    <x v="10"/>
    <x v="0"/>
  </r>
  <r>
    <s v="TX501948"/>
    <x v="6"/>
    <x v="2"/>
    <x v="235"/>
    <x v="1501"/>
    <x v="70"/>
    <d v="2025-03-14T00:00:00"/>
    <x v="1"/>
    <x v="0"/>
    <x v="1"/>
    <x v="0"/>
    <x v="8"/>
    <x v="1"/>
    <x v="10"/>
    <x v="1"/>
  </r>
  <r>
    <s v="TX501949"/>
    <x v="3"/>
    <x v="0"/>
    <x v="430"/>
    <x v="853"/>
    <x v="70"/>
    <d v="2025-03-14T00:00:00"/>
    <x v="2"/>
    <x v="0"/>
    <x v="0"/>
    <x v="0"/>
    <x v="8"/>
    <x v="1"/>
    <x v="10"/>
    <x v="2"/>
  </r>
  <r>
    <s v="TX501950"/>
    <x v="13"/>
    <x v="20"/>
    <x v="34"/>
    <x v="1502"/>
    <x v="70"/>
    <d v="2025-03-14T00:00:00"/>
    <x v="2"/>
    <x v="4"/>
    <x v="0"/>
    <x v="0"/>
    <x v="11"/>
    <x v="1"/>
    <x v="10"/>
    <x v="2"/>
  </r>
  <r>
    <s v="TX501951"/>
    <x v="10"/>
    <x v="16"/>
    <x v="153"/>
    <x v="1503"/>
    <x v="71"/>
    <d v="2025-03-14T00:00:00"/>
    <x v="1"/>
    <x v="0"/>
    <x v="2"/>
    <x v="0"/>
    <x v="11"/>
    <x v="3"/>
    <x v="10"/>
    <x v="1"/>
  </r>
  <r>
    <s v="TX501952"/>
    <x v="0"/>
    <x v="12"/>
    <x v="860"/>
    <x v="86"/>
    <x v="71"/>
    <d v="2025-03-15T00:00:00"/>
    <x v="2"/>
    <x v="1"/>
    <x v="0"/>
    <x v="0"/>
    <x v="20"/>
    <x v="1"/>
    <x v="10"/>
    <x v="2"/>
  </r>
  <r>
    <s v="TX501953"/>
    <x v="3"/>
    <x v="13"/>
    <x v="861"/>
    <x v="1504"/>
    <x v="71"/>
    <d v="2025-03-14T00:00:00"/>
    <x v="1"/>
    <x v="0"/>
    <x v="0"/>
    <x v="0"/>
    <x v="21"/>
    <x v="3"/>
    <x v="10"/>
    <x v="1"/>
  </r>
  <r>
    <s v="TX501954"/>
    <x v="0"/>
    <x v="3"/>
    <x v="862"/>
    <x v="11"/>
    <x v="71"/>
    <d v="2025-03-16T00:00:00"/>
    <x v="1"/>
    <x v="0"/>
    <x v="1"/>
    <x v="0"/>
    <x v="22"/>
    <x v="2"/>
    <x v="10"/>
    <x v="1"/>
  </r>
  <r>
    <s v="TX501955"/>
    <x v="16"/>
    <x v="12"/>
    <x v="81"/>
    <x v="1505"/>
    <x v="71"/>
    <d v="2025-03-15T00:00:00"/>
    <x v="2"/>
    <x v="4"/>
    <x v="2"/>
    <x v="0"/>
    <x v="3"/>
    <x v="1"/>
    <x v="10"/>
    <x v="2"/>
  </r>
  <r>
    <s v="TX501956"/>
    <x v="2"/>
    <x v="1"/>
    <x v="863"/>
    <x v="1506"/>
    <x v="71"/>
    <d v="2025-03-17T00:00:00"/>
    <x v="2"/>
    <x v="0"/>
    <x v="1"/>
    <x v="0"/>
    <x v="3"/>
    <x v="5"/>
    <x v="10"/>
    <x v="2"/>
  </r>
  <r>
    <s v="TX501957"/>
    <x v="1"/>
    <x v="0"/>
    <x v="196"/>
    <x v="510"/>
    <x v="71"/>
    <d v="2025-03-15T00:00:00"/>
    <x v="2"/>
    <x v="1"/>
    <x v="2"/>
    <x v="0"/>
    <x v="3"/>
    <x v="1"/>
    <x v="10"/>
    <x v="2"/>
  </r>
  <r>
    <s v="TX501958"/>
    <x v="2"/>
    <x v="0"/>
    <x v="864"/>
    <x v="234"/>
    <x v="71"/>
    <d v="2025-03-16T00:00:00"/>
    <x v="1"/>
    <x v="1"/>
    <x v="1"/>
    <x v="0"/>
    <x v="3"/>
    <x v="2"/>
    <x v="10"/>
    <x v="1"/>
  </r>
  <r>
    <s v="TX501959"/>
    <x v="10"/>
    <x v="2"/>
    <x v="277"/>
    <x v="122"/>
    <x v="71"/>
    <d v="2025-03-15T00:00:00"/>
    <x v="2"/>
    <x v="1"/>
    <x v="2"/>
    <x v="0"/>
    <x v="3"/>
    <x v="1"/>
    <x v="10"/>
    <x v="2"/>
  </r>
  <r>
    <s v="TX501960"/>
    <x v="7"/>
    <x v="15"/>
    <x v="567"/>
    <x v="1507"/>
    <x v="71"/>
    <d v="2025-03-13T00:00:00"/>
    <x v="1"/>
    <x v="0"/>
    <x v="0"/>
    <x v="0"/>
    <x v="25"/>
    <x v="7"/>
    <x v="10"/>
    <x v="1"/>
  </r>
  <r>
    <s v="TX501961"/>
    <x v="6"/>
    <x v="1"/>
    <x v="865"/>
    <x v="1508"/>
    <x v="71"/>
    <d v="2025-03-14T00:00:00"/>
    <x v="1"/>
    <x v="4"/>
    <x v="1"/>
    <x v="0"/>
    <x v="25"/>
    <x v="3"/>
    <x v="10"/>
    <x v="1"/>
  </r>
  <r>
    <s v="TX501962"/>
    <x v="6"/>
    <x v="25"/>
    <x v="866"/>
    <x v="1509"/>
    <x v="71"/>
    <d v="2025-03-14T00:00:00"/>
    <x v="1"/>
    <x v="0"/>
    <x v="1"/>
    <x v="0"/>
    <x v="6"/>
    <x v="3"/>
    <x v="10"/>
    <x v="1"/>
  </r>
  <r>
    <s v="TX501963"/>
    <x v="1"/>
    <x v="44"/>
    <x v="45"/>
    <x v="1510"/>
    <x v="71"/>
    <d v="2025-03-14T00:00:00"/>
    <x v="2"/>
    <x v="2"/>
    <x v="0"/>
    <x v="0"/>
    <x v="8"/>
    <x v="3"/>
    <x v="10"/>
    <x v="2"/>
  </r>
  <r>
    <s v="TX501964"/>
    <x v="2"/>
    <x v="1"/>
    <x v="526"/>
    <x v="1511"/>
    <x v="71"/>
    <d v="2025-03-14T00:00:00"/>
    <x v="1"/>
    <x v="2"/>
    <x v="2"/>
    <x v="0"/>
    <x v="8"/>
    <x v="3"/>
    <x v="10"/>
    <x v="1"/>
  </r>
  <r>
    <s v="TX501965"/>
    <x v="9"/>
    <x v="12"/>
    <x v="429"/>
    <x v="1512"/>
    <x v="71"/>
    <d v="2025-03-14T00:00:00"/>
    <x v="2"/>
    <x v="2"/>
    <x v="4"/>
    <x v="0"/>
    <x v="9"/>
    <x v="3"/>
    <x v="10"/>
    <x v="2"/>
  </r>
  <r>
    <s v="TX501966"/>
    <x v="2"/>
    <x v="3"/>
    <x v="867"/>
    <x v="1513"/>
    <x v="71"/>
    <d v="2025-03-14T00:00:00"/>
    <x v="1"/>
    <x v="1"/>
    <x v="0"/>
    <x v="0"/>
    <x v="11"/>
    <x v="3"/>
    <x v="10"/>
    <x v="1"/>
  </r>
  <r>
    <s v="TX501967"/>
    <x v="17"/>
    <x v="27"/>
    <x v="332"/>
    <x v="1213"/>
    <x v="71"/>
    <d v="2025-03-14T00:00:00"/>
    <x v="1"/>
    <x v="1"/>
    <x v="1"/>
    <x v="0"/>
    <x v="32"/>
    <x v="3"/>
    <x v="10"/>
    <x v="1"/>
  </r>
  <r>
    <s v="TX501968"/>
    <x v="3"/>
    <x v="9"/>
    <x v="602"/>
    <x v="1514"/>
    <x v="71"/>
    <d v="2025-03-15T00:00:00"/>
    <x v="2"/>
    <x v="3"/>
    <x v="0"/>
    <x v="0"/>
    <x v="18"/>
    <x v="1"/>
    <x v="10"/>
    <x v="2"/>
  </r>
  <r>
    <s v="TX501969"/>
    <x v="7"/>
    <x v="9"/>
    <x v="827"/>
    <x v="1515"/>
    <x v="71"/>
    <d v="2025-03-21T00:00:00"/>
    <x v="3"/>
    <x v="1"/>
    <x v="1"/>
    <x v="0"/>
    <x v="19"/>
    <x v="9"/>
    <x v="10"/>
    <x v="3"/>
  </r>
  <r>
    <s v="TX501970"/>
    <x v="2"/>
    <x v="2"/>
    <x v="868"/>
    <x v="1516"/>
    <x v="71"/>
    <d v="2025-03-15T00:00:00"/>
    <x v="0"/>
    <x v="2"/>
    <x v="0"/>
    <x v="0"/>
    <x v="21"/>
    <x v="1"/>
    <x v="10"/>
    <x v="0"/>
  </r>
  <r>
    <s v="TX501971"/>
    <x v="8"/>
    <x v="1"/>
    <x v="711"/>
    <x v="1517"/>
    <x v="71"/>
    <d v="2025-03-15T00:00:00"/>
    <x v="2"/>
    <x v="2"/>
    <x v="4"/>
    <x v="0"/>
    <x v="51"/>
    <x v="1"/>
    <x v="10"/>
    <x v="2"/>
  </r>
  <r>
    <s v="TX501972"/>
    <x v="11"/>
    <x v="9"/>
    <x v="152"/>
    <x v="308"/>
    <x v="71"/>
    <d v="2025-03-14T00:00:00"/>
    <x v="1"/>
    <x v="0"/>
    <x v="0"/>
    <x v="0"/>
    <x v="1"/>
    <x v="3"/>
    <x v="10"/>
    <x v="1"/>
  </r>
  <r>
    <s v="TX501973"/>
    <x v="6"/>
    <x v="2"/>
    <x v="572"/>
    <x v="1256"/>
    <x v="71"/>
    <d v="2025-03-14T00:00:00"/>
    <x v="1"/>
    <x v="4"/>
    <x v="2"/>
    <x v="0"/>
    <x v="1"/>
    <x v="3"/>
    <x v="10"/>
    <x v="1"/>
  </r>
  <r>
    <s v="TX501974"/>
    <x v="0"/>
    <x v="12"/>
    <x v="580"/>
    <x v="1518"/>
    <x v="71"/>
    <d v="2025-03-17T00:00:00"/>
    <x v="2"/>
    <x v="4"/>
    <x v="0"/>
    <x v="0"/>
    <x v="1"/>
    <x v="5"/>
    <x v="10"/>
    <x v="2"/>
  </r>
  <r>
    <s v="TX501975"/>
    <x v="18"/>
    <x v="12"/>
    <x v="869"/>
    <x v="1519"/>
    <x v="71"/>
    <d v="2025-03-14T00:00:00"/>
    <x v="2"/>
    <x v="4"/>
    <x v="0"/>
    <x v="0"/>
    <x v="1"/>
    <x v="3"/>
    <x v="10"/>
    <x v="2"/>
  </r>
  <r>
    <s v="TX501976"/>
    <x v="9"/>
    <x v="0"/>
    <x v="275"/>
    <x v="1520"/>
    <x v="71"/>
    <d v="2025-03-15T00:00:00"/>
    <x v="1"/>
    <x v="1"/>
    <x v="2"/>
    <x v="0"/>
    <x v="1"/>
    <x v="1"/>
    <x v="10"/>
    <x v="1"/>
  </r>
  <r>
    <s v="TX501977"/>
    <x v="13"/>
    <x v="12"/>
    <x v="647"/>
    <x v="833"/>
    <x v="72"/>
    <d v="2025-03-15T00:00:00"/>
    <x v="1"/>
    <x v="2"/>
    <x v="2"/>
    <x v="0"/>
    <x v="33"/>
    <x v="3"/>
    <x v="10"/>
    <x v="1"/>
  </r>
  <r>
    <s v="TX501978"/>
    <x v="8"/>
    <x v="9"/>
    <x v="581"/>
    <x v="973"/>
    <x v="72"/>
    <d v="2025-03-22T00:00:00"/>
    <x v="3"/>
    <x v="2"/>
    <x v="1"/>
    <x v="0"/>
    <x v="33"/>
    <x v="9"/>
    <x v="10"/>
    <x v="3"/>
  </r>
  <r>
    <s v="TX501979"/>
    <x v="8"/>
    <x v="2"/>
    <x v="232"/>
    <x v="427"/>
    <x v="72"/>
    <d v="2025-03-26T00:00:00"/>
    <x v="1"/>
    <x v="0"/>
    <x v="2"/>
    <x v="0"/>
    <x v="22"/>
    <x v="13"/>
    <x v="10"/>
    <x v="1"/>
  </r>
  <r>
    <s v="TX501980"/>
    <x v="4"/>
    <x v="7"/>
    <x v="307"/>
    <x v="1521"/>
    <x v="72"/>
    <d v="2025-03-14T00:00:00"/>
    <x v="1"/>
    <x v="3"/>
    <x v="2"/>
    <x v="0"/>
    <x v="3"/>
    <x v="7"/>
    <x v="10"/>
    <x v="1"/>
  </r>
  <r>
    <s v="TX501981"/>
    <x v="16"/>
    <x v="2"/>
    <x v="405"/>
    <x v="1522"/>
    <x v="72"/>
    <d v="2025-03-18T00:00:00"/>
    <x v="2"/>
    <x v="0"/>
    <x v="2"/>
    <x v="0"/>
    <x v="3"/>
    <x v="5"/>
    <x v="10"/>
    <x v="2"/>
  </r>
  <r>
    <s v="TX501982"/>
    <x v="1"/>
    <x v="0"/>
    <x v="870"/>
    <x v="1523"/>
    <x v="72"/>
    <d v="2025-03-15T00:00:00"/>
    <x v="2"/>
    <x v="2"/>
    <x v="2"/>
    <x v="0"/>
    <x v="3"/>
    <x v="3"/>
    <x v="10"/>
    <x v="2"/>
  </r>
  <r>
    <s v="TX501983"/>
    <x v="10"/>
    <x v="1"/>
    <x v="341"/>
    <x v="527"/>
    <x v="72"/>
    <d v="2025-03-18T00:00:00"/>
    <x v="1"/>
    <x v="0"/>
    <x v="2"/>
    <x v="0"/>
    <x v="3"/>
    <x v="5"/>
    <x v="10"/>
    <x v="1"/>
  </r>
  <r>
    <s v="TX501984"/>
    <x v="3"/>
    <x v="0"/>
    <x v="160"/>
    <x v="168"/>
    <x v="72"/>
    <d v="2025-03-15T00:00:00"/>
    <x v="2"/>
    <x v="4"/>
    <x v="0"/>
    <x v="0"/>
    <x v="3"/>
    <x v="3"/>
    <x v="10"/>
    <x v="2"/>
  </r>
  <r>
    <s v="TX501985"/>
    <x v="1"/>
    <x v="1"/>
    <x v="294"/>
    <x v="1524"/>
    <x v="72"/>
    <d v="2025-03-16T00:00:00"/>
    <x v="2"/>
    <x v="0"/>
    <x v="2"/>
    <x v="0"/>
    <x v="3"/>
    <x v="1"/>
    <x v="10"/>
    <x v="2"/>
  </r>
  <r>
    <s v="TX501986"/>
    <x v="10"/>
    <x v="0"/>
    <x v="588"/>
    <x v="798"/>
    <x v="72"/>
    <d v="2025-03-16T00:00:00"/>
    <x v="2"/>
    <x v="0"/>
    <x v="4"/>
    <x v="0"/>
    <x v="3"/>
    <x v="1"/>
    <x v="10"/>
    <x v="2"/>
  </r>
  <r>
    <s v="TX501987"/>
    <x v="12"/>
    <x v="2"/>
    <x v="466"/>
    <x v="1525"/>
    <x v="72"/>
    <d v="2025-03-18T00:00:00"/>
    <x v="1"/>
    <x v="0"/>
    <x v="2"/>
    <x v="0"/>
    <x v="25"/>
    <x v="5"/>
    <x v="10"/>
    <x v="1"/>
  </r>
  <r>
    <s v="TX501988"/>
    <x v="2"/>
    <x v="2"/>
    <x v="871"/>
    <x v="1526"/>
    <x v="73"/>
    <d v="2025-03-17T00:00:00"/>
    <x v="0"/>
    <x v="0"/>
    <x v="0"/>
    <x v="0"/>
    <x v="6"/>
    <x v="1"/>
    <x v="10"/>
    <x v="0"/>
  </r>
  <r>
    <s v="TX501989"/>
    <x v="1"/>
    <x v="1"/>
    <x v="785"/>
    <x v="1527"/>
    <x v="73"/>
    <d v="2025-03-18T00:00:00"/>
    <x v="2"/>
    <x v="0"/>
    <x v="1"/>
    <x v="0"/>
    <x v="6"/>
    <x v="2"/>
    <x v="10"/>
    <x v="2"/>
  </r>
  <r>
    <s v="TX501990"/>
    <x v="6"/>
    <x v="9"/>
    <x v="774"/>
    <x v="1528"/>
    <x v="73"/>
    <d v="2025-03-16T00:00:00"/>
    <x v="0"/>
    <x v="0"/>
    <x v="1"/>
    <x v="0"/>
    <x v="6"/>
    <x v="3"/>
    <x v="10"/>
    <x v="0"/>
  </r>
  <r>
    <s v="TX501991"/>
    <x v="1"/>
    <x v="1"/>
    <x v="470"/>
    <x v="1109"/>
    <x v="73"/>
    <d v="2025-03-17T00:00:00"/>
    <x v="0"/>
    <x v="0"/>
    <x v="1"/>
    <x v="0"/>
    <x v="8"/>
    <x v="1"/>
    <x v="10"/>
    <x v="0"/>
  </r>
  <r>
    <s v="TX501992"/>
    <x v="6"/>
    <x v="27"/>
    <x v="589"/>
    <x v="1529"/>
    <x v="73"/>
    <d v="2025-03-16T00:00:00"/>
    <x v="2"/>
    <x v="1"/>
    <x v="0"/>
    <x v="0"/>
    <x v="8"/>
    <x v="3"/>
    <x v="10"/>
    <x v="2"/>
  </r>
  <r>
    <s v="TX501993"/>
    <x v="9"/>
    <x v="0"/>
    <x v="20"/>
    <x v="328"/>
    <x v="73"/>
    <d v="2025-03-22T00:00:00"/>
    <x v="2"/>
    <x v="0"/>
    <x v="2"/>
    <x v="0"/>
    <x v="8"/>
    <x v="6"/>
    <x v="10"/>
    <x v="2"/>
  </r>
  <r>
    <s v="TX501994"/>
    <x v="5"/>
    <x v="2"/>
    <x v="582"/>
    <x v="1530"/>
    <x v="73"/>
    <d v="2025-03-16T00:00:00"/>
    <x v="1"/>
    <x v="3"/>
    <x v="0"/>
    <x v="0"/>
    <x v="8"/>
    <x v="3"/>
    <x v="10"/>
    <x v="1"/>
  </r>
  <r>
    <s v="TX501995"/>
    <x v="12"/>
    <x v="1"/>
    <x v="872"/>
    <x v="1531"/>
    <x v="73"/>
    <d v="2025-03-18T00:00:00"/>
    <x v="1"/>
    <x v="4"/>
    <x v="1"/>
    <x v="0"/>
    <x v="8"/>
    <x v="2"/>
    <x v="10"/>
    <x v="1"/>
  </r>
  <r>
    <s v="TX501996"/>
    <x v="6"/>
    <x v="11"/>
    <x v="873"/>
    <x v="1532"/>
    <x v="73"/>
    <d v="2025-03-16T00:00:00"/>
    <x v="2"/>
    <x v="1"/>
    <x v="2"/>
    <x v="0"/>
    <x v="8"/>
    <x v="3"/>
    <x v="10"/>
    <x v="2"/>
  </r>
  <r>
    <s v="TX501997"/>
    <x v="4"/>
    <x v="8"/>
    <x v="500"/>
    <x v="1533"/>
    <x v="73"/>
    <d v="2025-03-16T00:00:00"/>
    <x v="2"/>
    <x v="1"/>
    <x v="0"/>
    <x v="0"/>
    <x v="26"/>
    <x v="3"/>
    <x v="10"/>
    <x v="2"/>
  </r>
  <r>
    <s v="TX501998"/>
    <x v="14"/>
    <x v="2"/>
    <x v="105"/>
    <x v="1534"/>
    <x v="73"/>
    <d v="2025-03-16T00:00:00"/>
    <x v="1"/>
    <x v="2"/>
    <x v="0"/>
    <x v="0"/>
    <x v="9"/>
    <x v="3"/>
    <x v="10"/>
    <x v="1"/>
  </r>
  <r>
    <s v="TX501999"/>
    <x v="4"/>
    <x v="11"/>
    <x v="403"/>
    <x v="1535"/>
    <x v="73"/>
    <d v="2025-03-17T00:00:00"/>
    <x v="1"/>
    <x v="1"/>
    <x v="2"/>
    <x v="0"/>
    <x v="11"/>
    <x v="1"/>
    <x v="10"/>
    <x v="1"/>
  </r>
  <r>
    <s v="TX502000"/>
    <x v="8"/>
    <x v="5"/>
    <x v="307"/>
    <x v="501"/>
    <x v="73"/>
    <d v="2025-03-25T00:00:00"/>
    <x v="1"/>
    <x v="1"/>
    <x v="0"/>
    <x v="0"/>
    <x v="18"/>
    <x v="14"/>
    <x v="10"/>
    <x v="1"/>
  </r>
  <r>
    <s v="TX502001"/>
    <x v="16"/>
    <x v="2"/>
    <x v="286"/>
    <x v="973"/>
    <x v="73"/>
    <d v="2025-03-19T00:00:00"/>
    <x v="2"/>
    <x v="1"/>
    <x v="0"/>
    <x v="0"/>
    <x v="19"/>
    <x v="5"/>
    <x v="10"/>
    <x v="2"/>
  </r>
  <r>
    <s v="TX502002"/>
    <x v="17"/>
    <x v="13"/>
    <x v="438"/>
    <x v="1077"/>
    <x v="73"/>
    <d v="2025-03-16T00:00:00"/>
    <x v="1"/>
    <x v="1"/>
    <x v="2"/>
    <x v="0"/>
    <x v="21"/>
    <x v="3"/>
    <x v="10"/>
    <x v="1"/>
  </r>
  <r>
    <s v="TX502003"/>
    <x v="15"/>
    <x v="21"/>
    <x v="522"/>
    <x v="1536"/>
    <x v="73"/>
    <d v="2025-03-16T00:00:00"/>
    <x v="3"/>
    <x v="0"/>
    <x v="1"/>
    <x v="0"/>
    <x v="21"/>
    <x v="3"/>
    <x v="10"/>
    <x v="3"/>
  </r>
  <r>
    <s v="TX502004"/>
    <x v="9"/>
    <x v="1"/>
    <x v="438"/>
    <x v="1283"/>
    <x v="73"/>
    <d v="2025-03-16T00:00:00"/>
    <x v="0"/>
    <x v="3"/>
    <x v="1"/>
    <x v="0"/>
    <x v="21"/>
    <x v="3"/>
    <x v="10"/>
    <x v="0"/>
  </r>
  <r>
    <s v="TX502005"/>
    <x v="6"/>
    <x v="12"/>
    <x v="397"/>
    <x v="1537"/>
    <x v="73"/>
    <d v="2025-03-17T00:00:00"/>
    <x v="2"/>
    <x v="3"/>
    <x v="2"/>
    <x v="0"/>
    <x v="1"/>
    <x v="1"/>
    <x v="10"/>
    <x v="2"/>
  </r>
  <r>
    <s v="TX502006"/>
    <x v="8"/>
    <x v="1"/>
    <x v="678"/>
    <x v="1538"/>
    <x v="73"/>
    <d v="2025-03-18T00:00:00"/>
    <x v="0"/>
    <x v="2"/>
    <x v="2"/>
    <x v="0"/>
    <x v="1"/>
    <x v="2"/>
    <x v="10"/>
    <x v="0"/>
  </r>
  <r>
    <s v="TX502007"/>
    <x v="1"/>
    <x v="0"/>
    <x v="514"/>
    <x v="1539"/>
    <x v="73"/>
    <d v="2025-03-17T00:00:00"/>
    <x v="1"/>
    <x v="1"/>
    <x v="1"/>
    <x v="0"/>
    <x v="2"/>
    <x v="1"/>
    <x v="10"/>
    <x v="1"/>
  </r>
  <r>
    <s v="TX502008"/>
    <x v="8"/>
    <x v="0"/>
    <x v="496"/>
    <x v="1021"/>
    <x v="73"/>
    <d v="2025-03-16T00:00:00"/>
    <x v="1"/>
    <x v="0"/>
    <x v="1"/>
    <x v="0"/>
    <x v="22"/>
    <x v="3"/>
    <x v="10"/>
    <x v="1"/>
  </r>
  <r>
    <s v="TX502009"/>
    <x v="9"/>
    <x v="0"/>
    <x v="534"/>
    <x v="486"/>
    <x v="73"/>
    <d v="2025-03-17T00:00:00"/>
    <x v="2"/>
    <x v="3"/>
    <x v="2"/>
    <x v="0"/>
    <x v="34"/>
    <x v="1"/>
    <x v="10"/>
    <x v="2"/>
  </r>
  <r>
    <s v="TX502010"/>
    <x v="11"/>
    <x v="12"/>
    <x v="874"/>
    <x v="1540"/>
    <x v="73"/>
    <d v="2025-03-16T00:00:00"/>
    <x v="2"/>
    <x v="3"/>
    <x v="4"/>
    <x v="0"/>
    <x v="34"/>
    <x v="3"/>
    <x v="10"/>
    <x v="2"/>
  </r>
  <r>
    <s v="TX502011"/>
    <x v="11"/>
    <x v="1"/>
    <x v="50"/>
    <x v="1182"/>
    <x v="73"/>
    <d v="2025-03-16T00:00:00"/>
    <x v="2"/>
    <x v="0"/>
    <x v="2"/>
    <x v="0"/>
    <x v="3"/>
    <x v="3"/>
    <x v="10"/>
    <x v="2"/>
  </r>
  <r>
    <s v="TX502012"/>
    <x v="4"/>
    <x v="3"/>
    <x v="195"/>
    <x v="1541"/>
    <x v="73"/>
    <d v="2025-03-16T00:00:00"/>
    <x v="2"/>
    <x v="2"/>
    <x v="1"/>
    <x v="0"/>
    <x v="3"/>
    <x v="3"/>
    <x v="10"/>
    <x v="2"/>
  </r>
  <r>
    <s v="TX502013"/>
    <x v="4"/>
    <x v="1"/>
    <x v="654"/>
    <x v="707"/>
    <x v="73"/>
    <d v="2025-03-17T00:00:00"/>
    <x v="1"/>
    <x v="4"/>
    <x v="1"/>
    <x v="0"/>
    <x v="3"/>
    <x v="1"/>
    <x v="10"/>
    <x v="1"/>
  </r>
  <r>
    <s v="TX502014"/>
    <x v="5"/>
    <x v="12"/>
    <x v="497"/>
    <x v="629"/>
    <x v="73"/>
    <d v="2025-03-16T00:00:00"/>
    <x v="0"/>
    <x v="2"/>
    <x v="0"/>
    <x v="0"/>
    <x v="3"/>
    <x v="3"/>
    <x v="10"/>
    <x v="0"/>
  </r>
  <r>
    <s v="TX502015"/>
    <x v="15"/>
    <x v="1"/>
    <x v="570"/>
    <x v="863"/>
    <x v="73"/>
    <d v="2025-03-16T00:00:00"/>
    <x v="1"/>
    <x v="0"/>
    <x v="2"/>
    <x v="0"/>
    <x v="3"/>
    <x v="3"/>
    <x v="10"/>
    <x v="1"/>
  </r>
  <r>
    <s v="TX502016"/>
    <x v="6"/>
    <x v="2"/>
    <x v="875"/>
    <x v="1542"/>
    <x v="73"/>
    <d v="2025-03-16T00:00:00"/>
    <x v="0"/>
    <x v="1"/>
    <x v="0"/>
    <x v="0"/>
    <x v="3"/>
    <x v="3"/>
    <x v="10"/>
    <x v="0"/>
  </r>
  <r>
    <s v="TX502017"/>
    <x v="4"/>
    <x v="1"/>
    <x v="660"/>
    <x v="1543"/>
    <x v="74"/>
    <d v="2025-03-18T00:00:00"/>
    <x v="2"/>
    <x v="4"/>
    <x v="2"/>
    <x v="0"/>
    <x v="3"/>
    <x v="1"/>
    <x v="11"/>
    <x v="2"/>
  </r>
  <r>
    <s v="TX502018"/>
    <x v="2"/>
    <x v="13"/>
    <x v="876"/>
    <x v="1544"/>
    <x v="74"/>
    <d v="2025-03-19T00:00:00"/>
    <x v="1"/>
    <x v="2"/>
    <x v="2"/>
    <x v="0"/>
    <x v="3"/>
    <x v="2"/>
    <x v="11"/>
    <x v="1"/>
  </r>
  <r>
    <s v="TX502019"/>
    <x v="0"/>
    <x v="13"/>
    <x v="19"/>
    <x v="277"/>
    <x v="74"/>
    <d v="2025-03-19T00:00:00"/>
    <x v="2"/>
    <x v="4"/>
    <x v="2"/>
    <x v="0"/>
    <x v="3"/>
    <x v="2"/>
    <x v="11"/>
    <x v="2"/>
  </r>
  <r>
    <s v="TX502020"/>
    <x v="0"/>
    <x v="5"/>
    <x v="877"/>
    <x v="1545"/>
    <x v="74"/>
    <d v="2025-03-17T00:00:00"/>
    <x v="0"/>
    <x v="0"/>
    <x v="1"/>
    <x v="0"/>
    <x v="3"/>
    <x v="3"/>
    <x v="11"/>
    <x v="0"/>
  </r>
  <r>
    <s v="TX502021"/>
    <x v="8"/>
    <x v="3"/>
    <x v="665"/>
    <x v="1546"/>
    <x v="74"/>
    <d v="2025-03-18T00:00:00"/>
    <x v="2"/>
    <x v="1"/>
    <x v="1"/>
    <x v="0"/>
    <x v="23"/>
    <x v="1"/>
    <x v="11"/>
    <x v="2"/>
  </r>
  <r>
    <s v="TX502022"/>
    <x v="2"/>
    <x v="12"/>
    <x v="459"/>
    <x v="1547"/>
    <x v="74"/>
    <d v="2025-03-17T00:00:00"/>
    <x v="1"/>
    <x v="0"/>
    <x v="2"/>
    <x v="0"/>
    <x v="8"/>
    <x v="3"/>
    <x v="11"/>
    <x v="1"/>
  </r>
  <r>
    <s v="TX502023"/>
    <x v="6"/>
    <x v="3"/>
    <x v="878"/>
    <x v="1548"/>
    <x v="74"/>
    <d v="2025-03-17T00:00:00"/>
    <x v="3"/>
    <x v="1"/>
    <x v="1"/>
    <x v="0"/>
    <x v="8"/>
    <x v="3"/>
    <x v="11"/>
    <x v="3"/>
  </r>
  <r>
    <s v="TX502024"/>
    <x v="1"/>
    <x v="1"/>
    <x v="719"/>
    <x v="1314"/>
    <x v="74"/>
    <d v="2025-03-17T00:00:00"/>
    <x v="2"/>
    <x v="4"/>
    <x v="0"/>
    <x v="0"/>
    <x v="8"/>
    <x v="3"/>
    <x v="11"/>
    <x v="2"/>
  </r>
  <r>
    <s v="TX502025"/>
    <x v="5"/>
    <x v="1"/>
    <x v="400"/>
    <x v="482"/>
    <x v="74"/>
    <d v="2025-03-17T00:00:00"/>
    <x v="1"/>
    <x v="4"/>
    <x v="0"/>
    <x v="0"/>
    <x v="8"/>
    <x v="3"/>
    <x v="11"/>
    <x v="1"/>
  </r>
  <r>
    <s v="TX502026"/>
    <x v="10"/>
    <x v="1"/>
    <x v="200"/>
    <x v="1549"/>
    <x v="74"/>
    <d v="2025-03-17T00:00:00"/>
    <x v="1"/>
    <x v="0"/>
    <x v="2"/>
    <x v="0"/>
    <x v="17"/>
    <x v="3"/>
    <x v="11"/>
    <x v="1"/>
  </r>
  <r>
    <s v="TX502027"/>
    <x v="0"/>
    <x v="1"/>
    <x v="208"/>
    <x v="225"/>
    <x v="74"/>
    <d v="2025-03-18T00:00:00"/>
    <x v="2"/>
    <x v="1"/>
    <x v="0"/>
    <x v="0"/>
    <x v="9"/>
    <x v="1"/>
    <x v="11"/>
    <x v="2"/>
  </r>
  <r>
    <s v="TX502028"/>
    <x v="9"/>
    <x v="0"/>
    <x v="705"/>
    <x v="1286"/>
    <x v="74"/>
    <d v="2025-03-19T00:00:00"/>
    <x v="2"/>
    <x v="0"/>
    <x v="2"/>
    <x v="0"/>
    <x v="11"/>
    <x v="2"/>
    <x v="11"/>
    <x v="2"/>
  </r>
  <r>
    <s v="TX502029"/>
    <x v="6"/>
    <x v="13"/>
    <x v="836"/>
    <x v="1550"/>
    <x v="74"/>
    <d v="2025-03-22T00:00:00"/>
    <x v="1"/>
    <x v="0"/>
    <x v="0"/>
    <x v="0"/>
    <x v="11"/>
    <x v="4"/>
    <x v="11"/>
    <x v="1"/>
  </r>
  <r>
    <s v="TX502030"/>
    <x v="6"/>
    <x v="2"/>
    <x v="685"/>
    <x v="1551"/>
    <x v="74"/>
    <d v="2025-03-20T00:00:00"/>
    <x v="2"/>
    <x v="2"/>
    <x v="1"/>
    <x v="0"/>
    <x v="11"/>
    <x v="5"/>
    <x v="11"/>
    <x v="2"/>
  </r>
  <r>
    <s v="TX502031"/>
    <x v="1"/>
    <x v="0"/>
    <x v="730"/>
    <x v="1124"/>
    <x v="74"/>
    <d v="2025-03-20T00:00:00"/>
    <x v="2"/>
    <x v="0"/>
    <x v="2"/>
    <x v="0"/>
    <x v="19"/>
    <x v="5"/>
    <x v="11"/>
    <x v="2"/>
  </r>
  <r>
    <s v="TX502032"/>
    <x v="8"/>
    <x v="1"/>
    <x v="570"/>
    <x v="863"/>
    <x v="74"/>
    <d v="2025-03-16T00:00:00"/>
    <x v="1"/>
    <x v="0"/>
    <x v="1"/>
    <x v="0"/>
    <x v="19"/>
    <x v="7"/>
    <x v="11"/>
    <x v="1"/>
  </r>
  <r>
    <s v="TX502033"/>
    <x v="2"/>
    <x v="3"/>
    <x v="854"/>
    <x v="1552"/>
    <x v="74"/>
    <d v="2025-03-17T00:00:00"/>
    <x v="1"/>
    <x v="4"/>
    <x v="0"/>
    <x v="0"/>
    <x v="19"/>
    <x v="3"/>
    <x v="11"/>
    <x v="1"/>
  </r>
  <r>
    <s v="TX502034"/>
    <x v="8"/>
    <x v="1"/>
    <x v="25"/>
    <x v="1553"/>
    <x v="74"/>
    <d v="2025-03-19T00:00:00"/>
    <x v="2"/>
    <x v="0"/>
    <x v="0"/>
    <x v="0"/>
    <x v="21"/>
    <x v="2"/>
    <x v="11"/>
    <x v="2"/>
  </r>
  <r>
    <s v="TX502035"/>
    <x v="8"/>
    <x v="1"/>
    <x v="504"/>
    <x v="891"/>
    <x v="74"/>
    <d v="2025-03-19T00:00:00"/>
    <x v="2"/>
    <x v="1"/>
    <x v="0"/>
    <x v="0"/>
    <x v="21"/>
    <x v="2"/>
    <x v="11"/>
    <x v="2"/>
  </r>
  <r>
    <s v="TX502036"/>
    <x v="4"/>
    <x v="0"/>
    <x v="292"/>
    <x v="169"/>
    <x v="74"/>
    <d v="2025-03-17T00:00:00"/>
    <x v="2"/>
    <x v="4"/>
    <x v="0"/>
    <x v="0"/>
    <x v="21"/>
    <x v="3"/>
    <x v="11"/>
    <x v="2"/>
  </r>
  <r>
    <s v="TX502037"/>
    <x v="2"/>
    <x v="0"/>
    <x v="836"/>
    <x v="1554"/>
    <x v="74"/>
    <d v="2025-03-16T00:00:00"/>
    <x v="1"/>
    <x v="1"/>
    <x v="2"/>
    <x v="0"/>
    <x v="21"/>
    <x v="7"/>
    <x v="11"/>
    <x v="1"/>
  </r>
  <r>
    <s v="TX502038"/>
    <x v="1"/>
    <x v="2"/>
    <x v="624"/>
    <x v="1555"/>
    <x v="74"/>
    <d v="2025-03-19T00:00:00"/>
    <x v="1"/>
    <x v="1"/>
    <x v="1"/>
    <x v="0"/>
    <x v="21"/>
    <x v="2"/>
    <x v="11"/>
    <x v="1"/>
  </r>
  <r>
    <s v="TX502039"/>
    <x v="7"/>
    <x v="2"/>
    <x v="225"/>
    <x v="243"/>
    <x v="74"/>
    <d v="2025-03-23T00:00:00"/>
    <x v="1"/>
    <x v="0"/>
    <x v="0"/>
    <x v="0"/>
    <x v="1"/>
    <x v="6"/>
    <x v="11"/>
    <x v="1"/>
  </r>
  <r>
    <s v="TX502040"/>
    <x v="15"/>
    <x v="0"/>
    <x v="468"/>
    <x v="1500"/>
    <x v="74"/>
    <d v="2025-03-19T00:00:00"/>
    <x v="1"/>
    <x v="3"/>
    <x v="0"/>
    <x v="0"/>
    <x v="42"/>
    <x v="2"/>
    <x v="11"/>
    <x v="1"/>
  </r>
  <r>
    <s v="TX502041"/>
    <x v="8"/>
    <x v="3"/>
    <x v="879"/>
    <x v="100"/>
    <x v="74"/>
    <d v="2025-03-17T00:00:00"/>
    <x v="1"/>
    <x v="1"/>
    <x v="1"/>
    <x v="0"/>
    <x v="2"/>
    <x v="3"/>
    <x v="11"/>
    <x v="1"/>
  </r>
  <r>
    <s v="TX502042"/>
    <x v="16"/>
    <x v="7"/>
    <x v="310"/>
    <x v="1556"/>
    <x v="74"/>
    <d v="2025-03-18T00:00:00"/>
    <x v="1"/>
    <x v="0"/>
    <x v="2"/>
    <x v="0"/>
    <x v="2"/>
    <x v="1"/>
    <x v="11"/>
    <x v="1"/>
  </r>
  <r>
    <s v="TX502043"/>
    <x v="6"/>
    <x v="0"/>
    <x v="459"/>
    <x v="1557"/>
    <x v="74"/>
    <d v="2025-03-17T00:00:00"/>
    <x v="2"/>
    <x v="0"/>
    <x v="1"/>
    <x v="0"/>
    <x v="22"/>
    <x v="3"/>
    <x v="11"/>
    <x v="2"/>
  </r>
  <r>
    <s v="TX502044"/>
    <x v="2"/>
    <x v="21"/>
    <x v="880"/>
    <x v="1558"/>
    <x v="74"/>
    <d v="2025-03-17T00:00:00"/>
    <x v="2"/>
    <x v="0"/>
    <x v="1"/>
    <x v="0"/>
    <x v="3"/>
    <x v="3"/>
    <x v="11"/>
    <x v="2"/>
  </r>
  <r>
    <s v="TX502045"/>
    <x v="1"/>
    <x v="0"/>
    <x v="515"/>
    <x v="1559"/>
    <x v="74"/>
    <d v="2025-03-17T00:00:00"/>
    <x v="1"/>
    <x v="1"/>
    <x v="0"/>
    <x v="0"/>
    <x v="3"/>
    <x v="3"/>
    <x v="11"/>
    <x v="1"/>
  </r>
  <r>
    <s v="TX502046"/>
    <x v="10"/>
    <x v="2"/>
    <x v="297"/>
    <x v="1435"/>
    <x v="74"/>
    <d v="2025-03-17T00:00:00"/>
    <x v="2"/>
    <x v="1"/>
    <x v="2"/>
    <x v="0"/>
    <x v="3"/>
    <x v="3"/>
    <x v="11"/>
    <x v="2"/>
  </r>
  <r>
    <s v="TX502047"/>
    <x v="15"/>
    <x v="0"/>
    <x v="728"/>
    <x v="937"/>
    <x v="74"/>
    <d v="2025-03-20T00:00:00"/>
    <x v="2"/>
    <x v="2"/>
    <x v="1"/>
    <x v="0"/>
    <x v="3"/>
    <x v="5"/>
    <x v="11"/>
    <x v="2"/>
  </r>
  <r>
    <s v="TX502048"/>
    <x v="0"/>
    <x v="12"/>
    <x v="532"/>
    <x v="1093"/>
    <x v="75"/>
    <d v="2025-03-18T00:00:00"/>
    <x v="1"/>
    <x v="0"/>
    <x v="0"/>
    <x v="0"/>
    <x v="3"/>
    <x v="3"/>
    <x v="11"/>
    <x v="1"/>
  </r>
  <r>
    <s v="TX502049"/>
    <x v="4"/>
    <x v="7"/>
    <x v="791"/>
    <x v="1560"/>
    <x v="75"/>
    <d v="2025-03-19T00:00:00"/>
    <x v="2"/>
    <x v="4"/>
    <x v="1"/>
    <x v="0"/>
    <x v="3"/>
    <x v="1"/>
    <x v="11"/>
    <x v="2"/>
  </r>
  <r>
    <s v="TX502050"/>
    <x v="8"/>
    <x v="0"/>
    <x v="139"/>
    <x v="1561"/>
    <x v="75"/>
    <d v="2025-03-22T00:00:00"/>
    <x v="2"/>
    <x v="1"/>
    <x v="2"/>
    <x v="0"/>
    <x v="3"/>
    <x v="0"/>
    <x v="11"/>
    <x v="2"/>
  </r>
  <r>
    <s v="TX502051"/>
    <x v="15"/>
    <x v="8"/>
    <x v="472"/>
    <x v="1562"/>
    <x v="75"/>
    <d v="2025-03-19T00:00:00"/>
    <x v="2"/>
    <x v="1"/>
    <x v="0"/>
    <x v="0"/>
    <x v="3"/>
    <x v="1"/>
    <x v="11"/>
    <x v="2"/>
  </r>
  <r>
    <s v="TX502052"/>
    <x v="15"/>
    <x v="1"/>
    <x v="48"/>
    <x v="1563"/>
    <x v="75"/>
    <d v="2025-03-18T00:00:00"/>
    <x v="1"/>
    <x v="0"/>
    <x v="0"/>
    <x v="0"/>
    <x v="4"/>
    <x v="3"/>
    <x v="11"/>
    <x v="1"/>
  </r>
  <r>
    <s v="TX502053"/>
    <x v="0"/>
    <x v="2"/>
    <x v="229"/>
    <x v="1564"/>
    <x v="75"/>
    <d v="2025-03-19T00:00:00"/>
    <x v="1"/>
    <x v="2"/>
    <x v="0"/>
    <x v="0"/>
    <x v="25"/>
    <x v="1"/>
    <x v="11"/>
    <x v="1"/>
  </r>
  <r>
    <s v="TX502054"/>
    <x v="6"/>
    <x v="2"/>
    <x v="110"/>
    <x v="1565"/>
    <x v="75"/>
    <d v="2025-03-20T00:00:00"/>
    <x v="2"/>
    <x v="0"/>
    <x v="0"/>
    <x v="0"/>
    <x v="7"/>
    <x v="2"/>
    <x v="11"/>
    <x v="2"/>
  </r>
  <r>
    <s v="TX502055"/>
    <x v="0"/>
    <x v="5"/>
    <x v="389"/>
    <x v="1566"/>
    <x v="75"/>
    <d v="2025-03-22T00:00:00"/>
    <x v="2"/>
    <x v="0"/>
    <x v="0"/>
    <x v="0"/>
    <x v="8"/>
    <x v="0"/>
    <x v="11"/>
    <x v="2"/>
  </r>
  <r>
    <s v="TX502056"/>
    <x v="15"/>
    <x v="0"/>
    <x v="254"/>
    <x v="660"/>
    <x v="75"/>
    <d v="2025-03-20T00:00:00"/>
    <x v="1"/>
    <x v="0"/>
    <x v="2"/>
    <x v="0"/>
    <x v="8"/>
    <x v="2"/>
    <x v="11"/>
    <x v="1"/>
  </r>
  <r>
    <s v="TX502057"/>
    <x v="2"/>
    <x v="1"/>
    <x v="14"/>
    <x v="1567"/>
    <x v="75"/>
    <d v="2025-03-18T00:00:00"/>
    <x v="2"/>
    <x v="0"/>
    <x v="2"/>
    <x v="0"/>
    <x v="8"/>
    <x v="3"/>
    <x v="11"/>
    <x v="2"/>
  </r>
  <r>
    <s v="TX502058"/>
    <x v="13"/>
    <x v="9"/>
    <x v="644"/>
    <x v="1568"/>
    <x v="75"/>
    <d v="2025-03-18T00:00:00"/>
    <x v="2"/>
    <x v="0"/>
    <x v="0"/>
    <x v="0"/>
    <x v="8"/>
    <x v="3"/>
    <x v="11"/>
    <x v="2"/>
  </r>
  <r>
    <s v="TX502059"/>
    <x v="8"/>
    <x v="12"/>
    <x v="187"/>
    <x v="1569"/>
    <x v="75"/>
    <d v="2025-03-22T00:00:00"/>
    <x v="1"/>
    <x v="1"/>
    <x v="2"/>
    <x v="0"/>
    <x v="8"/>
    <x v="0"/>
    <x v="11"/>
    <x v="1"/>
  </r>
  <r>
    <s v="TX502060"/>
    <x v="5"/>
    <x v="9"/>
    <x v="402"/>
    <x v="1570"/>
    <x v="75"/>
    <d v="2025-03-18T00:00:00"/>
    <x v="1"/>
    <x v="0"/>
    <x v="2"/>
    <x v="0"/>
    <x v="17"/>
    <x v="3"/>
    <x v="11"/>
    <x v="1"/>
  </r>
  <r>
    <s v="TX502061"/>
    <x v="13"/>
    <x v="21"/>
    <x v="805"/>
    <x v="1571"/>
    <x v="75"/>
    <d v="2025-03-19T00:00:00"/>
    <x v="2"/>
    <x v="1"/>
    <x v="0"/>
    <x v="0"/>
    <x v="11"/>
    <x v="1"/>
    <x v="11"/>
    <x v="2"/>
  </r>
  <r>
    <s v="TX502062"/>
    <x v="9"/>
    <x v="2"/>
    <x v="256"/>
    <x v="1413"/>
    <x v="75"/>
    <d v="2025-03-18T00:00:00"/>
    <x v="2"/>
    <x v="0"/>
    <x v="1"/>
    <x v="0"/>
    <x v="11"/>
    <x v="3"/>
    <x v="11"/>
    <x v="2"/>
  </r>
  <r>
    <s v="TX502063"/>
    <x v="14"/>
    <x v="3"/>
    <x v="257"/>
    <x v="1572"/>
    <x v="75"/>
    <d v="2025-03-23T00:00:00"/>
    <x v="2"/>
    <x v="2"/>
    <x v="0"/>
    <x v="0"/>
    <x v="11"/>
    <x v="4"/>
    <x v="11"/>
    <x v="2"/>
  </r>
  <r>
    <s v="TX502064"/>
    <x v="1"/>
    <x v="2"/>
    <x v="115"/>
    <x v="1573"/>
    <x v="75"/>
    <d v="2025-03-19T00:00:00"/>
    <x v="2"/>
    <x v="2"/>
    <x v="0"/>
    <x v="0"/>
    <x v="11"/>
    <x v="1"/>
    <x v="11"/>
    <x v="2"/>
  </r>
  <r>
    <s v="TX502065"/>
    <x v="16"/>
    <x v="0"/>
    <x v="774"/>
    <x v="1574"/>
    <x v="75"/>
    <d v="2025-03-18T00:00:00"/>
    <x v="1"/>
    <x v="1"/>
    <x v="1"/>
    <x v="0"/>
    <x v="11"/>
    <x v="3"/>
    <x v="11"/>
    <x v="1"/>
  </r>
  <r>
    <s v="TX502066"/>
    <x v="1"/>
    <x v="1"/>
    <x v="881"/>
    <x v="1575"/>
    <x v="75"/>
    <d v="2025-03-18T00:00:00"/>
    <x v="1"/>
    <x v="2"/>
    <x v="0"/>
    <x v="0"/>
    <x v="13"/>
    <x v="3"/>
    <x v="11"/>
    <x v="1"/>
  </r>
  <r>
    <s v="TX502067"/>
    <x v="8"/>
    <x v="1"/>
    <x v="35"/>
    <x v="35"/>
    <x v="75"/>
    <d v="2025-03-20T00:00:00"/>
    <x v="2"/>
    <x v="2"/>
    <x v="1"/>
    <x v="0"/>
    <x v="1"/>
    <x v="2"/>
    <x v="11"/>
    <x v="2"/>
  </r>
  <r>
    <s v="TX502068"/>
    <x v="11"/>
    <x v="12"/>
    <x v="227"/>
    <x v="1576"/>
    <x v="75"/>
    <d v="2025-03-19T00:00:00"/>
    <x v="2"/>
    <x v="2"/>
    <x v="0"/>
    <x v="0"/>
    <x v="22"/>
    <x v="1"/>
    <x v="11"/>
    <x v="2"/>
  </r>
  <r>
    <s v="TX502069"/>
    <x v="2"/>
    <x v="7"/>
    <x v="882"/>
    <x v="1577"/>
    <x v="75"/>
    <d v="2025-03-19T00:00:00"/>
    <x v="1"/>
    <x v="1"/>
    <x v="4"/>
    <x v="0"/>
    <x v="3"/>
    <x v="1"/>
    <x v="11"/>
    <x v="1"/>
  </r>
  <r>
    <s v="TX502070"/>
    <x v="0"/>
    <x v="1"/>
    <x v="771"/>
    <x v="1222"/>
    <x v="75"/>
    <d v="2025-03-19T00:00:00"/>
    <x v="2"/>
    <x v="2"/>
    <x v="0"/>
    <x v="0"/>
    <x v="3"/>
    <x v="1"/>
    <x v="11"/>
    <x v="2"/>
  </r>
  <r>
    <s v="TX502071"/>
    <x v="6"/>
    <x v="2"/>
    <x v="883"/>
    <x v="1578"/>
    <x v="75"/>
    <d v="2025-03-18T00:00:00"/>
    <x v="1"/>
    <x v="2"/>
    <x v="0"/>
    <x v="0"/>
    <x v="3"/>
    <x v="3"/>
    <x v="11"/>
    <x v="1"/>
  </r>
  <r>
    <s v="TX502072"/>
    <x v="3"/>
    <x v="12"/>
    <x v="233"/>
    <x v="1248"/>
    <x v="75"/>
    <d v="2025-03-22T00:00:00"/>
    <x v="1"/>
    <x v="0"/>
    <x v="2"/>
    <x v="0"/>
    <x v="3"/>
    <x v="0"/>
    <x v="11"/>
    <x v="1"/>
  </r>
  <r>
    <s v="TX502073"/>
    <x v="8"/>
    <x v="1"/>
    <x v="884"/>
    <x v="1579"/>
    <x v="75"/>
    <d v="2025-03-19T00:00:00"/>
    <x v="1"/>
    <x v="1"/>
    <x v="2"/>
    <x v="0"/>
    <x v="3"/>
    <x v="1"/>
    <x v="11"/>
    <x v="1"/>
  </r>
  <r>
    <s v="TX502074"/>
    <x v="8"/>
    <x v="0"/>
    <x v="695"/>
    <x v="1580"/>
    <x v="75"/>
    <d v="2025-03-18T00:00:00"/>
    <x v="2"/>
    <x v="4"/>
    <x v="2"/>
    <x v="0"/>
    <x v="3"/>
    <x v="3"/>
    <x v="11"/>
    <x v="2"/>
  </r>
  <r>
    <s v="TX502075"/>
    <x v="5"/>
    <x v="1"/>
    <x v="646"/>
    <x v="1581"/>
    <x v="76"/>
    <d v="2025-03-20T00:00:00"/>
    <x v="2"/>
    <x v="0"/>
    <x v="0"/>
    <x v="0"/>
    <x v="3"/>
    <x v="1"/>
    <x v="11"/>
    <x v="2"/>
  </r>
  <r>
    <s v="TX502076"/>
    <x v="12"/>
    <x v="1"/>
    <x v="345"/>
    <x v="393"/>
    <x v="76"/>
    <d v="2025-03-18T00:00:00"/>
    <x v="1"/>
    <x v="2"/>
    <x v="2"/>
    <x v="0"/>
    <x v="3"/>
    <x v="7"/>
    <x v="11"/>
    <x v="1"/>
  </r>
  <r>
    <s v="TX502077"/>
    <x v="6"/>
    <x v="1"/>
    <x v="831"/>
    <x v="1582"/>
    <x v="76"/>
    <d v="2025-03-20T00:00:00"/>
    <x v="2"/>
    <x v="0"/>
    <x v="0"/>
    <x v="0"/>
    <x v="3"/>
    <x v="1"/>
    <x v="11"/>
    <x v="2"/>
  </r>
  <r>
    <s v="TX502078"/>
    <x v="16"/>
    <x v="1"/>
    <x v="34"/>
    <x v="34"/>
    <x v="76"/>
    <d v="2025-03-20T00:00:00"/>
    <x v="1"/>
    <x v="0"/>
    <x v="1"/>
    <x v="0"/>
    <x v="3"/>
    <x v="1"/>
    <x v="11"/>
    <x v="1"/>
  </r>
  <r>
    <s v="TX502079"/>
    <x v="2"/>
    <x v="1"/>
    <x v="203"/>
    <x v="1583"/>
    <x v="76"/>
    <d v="2025-03-19T00:00:00"/>
    <x v="2"/>
    <x v="1"/>
    <x v="0"/>
    <x v="0"/>
    <x v="3"/>
    <x v="3"/>
    <x v="11"/>
    <x v="2"/>
  </r>
  <r>
    <s v="TX502080"/>
    <x v="17"/>
    <x v="12"/>
    <x v="595"/>
    <x v="1155"/>
    <x v="76"/>
    <d v="2025-03-19T00:00:00"/>
    <x v="1"/>
    <x v="1"/>
    <x v="2"/>
    <x v="0"/>
    <x v="3"/>
    <x v="3"/>
    <x v="11"/>
    <x v="1"/>
  </r>
  <r>
    <s v="TX502081"/>
    <x v="15"/>
    <x v="2"/>
    <x v="135"/>
    <x v="140"/>
    <x v="76"/>
    <d v="2025-03-21T00:00:00"/>
    <x v="1"/>
    <x v="1"/>
    <x v="2"/>
    <x v="0"/>
    <x v="3"/>
    <x v="2"/>
    <x v="11"/>
    <x v="1"/>
  </r>
  <r>
    <s v="TX502082"/>
    <x v="10"/>
    <x v="13"/>
    <x v="217"/>
    <x v="620"/>
    <x v="76"/>
    <d v="2025-03-20T00:00:00"/>
    <x v="2"/>
    <x v="0"/>
    <x v="2"/>
    <x v="0"/>
    <x v="3"/>
    <x v="1"/>
    <x v="11"/>
    <x v="2"/>
  </r>
  <r>
    <s v="TX502083"/>
    <x v="6"/>
    <x v="0"/>
    <x v="511"/>
    <x v="494"/>
    <x v="76"/>
    <d v="2025-03-22T00:00:00"/>
    <x v="3"/>
    <x v="0"/>
    <x v="0"/>
    <x v="0"/>
    <x v="3"/>
    <x v="5"/>
    <x v="11"/>
    <x v="3"/>
  </r>
  <r>
    <s v="TX502084"/>
    <x v="19"/>
    <x v="12"/>
    <x v="885"/>
    <x v="180"/>
    <x v="76"/>
    <d v="2025-03-25T00:00:00"/>
    <x v="2"/>
    <x v="1"/>
    <x v="1"/>
    <x v="0"/>
    <x v="5"/>
    <x v="6"/>
    <x v="11"/>
    <x v="2"/>
  </r>
  <r>
    <s v="TX502085"/>
    <x v="5"/>
    <x v="2"/>
    <x v="886"/>
    <x v="1584"/>
    <x v="76"/>
    <d v="2025-03-19T00:00:00"/>
    <x v="2"/>
    <x v="2"/>
    <x v="2"/>
    <x v="0"/>
    <x v="6"/>
    <x v="3"/>
    <x v="11"/>
    <x v="2"/>
  </r>
  <r>
    <s v="TX502086"/>
    <x v="5"/>
    <x v="1"/>
    <x v="345"/>
    <x v="393"/>
    <x v="76"/>
    <d v="2025-03-20T00:00:00"/>
    <x v="2"/>
    <x v="1"/>
    <x v="0"/>
    <x v="0"/>
    <x v="7"/>
    <x v="1"/>
    <x v="11"/>
    <x v="2"/>
  </r>
  <r>
    <s v="TX502087"/>
    <x v="8"/>
    <x v="2"/>
    <x v="472"/>
    <x v="1026"/>
    <x v="76"/>
    <d v="2025-03-19T00:00:00"/>
    <x v="2"/>
    <x v="1"/>
    <x v="2"/>
    <x v="0"/>
    <x v="7"/>
    <x v="3"/>
    <x v="11"/>
    <x v="2"/>
  </r>
  <r>
    <s v="TX502088"/>
    <x v="15"/>
    <x v="6"/>
    <x v="425"/>
    <x v="1585"/>
    <x v="76"/>
    <d v="2025-03-21T00:00:00"/>
    <x v="1"/>
    <x v="0"/>
    <x v="0"/>
    <x v="0"/>
    <x v="7"/>
    <x v="2"/>
    <x v="11"/>
    <x v="1"/>
  </r>
  <r>
    <s v="TX502089"/>
    <x v="14"/>
    <x v="12"/>
    <x v="887"/>
    <x v="988"/>
    <x v="76"/>
    <d v="2025-03-22T00:00:00"/>
    <x v="1"/>
    <x v="3"/>
    <x v="2"/>
    <x v="0"/>
    <x v="7"/>
    <x v="5"/>
    <x v="11"/>
    <x v="1"/>
  </r>
  <r>
    <s v="TX502090"/>
    <x v="8"/>
    <x v="13"/>
    <x v="624"/>
    <x v="1586"/>
    <x v="76"/>
    <d v="2025-03-20T00:00:00"/>
    <x v="1"/>
    <x v="4"/>
    <x v="0"/>
    <x v="0"/>
    <x v="8"/>
    <x v="1"/>
    <x v="11"/>
    <x v="1"/>
  </r>
  <r>
    <s v="TX502091"/>
    <x v="5"/>
    <x v="3"/>
    <x v="214"/>
    <x v="1587"/>
    <x v="76"/>
    <d v="2025-03-22T00:00:00"/>
    <x v="2"/>
    <x v="1"/>
    <x v="4"/>
    <x v="0"/>
    <x v="8"/>
    <x v="5"/>
    <x v="11"/>
    <x v="2"/>
  </r>
  <r>
    <s v="TX502092"/>
    <x v="0"/>
    <x v="13"/>
    <x v="888"/>
    <x v="1113"/>
    <x v="76"/>
    <d v="2025-03-22T00:00:00"/>
    <x v="1"/>
    <x v="2"/>
    <x v="0"/>
    <x v="0"/>
    <x v="8"/>
    <x v="5"/>
    <x v="11"/>
    <x v="1"/>
  </r>
  <r>
    <s v="TX502093"/>
    <x v="6"/>
    <x v="2"/>
    <x v="574"/>
    <x v="1588"/>
    <x v="76"/>
    <d v="2025-03-19T00:00:00"/>
    <x v="1"/>
    <x v="1"/>
    <x v="0"/>
    <x v="0"/>
    <x v="8"/>
    <x v="3"/>
    <x v="11"/>
    <x v="1"/>
  </r>
  <r>
    <s v="TX502094"/>
    <x v="8"/>
    <x v="1"/>
    <x v="137"/>
    <x v="1323"/>
    <x v="76"/>
    <d v="2025-03-21T00:00:00"/>
    <x v="1"/>
    <x v="1"/>
    <x v="2"/>
    <x v="0"/>
    <x v="8"/>
    <x v="2"/>
    <x v="11"/>
    <x v="1"/>
  </r>
  <r>
    <s v="TX502095"/>
    <x v="7"/>
    <x v="2"/>
    <x v="775"/>
    <x v="211"/>
    <x v="76"/>
    <d v="2025-03-21T00:00:00"/>
    <x v="2"/>
    <x v="1"/>
    <x v="2"/>
    <x v="0"/>
    <x v="9"/>
    <x v="2"/>
    <x v="11"/>
    <x v="2"/>
  </r>
  <r>
    <s v="TX502096"/>
    <x v="4"/>
    <x v="2"/>
    <x v="439"/>
    <x v="1589"/>
    <x v="76"/>
    <d v="2025-03-18T00:00:00"/>
    <x v="1"/>
    <x v="1"/>
    <x v="2"/>
    <x v="0"/>
    <x v="11"/>
    <x v="7"/>
    <x v="11"/>
    <x v="1"/>
  </r>
  <r>
    <s v="TX502097"/>
    <x v="4"/>
    <x v="8"/>
    <x v="367"/>
    <x v="1590"/>
    <x v="77"/>
    <d v="2025-03-20T00:00:00"/>
    <x v="2"/>
    <x v="3"/>
    <x v="2"/>
    <x v="0"/>
    <x v="20"/>
    <x v="3"/>
    <x v="11"/>
    <x v="2"/>
  </r>
  <r>
    <s v="TX502098"/>
    <x v="5"/>
    <x v="0"/>
    <x v="889"/>
    <x v="1133"/>
    <x v="77"/>
    <d v="2025-03-20T00:00:00"/>
    <x v="1"/>
    <x v="2"/>
    <x v="0"/>
    <x v="0"/>
    <x v="21"/>
    <x v="3"/>
    <x v="11"/>
    <x v="1"/>
  </r>
  <r>
    <s v="TX502099"/>
    <x v="6"/>
    <x v="9"/>
    <x v="88"/>
    <x v="816"/>
    <x v="77"/>
    <d v="2025-03-20T00:00:00"/>
    <x v="1"/>
    <x v="1"/>
    <x v="2"/>
    <x v="0"/>
    <x v="21"/>
    <x v="3"/>
    <x v="11"/>
    <x v="1"/>
  </r>
  <r>
    <s v="TX502100"/>
    <x v="10"/>
    <x v="3"/>
    <x v="705"/>
    <x v="1591"/>
    <x v="77"/>
    <d v="2025-03-20T00:00:00"/>
    <x v="1"/>
    <x v="2"/>
    <x v="0"/>
    <x v="0"/>
    <x v="21"/>
    <x v="3"/>
    <x v="11"/>
    <x v="1"/>
  </r>
  <r>
    <s v="TX502101"/>
    <x v="10"/>
    <x v="12"/>
    <x v="884"/>
    <x v="984"/>
    <x v="77"/>
    <d v="2025-03-20T00:00:00"/>
    <x v="2"/>
    <x v="1"/>
    <x v="2"/>
    <x v="0"/>
    <x v="1"/>
    <x v="3"/>
    <x v="11"/>
    <x v="2"/>
  </r>
  <r>
    <s v="TX502102"/>
    <x v="9"/>
    <x v="15"/>
    <x v="486"/>
    <x v="1592"/>
    <x v="77"/>
    <d v="2025-03-20T00:00:00"/>
    <x v="1"/>
    <x v="0"/>
    <x v="0"/>
    <x v="0"/>
    <x v="57"/>
    <x v="3"/>
    <x v="11"/>
    <x v="1"/>
  </r>
  <r>
    <s v="TX502103"/>
    <x v="2"/>
    <x v="11"/>
    <x v="753"/>
    <x v="1593"/>
    <x v="77"/>
    <d v="2025-03-20T00:00:00"/>
    <x v="2"/>
    <x v="0"/>
    <x v="0"/>
    <x v="0"/>
    <x v="42"/>
    <x v="3"/>
    <x v="11"/>
    <x v="2"/>
  </r>
  <r>
    <s v="TX502104"/>
    <x v="7"/>
    <x v="0"/>
    <x v="344"/>
    <x v="392"/>
    <x v="77"/>
    <d v="2025-03-21T00:00:00"/>
    <x v="2"/>
    <x v="0"/>
    <x v="0"/>
    <x v="0"/>
    <x v="2"/>
    <x v="1"/>
    <x v="11"/>
    <x v="2"/>
  </r>
  <r>
    <s v="TX502105"/>
    <x v="5"/>
    <x v="7"/>
    <x v="890"/>
    <x v="1594"/>
    <x v="77"/>
    <d v="2025-03-23T00:00:00"/>
    <x v="2"/>
    <x v="0"/>
    <x v="0"/>
    <x v="0"/>
    <x v="33"/>
    <x v="5"/>
    <x v="11"/>
    <x v="2"/>
  </r>
  <r>
    <s v="TX502106"/>
    <x v="2"/>
    <x v="2"/>
    <x v="891"/>
    <x v="1595"/>
    <x v="77"/>
    <d v="2025-03-21T00:00:00"/>
    <x v="2"/>
    <x v="0"/>
    <x v="2"/>
    <x v="0"/>
    <x v="22"/>
    <x v="1"/>
    <x v="11"/>
    <x v="2"/>
  </r>
  <r>
    <s v="TX502107"/>
    <x v="16"/>
    <x v="12"/>
    <x v="532"/>
    <x v="1093"/>
    <x v="77"/>
    <d v="2025-03-20T00:00:00"/>
    <x v="1"/>
    <x v="2"/>
    <x v="2"/>
    <x v="0"/>
    <x v="22"/>
    <x v="3"/>
    <x v="11"/>
    <x v="1"/>
  </r>
  <r>
    <s v="TX502108"/>
    <x v="2"/>
    <x v="2"/>
    <x v="553"/>
    <x v="1596"/>
    <x v="77"/>
    <d v="2025-03-23T00:00:00"/>
    <x v="2"/>
    <x v="1"/>
    <x v="1"/>
    <x v="0"/>
    <x v="3"/>
    <x v="5"/>
    <x v="11"/>
    <x v="2"/>
  </r>
  <r>
    <s v="TX502109"/>
    <x v="7"/>
    <x v="0"/>
    <x v="222"/>
    <x v="636"/>
    <x v="77"/>
    <d v="2025-03-20T00:00:00"/>
    <x v="1"/>
    <x v="1"/>
    <x v="4"/>
    <x v="0"/>
    <x v="3"/>
    <x v="3"/>
    <x v="11"/>
    <x v="1"/>
  </r>
  <r>
    <s v="TX502110"/>
    <x v="10"/>
    <x v="0"/>
    <x v="34"/>
    <x v="109"/>
    <x v="77"/>
    <d v="2025-03-21T00:00:00"/>
    <x v="1"/>
    <x v="0"/>
    <x v="0"/>
    <x v="0"/>
    <x v="3"/>
    <x v="1"/>
    <x v="11"/>
    <x v="1"/>
  </r>
  <r>
    <s v="TX502111"/>
    <x v="10"/>
    <x v="12"/>
    <x v="234"/>
    <x v="255"/>
    <x v="77"/>
    <d v="2025-03-20T00:00:00"/>
    <x v="2"/>
    <x v="0"/>
    <x v="2"/>
    <x v="0"/>
    <x v="3"/>
    <x v="3"/>
    <x v="11"/>
    <x v="2"/>
  </r>
  <r>
    <s v="TX502112"/>
    <x v="12"/>
    <x v="2"/>
    <x v="788"/>
    <x v="1597"/>
    <x v="77"/>
    <d v="2025-03-20T00:00:00"/>
    <x v="3"/>
    <x v="4"/>
    <x v="0"/>
    <x v="0"/>
    <x v="3"/>
    <x v="3"/>
    <x v="11"/>
    <x v="3"/>
  </r>
  <r>
    <s v="TX502113"/>
    <x v="0"/>
    <x v="8"/>
    <x v="860"/>
    <x v="64"/>
    <x v="77"/>
    <d v="2025-03-20T00:00:00"/>
    <x v="1"/>
    <x v="2"/>
    <x v="2"/>
    <x v="0"/>
    <x v="3"/>
    <x v="3"/>
    <x v="11"/>
    <x v="1"/>
  </r>
  <r>
    <s v="TX502114"/>
    <x v="7"/>
    <x v="1"/>
    <x v="665"/>
    <x v="1598"/>
    <x v="77"/>
    <d v="2025-03-22T00:00:00"/>
    <x v="2"/>
    <x v="2"/>
    <x v="0"/>
    <x v="0"/>
    <x v="3"/>
    <x v="2"/>
    <x v="11"/>
    <x v="2"/>
  </r>
  <r>
    <s v="TX502115"/>
    <x v="5"/>
    <x v="21"/>
    <x v="724"/>
    <x v="1599"/>
    <x v="77"/>
    <d v="2025-03-24T00:00:00"/>
    <x v="2"/>
    <x v="1"/>
    <x v="0"/>
    <x v="0"/>
    <x v="3"/>
    <x v="0"/>
    <x v="11"/>
    <x v="2"/>
  </r>
  <r>
    <s v="TX502116"/>
    <x v="8"/>
    <x v="0"/>
    <x v="383"/>
    <x v="1600"/>
    <x v="77"/>
    <d v="2025-03-20T00:00:00"/>
    <x v="2"/>
    <x v="0"/>
    <x v="0"/>
    <x v="0"/>
    <x v="3"/>
    <x v="3"/>
    <x v="11"/>
    <x v="2"/>
  </r>
  <r>
    <s v="TX502117"/>
    <x v="5"/>
    <x v="0"/>
    <x v="356"/>
    <x v="1601"/>
    <x v="77"/>
    <d v="2025-03-23T00:00:00"/>
    <x v="1"/>
    <x v="4"/>
    <x v="2"/>
    <x v="0"/>
    <x v="3"/>
    <x v="5"/>
    <x v="11"/>
    <x v="1"/>
  </r>
  <r>
    <s v="TX502118"/>
    <x v="1"/>
    <x v="1"/>
    <x v="716"/>
    <x v="507"/>
    <x v="77"/>
    <d v="2025-03-20T00:00:00"/>
    <x v="1"/>
    <x v="2"/>
    <x v="2"/>
    <x v="0"/>
    <x v="3"/>
    <x v="3"/>
    <x v="11"/>
    <x v="1"/>
  </r>
  <r>
    <s v="TX502119"/>
    <x v="6"/>
    <x v="12"/>
    <x v="317"/>
    <x v="1602"/>
    <x v="77"/>
    <d v="2025-03-20T00:00:00"/>
    <x v="1"/>
    <x v="0"/>
    <x v="0"/>
    <x v="0"/>
    <x v="3"/>
    <x v="3"/>
    <x v="11"/>
    <x v="1"/>
  </r>
  <r>
    <s v="TX502120"/>
    <x v="9"/>
    <x v="1"/>
    <x v="56"/>
    <x v="628"/>
    <x v="77"/>
    <d v="2025-03-19T00:00:00"/>
    <x v="1"/>
    <x v="4"/>
    <x v="1"/>
    <x v="0"/>
    <x v="3"/>
    <x v="7"/>
    <x v="11"/>
    <x v="1"/>
  </r>
  <r>
    <s v="TX502121"/>
    <x v="5"/>
    <x v="9"/>
    <x v="532"/>
    <x v="1603"/>
    <x v="77"/>
    <d v="2025-03-20T00:00:00"/>
    <x v="2"/>
    <x v="0"/>
    <x v="0"/>
    <x v="0"/>
    <x v="3"/>
    <x v="3"/>
    <x v="11"/>
    <x v="2"/>
  </r>
  <r>
    <s v="TX502122"/>
    <x v="2"/>
    <x v="2"/>
    <x v="892"/>
    <x v="1604"/>
    <x v="77"/>
    <d v="2025-04-01T00:00:00"/>
    <x v="2"/>
    <x v="1"/>
    <x v="2"/>
    <x v="0"/>
    <x v="3"/>
    <x v="10"/>
    <x v="11"/>
    <x v="2"/>
  </r>
  <r>
    <s v="TX502123"/>
    <x v="4"/>
    <x v="12"/>
    <x v="597"/>
    <x v="1605"/>
    <x v="77"/>
    <d v="2025-03-20T00:00:00"/>
    <x v="0"/>
    <x v="1"/>
    <x v="2"/>
    <x v="0"/>
    <x v="24"/>
    <x v="3"/>
    <x v="11"/>
    <x v="0"/>
  </r>
  <r>
    <s v="TX502124"/>
    <x v="18"/>
    <x v="2"/>
    <x v="434"/>
    <x v="1329"/>
    <x v="77"/>
    <d v="2025-03-20T00:00:00"/>
    <x v="1"/>
    <x v="3"/>
    <x v="2"/>
    <x v="0"/>
    <x v="24"/>
    <x v="3"/>
    <x v="11"/>
    <x v="1"/>
  </r>
  <r>
    <s v="TX502125"/>
    <x v="8"/>
    <x v="2"/>
    <x v="329"/>
    <x v="376"/>
    <x v="77"/>
    <d v="2025-03-22T00:00:00"/>
    <x v="2"/>
    <x v="0"/>
    <x v="0"/>
    <x v="0"/>
    <x v="25"/>
    <x v="2"/>
    <x v="11"/>
    <x v="2"/>
  </r>
  <r>
    <s v="TX502126"/>
    <x v="12"/>
    <x v="8"/>
    <x v="386"/>
    <x v="1606"/>
    <x v="77"/>
    <d v="2025-03-22T00:00:00"/>
    <x v="2"/>
    <x v="0"/>
    <x v="2"/>
    <x v="0"/>
    <x v="23"/>
    <x v="2"/>
    <x v="11"/>
    <x v="2"/>
  </r>
  <r>
    <s v="TX502127"/>
    <x v="4"/>
    <x v="21"/>
    <x v="151"/>
    <x v="1469"/>
    <x v="77"/>
    <d v="2025-03-19T00:00:00"/>
    <x v="2"/>
    <x v="1"/>
    <x v="2"/>
    <x v="0"/>
    <x v="6"/>
    <x v="7"/>
    <x v="11"/>
    <x v="2"/>
  </r>
  <r>
    <s v="TX502128"/>
    <x v="15"/>
    <x v="8"/>
    <x v="73"/>
    <x v="1607"/>
    <x v="77"/>
    <d v="2025-03-25T00:00:00"/>
    <x v="2"/>
    <x v="3"/>
    <x v="2"/>
    <x v="0"/>
    <x v="7"/>
    <x v="4"/>
    <x v="11"/>
    <x v="2"/>
  </r>
  <r>
    <s v="TX502129"/>
    <x v="8"/>
    <x v="2"/>
    <x v="457"/>
    <x v="1608"/>
    <x v="77"/>
    <d v="2025-03-20T00:00:00"/>
    <x v="1"/>
    <x v="0"/>
    <x v="0"/>
    <x v="0"/>
    <x v="8"/>
    <x v="3"/>
    <x v="11"/>
    <x v="1"/>
  </r>
  <r>
    <s v="TX502130"/>
    <x v="1"/>
    <x v="3"/>
    <x v="380"/>
    <x v="1009"/>
    <x v="77"/>
    <d v="2025-03-20T00:00:00"/>
    <x v="2"/>
    <x v="1"/>
    <x v="2"/>
    <x v="0"/>
    <x v="8"/>
    <x v="3"/>
    <x v="11"/>
    <x v="2"/>
  </r>
  <r>
    <s v="TX502131"/>
    <x v="8"/>
    <x v="0"/>
    <x v="893"/>
    <x v="1609"/>
    <x v="77"/>
    <d v="2025-03-23T00:00:00"/>
    <x v="0"/>
    <x v="2"/>
    <x v="1"/>
    <x v="0"/>
    <x v="8"/>
    <x v="5"/>
    <x v="11"/>
    <x v="0"/>
  </r>
  <r>
    <s v="TX502132"/>
    <x v="8"/>
    <x v="13"/>
    <x v="583"/>
    <x v="1610"/>
    <x v="77"/>
    <d v="2025-03-22T00:00:00"/>
    <x v="2"/>
    <x v="0"/>
    <x v="0"/>
    <x v="0"/>
    <x v="8"/>
    <x v="2"/>
    <x v="11"/>
    <x v="2"/>
  </r>
  <r>
    <s v="TX502133"/>
    <x v="8"/>
    <x v="5"/>
    <x v="51"/>
    <x v="1611"/>
    <x v="77"/>
    <d v="2025-03-20T00:00:00"/>
    <x v="1"/>
    <x v="0"/>
    <x v="0"/>
    <x v="0"/>
    <x v="8"/>
    <x v="3"/>
    <x v="11"/>
    <x v="1"/>
  </r>
  <r>
    <s v="TX502134"/>
    <x v="13"/>
    <x v="2"/>
    <x v="182"/>
    <x v="824"/>
    <x v="77"/>
    <d v="2025-03-25T00:00:00"/>
    <x v="1"/>
    <x v="2"/>
    <x v="4"/>
    <x v="0"/>
    <x v="8"/>
    <x v="4"/>
    <x v="11"/>
    <x v="1"/>
  </r>
  <r>
    <s v="TX502135"/>
    <x v="2"/>
    <x v="7"/>
    <x v="894"/>
    <x v="1612"/>
    <x v="77"/>
    <d v="2025-03-20T00:00:00"/>
    <x v="1"/>
    <x v="3"/>
    <x v="1"/>
    <x v="0"/>
    <x v="8"/>
    <x v="3"/>
    <x v="11"/>
    <x v="1"/>
  </r>
  <r>
    <s v="TX502136"/>
    <x v="3"/>
    <x v="9"/>
    <x v="164"/>
    <x v="1613"/>
    <x v="77"/>
    <d v="2025-03-21T00:00:00"/>
    <x v="1"/>
    <x v="1"/>
    <x v="1"/>
    <x v="0"/>
    <x v="17"/>
    <x v="1"/>
    <x v="11"/>
    <x v="1"/>
  </r>
  <r>
    <s v="TX502137"/>
    <x v="1"/>
    <x v="2"/>
    <x v="895"/>
    <x v="1614"/>
    <x v="77"/>
    <d v="2025-03-20T00:00:00"/>
    <x v="1"/>
    <x v="1"/>
    <x v="4"/>
    <x v="0"/>
    <x v="11"/>
    <x v="3"/>
    <x v="11"/>
    <x v="1"/>
  </r>
  <r>
    <s v="TX502138"/>
    <x v="2"/>
    <x v="12"/>
    <x v="896"/>
    <x v="1615"/>
    <x v="78"/>
    <d v="2025-03-23T00:00:00"/>
    <x v="1"/>
    <x v="0"/>
    <x v="0"/>
    <x v="0"/>
    <x v="11"/>
    <x v="2"/>
    <x v="11"/>
    <x v="1"/>
  </r>
  <r>
    <s v="TX502139"/>
    <x v="8"/>
    <x v="1"/>
    <x v="53"/>
    <x v="53"/>
    <x v="78"/>
    <d v="2025-03-21T00:00:00"/>
    <x v="2"/>
    <x v="1"/>
    <x v="2"/>
    <x v="0"/>
    <x v="53"/>
    <x v="3"/>
    <x v="11"/>
    <x v="2"/>
  </r>
  <r>
    <s v="TX502140"/>
    <x v="4"/>
    <x v="0"/>
    <x v="278"/>
    <x v="1616"/>
    <x v="78"/>
    <d v="2025-03-21T00:00:00"/>
    <x v="2"/>
    <x v="4"/>
    <x v="2"/>
    <x v="0"/>
    <x v="21"/>
    <x v="3"/>
    <x v="11"/>
    <x v="2"/>
  </r>
  <r>
    <s v="TX502141"/>
    <x v="10"/>
    <x v="1"/>
    <x v="665"/>
    <x v="1598"/>
    <x v="78"/>
    <d v="2025-03-21T00:00:00"/>
    <x v="1"/>
    <x v="4"/>
    <x v="1"/>
    <x v="0"/>
    <x v="3"/>
    <x v="3"/>
    <x v="11"/>
    <x v="1"/>
  </r>
  <r>
    <s v="TX502142"/>
    <x v="3"/>
    <x v="0"/>
    <x v="115"/>
    <x v="1201"/>
    <x v="78"/>
    <d v="2025-03-23T00:00:00"/>
    <x v="1"/>
    <x v="3"/>
    <x v="0"/>
    <x v="0"/>
    <x v="3"/>
    <x v="2"/>
    <x v="11"/>
    <x v="1"/>
  </r>
  <r>
    <s v="TX502143"/>
    <x v="7"/>
    <x v="0"/>
    <x v="63"/>
    <x v="406"/>
    <x v="78"/>
    <d v="2025-03-21T00:00:00"/>
    <x v="1"/>
    <x v="1"/>
    <x v="2"/>
    <x v="0"/>
    <x v="3"/>
    <x v="3"/>
    <x v="11"/>
    <x v="1"/>
  </r>
  <r>
    <s v="TX502144"/>
    <x v="0"/>
    <x v="0"/>
    <x v="384"/>
    <x v="749"/>
    <x v="78"/>
    <d v="2025-03-21T00:00:00"/>
    <x v="2"/>
    <x v="2"/>
    <x v="1"/>
    <x v="0"/>
    <x v="3"/>
    <x v="3"/>
    <x v="11"/>
    <x v="2"/>
  </r>
  <r>
    <s v="TX502145"/>
    <x v="8"/>
    <x v="0"/>
    <x v="544"/>
    <x v="716"/>
    <x v="78"/>
    <d v="2025-03-21T00:00:00"/>
    <x v="1"/>
    <x v="0"/>
    <x v="0"/>
    <x v="0"/>
    <x v="3"/>
    <x v="3"/>
    <x v="11"/>
    <x v="1"/>
  </r>
  <r>
    <s v="TX502146"/>
    <x v="9"/>
    <x v="8"/>
    <x v="567"/>
    <x v="1617"/>
    <x v="78"/>
    <d v="2025-03-23T00:00:00"/>
    <x v="2"/>
    <x v="3"/>
    <x v="2"/>
    <x v="0"/>
    <x v="3"/>
    <x v="2"/>
    <x v="11"/>
    <x v="2"/>
  </r>
  <r>
    <s v="TX502147"/>
    <x v="1"/>
    <x v="2"/>
    <x v="674"/>
    <x v="523"/>
    <x v="78"/>
    <d v="2025-04-03T00:00:00"/>
    <x v="2"/>
    <x v="0"/>
    <x v="0"/>
    <x v="0"/>
    <x v="3"/>
    <x v="12"/>
    <x v="11"/>
    <x v="2"/>
  </r>
  <r>
    <s v="TX502148"/>
    <x v="1"/>
    <x v="1"/>
    <x v="897"/>
    <x v="1618"/>
    <x v="78"/>
    <d v="2025-03-20T00:00:00"/>
    <x v="1"/>
    <x v="0"/>
    <x v="2"/>
    <x v="0"/>
    <x v="3"/>
    <x v="7"/>
    <x v="11"/>
    <x v="1"/>
  </r>
  <r>
    <s v="TX502149"/>
    <x v="12"/>
    <x v="1"/>
    <x v="317"/>
    <x v="1619"/>
    <x v="78"/>
    <d v="2025-03-28T00:00:00"/>
    <x v="2"/>
    <x v="3"/>
    <x v="2"/>
    <x v="0"/>
    <x v="3"/>
    <x v="9"/>
    <x v="11"/>
    <x v="2"/>
  </r>
  <r>
    <s v="TX502150"/>
    <x v="1"/>
    <x v="0"/>
    <x v="94"/>
    <x v="1620"/>
    <x v="78"/>
    <d v="2025-03-23T00:00:00"/>
    <x v="1"/>
    <x v="3"/>
    <x v="0"/>
    <x v="0"/>
    <x v="3"/>
    <x v="2"/>
    <x v="11"/>
    <x v="1"/>
  </r>
  <r>
    <s v="TX502151"/>
    <x v="8"/>
    <x v="1"/>
    <x v="52"/>
    <x v="925"/>
    <x v="78"/>
    <d v="2025-03-21T00:00:00"/>
    <x v="2"/>
    <x v="4"/>
    <x v="1"/>
    <x v="0"/>
    <x v="43"/>
    <x v="3"/>
    <x v="11"/>
    <x v="2"/>
  </r>
  <r>
    <s v="TX502152"/>
    <x v="6"/>
    <x v="1"/>
    <x v="164"/>
    <x v="1621"/>
    <x v="78"/>
    <d v="2025-03-20T00:00:00"/>
    <x v="2"/>
    <x v="4"/>
    <x v="2"/>
    <x v="0"/>
    <x v="16"/>
    <x v="7"/>
    <x v="11"/>
    <x v="2"/>
  </r>
  <r>
    <s v="TX502153"/>
    <x v="13"/>
    <x v="1"/>
    <x v="365"/>
    <x v="933"/>
    <x v="78"/>
    <d v="2025-03-21T00:00:00"/>
    <x v="2"/>
    <x v="0"/>
    <x v="2"/>
    <x v="0"/>
    <x v="4"/>
    <x v="3"/>
    <x v="11"/>
    <x v="2"/>
  </r>
  <r>
    <s v="TX502154"/>
    <x v="0"/>
    <x v="12"/>
    <x v="201"/>
    <x v="58"/>
    <x v="78"/>
    <d v="2025-03-21T00:00:00"/>
    <x v="2"/>
    <x v="1"/>
    <x v="2"/>
    <x v="0"/>
    <x v="25"/>
    <x v="3"/>
    <x v="11"/>
    <x v="2"/>
  </r>
  <r>
    <s v="TX502155"/>
    <x v="4"/>
    <x v="2"/>
    <x v="37"/>
    <x v="1622"/>
    <x v="78"/>
    <d v="2025-03-23T00:00:00"/>
    <x v="1"/>
    <x v="1"/>
    <x v="2"/>
    <x v="0"/>
    <x v="25"/>
    <x v="2"/>
    <x v="11"/>
    <x v="1"/>
  </r>
  <r>
    <s v="TX502156"/>
    <x v="6"/>
    <x v="0"/>
    <x v="898"/>
    <x v="1623"/>
    <x v="78"/>
    <d v="2025-03-21T00:00:00"/>
    <x v="1"/>
    <x v="1"/>
    <x v="0"/>
    <x v="0"/>
    <x v="6"/>
    <x v="3"/>
    <x v="11"/>
    <x v="1"/>
  </r>
  <r>
    <s v="TX502157"/>
    <x v="4"/>
    <x v="9"/>
    <x v="235"/>
    <x v="1624"/>
    <x v="78"/>
    <d v="2025-03-22T00:00:00"/>
    <x v="2"/>
    <x v="0"/>
    <x v="0"/>
    <x v="0"/>
    <x v="6"/>
    <x v="1"/>
    <x v="11"/>
    <x v="2"/>
  </r>
  <r>
    <s v="TX502158"/>
    <x v="1"/>
    <x v="12"/>
    <x v="657"/>
    <x v="1625"/>
    <x v="78"/>
    <d v="2025-03-21T00:00:00"/>
    <x v="2"/>
    <x v="2"/>
    <x v="2"/>
    <x v="0"/>
    <x v="7"/>
    <x v="3"/>
    <x v="11"/>
    <x v="2"/>
  </r>
  <r>
    <s v="TX502159"/>
    <x v="3"/>
    <x v="1"/>
    <x v="899"/>
    <x v="1626"/>
    <x v="78"/>
    <d v="2025-03-23T00:00:00"/>
    <x v="0"/>
    <x v="0"/>
    <x v="2"/>
    <x v="0"/>
    <x v="7"/>
    <x v="2"/>
    <x v="11"/>
    <x v="0"/>
  </r>
  <r>
    <s v="TX502160"/>
    <x v="5"/>
    <x v="15"/>
    <x v="165"/>
    <x v="1627"/>
    <x v="78"/>
    <d v="2025-03-21T00:00:00"/>
    <x v="1"/>
    <x v="4"/>
    <x v="0"/>
    <x v="0"/>
    <x v="7"/>
    <x v="3"/>
    <x v="11"/>
    <x v="1"/>
  </r>
  <r>
    <s v="TX502161"/>
    <x v="6"/>
    <x v="5"/>
    <x v="787"/>
    <x v="1628"/>
    <x v="78"/>
    <d v="2025-03-21T00:00:00"/>
    <x v="2"/>
    <x v="0"/>
    <x v="0"/>
    <x v="0"/>
    <x v="8"/>
    <x v="3"/>
    <x v="11"/>
    <x v="2"/>
  </r>
  <r>
    <s v="TX502162"/>
    <x v="1"/>
    <x v="0"/>
    <x v="900"/>
    <x v="1629"/>
    <x v="78"/>
    <d v="2025-03-21T00:00:00"/>
    <x v="1"/>
    <x v="0"/>
    <x v="0"/>
    <x v="0"/>
    <x v="8"/>
    <x v="3"/>
    <x v="11"/>
    <x v="1"/>
  </r>
  <r>
    <s v="TX502163"/>
    <x v="8"/>
    <x v="4"/>
    <x v="843"/>
    <x v="1630"/>
    <x v="78"/>
    <d v="2025-03-22T00:00:00"/>
    <x v="1"/>
    <x v="2"/>
    <x v="2"/>
    <x v="0"/>
    <x v="8"/>
    <x v="1"/>
    <x v="11"/>
    <x v="1"/>
  </r>
  <r>
    <s v="TX502164"/>
    <x v="6"/>
    <x v="12"/>
    <x v="337"/>
    <x v="536"/>
    <x v="78"/>
    <d v="2025-03-20T00:00:00"/>
    <x v="1"/>
    <x v="3"/>
    <x v="2"/>
    <x v="0"/>
    <x v="8"/>
    <x v="7"/>
    <x v="11"/>
    <x v="1"/>
  </r>
  <r>
    <s v="TX502165"/>
    <x v="10"/>
    <x v="13"/>
    <x v="162"/>
    <x v="1143"/>
    <x v="78"/>
    <d v="2025-03-21T00:00:00"/>
    <x v="1"/>
    <x v="4"/>
    <x v="0"/>
    <x v="0"/>
    <x v="8"/>
    <x v="3"/>
    <x v="11"/>
    <x v="1"/>
  </r>
  <r>
    <s v="TX502166"/>
    <x v="6"/>
    <x v="47"/>
    <x v="901"/>
    <x v="1631"/>
    <x v="79"/>
    <d v="2025-03-23T00:00:00"/>
    <x v="1"/>
    <x v="4"/>
    <x v="2"/>
    <x v="0"/>
    <x v="8"/>
    <x v="1"/>
    <x v="11"/>
    <x v="1"/>
  </r>
  <r>
    <s v="TX502167"/>
    <x v="12"/>
    <x v="9"/>
    <x v="828"/>
    <x v="1632"/>
    <x v="79"/>
    <d v="2025-03-27T00:00:00"/>
    <x v="0"/>
    <x v="1"/>
    <x v="1"/>
    <x v="0"/>
    <x v="18"/>
    <x v="4"/>
    <x v="11"/>
    <x v="0"/>
  </r>
  <r>
    <s v="TX502168"/>
    <x v="6"/>
    <x v="1"/>
    <x v="902"/>
    <x v="1530"/>
    <x v="79"/>
    <d v="2025-03-22T00:00:00"/>
    <x v="2"/>
    <x v="2"/>
    <x v="0"/>
    <x v="0"/>
    <x v="13"/>
    <x v="3"/>
    <x v="11"/>
    <x v="2"/>
  </r>
  <r>
    <s v="TX502169"/>
    <x v="6"/>
    <x v="12"/>
    <x v="276"/>
    <x v="1633"/>
    <x v="79"/>
    <d v="2025-03-22T00:00:00"/>
    <x v="1"/>
    <x v="1"/>
    <x v="2"/>
    <x v="0"/>
    <x v="21"/>
    <x v="3"/>
    <x v="11"/>
    <x v="1"/>
  </r>
  <r>
    <s v="TX502170"/>
    <x v="18"/>
    <x v="1"/>
    <x v="903"/>
    <x v="1634"/>
    <x v="79"/>
    <d v="2025-03-21T00:00:00"/>
    <x v="1"/>
    <x v="3"/>
    <x v="0"/>
    <x v="0"/>
    <x v="21"/>
    <x v="7"/>
    <x v="11"/>
    <x v="1"/>
  </r>
  <r>
    <s v="TX502171"/>
    <x v="2"/>
    <x v="1"/>
    <x v="148"/>
    <x v="384"/>
    <x v="79"/>
    <d v="2025-03-22T00:00:00"/>
    <x v="2"/>
    <x v="1"/>
    <x v="1"/>
    <x v="0"/>
    <x v="21"/>
    <x v="3"/>
    <x v="11"/>
    <x v="2"/>
  </r>
  <r>
    <s v="TX502172"/>
    <x v="7"/>
    <x v="0"/>
    <x v="491"/>
    <x v="1635"/>
    <x v="79"/>
    <d v="2025-03-22T00:00:00"/>
    <x v="1"/>
    <x v="3"/>
    <x v="1"/>
    <x v="0"/>
    <x v="1"/>
    <x v="3"/>
    <x v="11"/>
    <x v="1"/>
  </r>
  <r>
    <s v="TX502173"/>
    <x v="2"/>
    <x v="8"/>
    <x v="904"/>
    <x v="1636"/>
    <x v="79"/>
    <d v="2025-03-23T00:00:00"/>
    <x v="1"/>
    <x v="2"/>
    <x v="0"/>
    <x v="0"/>
    <x v="42"/>
    <x v="1"/>
    <x v="11"/>
    <x v="1"/>
  </r>
  <r>
    <s v="TX502174"/>
    <x v="19"/>
    <x v="1"/>
    <x v="905"/>
    <x v="1637"/>
    <x v="79"/>
    <d v="2025-03-22T00:00:00"/>
    <x v="2"/>
    <x v="4"/>
    <x v="2"/>
    <x v="0"/>
    <x v="2"/>
    <x v="3"/>
    <x v="11"/>
    <x v="2"/>
  </r>
  <r>
    <s v="TX502175"/>
    <x v="8"/>
    <x v="2"/>
    <x v="57"/>
    <x v="1638"/>
    <x v="79"/>
    <d v="2025-03-24T00:00:00"/>
    <x v="2"/>
    <x v="2"/>
    <x v="0"/>
    <x v="0"/>
    <x v="22"/>
    <x v="2"/>
    <x v="11"/>
    <x v="2"/>
  </r>
  <r>
    <s v="TX502176"/>
    <x v="10"/>
    <x v="0"/>
    <x v="336"/>
    <x v="1639"/>
    <x v="79"/>
    <d v="2025-03-24T00:00:00"/>
    <x v="1"/>
    <x v="0"/>
    <x v="2"/>
    <x v="0"/>
    <x v="22"/>
    <x v="2"/>
    <x v="11"/>
    <x v="1"/>
  </r>
  <r>
    <s v="TX502177"/>
    <x v="14"/>
    <x v="1"/>
    <x v="170"/>
    <x v="180"/>
    <x v="79"/>
    <d v="2025-03-22T00:00:00"/>
    <x v="2"/>
    <x v="1"/>
    <x v="1"/>
    <x v="0"/>
    <x v="3"/>
    <x v="3"/>
    <x v="11"/>
    <x v="2"/>
  </r>
  <r>
    <s v="TX502178"/>
    <x v="13"/>
    <x v="0"/>
    <x v="277"/>
    <x v="305"/>
    <x v="79"/>
    <d v="2025-03-22T00:00:00"/>
    <x v="2"/>
    <x v="2"/>
    <x v="2"/>
    <x v="0"/>
    <x v="3"/>
    <x v="3"/>
    <x v="11"/>
    <x v="2"/>
  </r>
  <r>
    <s v="TX502179"/>
    <x v="11"/>
    <x v="17"/>
    <x v="49"/>
    <x v="906"/>
    <x v="79"/>
    <d v="2025-03-22T00:00:00"/>
    <x v="2"/>
    <x v="4"/>
    <x v="0"/>
    <x v="0"/>
    <x v="3"/>
    <x v="3"/>
    <x v="11"/>
    <x v="2"/>
  </r>
  <r>
    <s v="TX502180"/>
    <x v="0"/>
    <x v="12"/>
    <x v="270"/>
    <x v="1640"/>
    <x v="79"/>
    <d v="2025-03-22T00:00:00"/>
    <x v="1"/>
    <x v="0"/>
    <x v="2"/>
    <x v="0"/>
    <x v="3"/>
    <x v="3"/>
    <x v="11"/>
    <x v="1"/>
  </r>
  <r>
    <s v="TX502181"/>
    <x v="7"/>
    <x v="1"/>
    <x v="666"/>
    <x v="1641"/>
    <x v="79"/>
    <d v="2025-03-31T00:00:00"/>
    <x v="1"/>
    <x v="2"/>
    <x v="1"/>
    <x v="0"/>
    <x v="3"/>
    <x v="14"/>
    <x v="11"/>
    <x v="1"/>
  </r>
  <r>
    <s v="TX502182"/>
    <x v="8"/>
    <x v="0"/>
    <x v="630"/>
    <x v="1642"/>
    <x v="79"/>
    <d v="2025-03-22T00:00:00"/>
    <x v="1"/>
    <x v="0"/>
    <x v="0"/>
    <x v="0"/>
    <x v="3"/>
    <x v="3"/>
    <x v="11"/>
    <x v="1"/>
  </r>
  <r>
    <s v="TX502183"/>
    <x v="17"/>
    <x v="15"/>
    <x v="728"/>
    <x v="1643"/>
    <x v="79"/>
    <d v="2025-03-24T00:00:00"/>
    <x v="3"/>
    <x v="1"/>
    <x v="2"/>
    <x v="0"/>
    <x v="3"/>
    <x v="2"/>
    <x v="11"/>
    <x v="3"/>
  </r>
  <r>
    <s v="TX502184"/>
    <x v="8"/>
    <x v="2"/>
    <x v="468"/>
    <x v="957"/>
    <x v="79"/>
    <d v="2025-03-25T00:00:00"/>
    <x v="2"/>
    <x v="4"/>
    <x v="2"/>
    <x v="0"/>
    <x v="3"/>
    <x v="5"/>
    <x v="11"/>
    <x v="2"/>
  </r>
  <r>
    <s v="TX502185"/>
    <x v="8"/>
    <x v="0"/>
    <x v="486"/>
    <x v="1644"/>
    <x v="79"/>
    <d v="2025-03-22T00:00:00"/>
    <x v="1"/>
    <x v="4"/>
    <x v="0"/>
    <x v="0"/>
    <x v="3"/>
    <x v="3"/>
    <x v="11"/>
    <x v="1"/>
  </r>
  <r>
    <s v="TX502186"/>
    <x v="0"/>
    <x v="3"/>
    <x v="408"/>
    <x v="1645"/>
    <x v="79"/>
    <d v="2025-03-24T00:00:00"/>
    <x v="1"/>
    <x v="1"/>
    <x v="0"/>
    <x v="0"/>
    <x v="3"/>
    <x v="2"/>
    <x v="11"/>
    <x v="1"/>
  </r>
  <r>
    <s v="TX502187"/>
    <x v="11"/>
    <x v="1"/>
    <x v="440"/>
    <x v="298"/>
    <x v="79"/>
    <d v="2025-03-22T00:00:00"/>
    <x v="2"/>
    <x v="1"/>
    <x v="2"/>
    <x v="0"/>
    <x v="3"/>
    <x v="3"/>
    <x v="11"/>
    <x v="2"/>
  </r>
  <r>
    <s v="TX502188"/>
    <x v="7"/>
    <x v="13"/>
    <x v="411"/>
    <x v="1646"/>
    <x v="79"/>
    <d v="2025-03-22T00:00:00"/>
    <x v="2"/>
    <x v="1"/>
    <x v="4"/>
    <x v="0"/>
    <x v="3"/>
    <x v="3"/>
    <x v="11"/>
    <x v="2"/>
  </r>
  <r>
    <s v="TX502189"/>
    <x v="1"/>
    <x v="1"/>
    <x v="394"/>
    <x v="1647"/>
    <x v="79"/>
    <d v="2025-03-22T00:00:00"/>
    <x v="1"/>
    <x v="1"/>
    <x v="2"/>
    <x v="0"/>
    <x v="4"/>
    <x v="3"/>
    <x v="11"/>
    <x v="1"/>
  </r>
  <r>
    <s v="TX502190"/>
    <x v="1"/>
    <x v="1"/>
    <x v="751"/>
    <x v="1648"/>
    <x v="79"/>
    <d v="2025-03-22T00:00:00"/>
    <x v="1"/>
    <x v="0"/>
    <x v="0"/>
    <x v="0"/>
    <x v="5"/>
    <x v="3"/>
    <x v="11"/>
    <x v="1"/>
  </r>
  <r>
    <s v="TX502191"/>
    <x v="2"/>
    <x v="11"/>
    <x v="906"/>
    <x v="1649"/>
    <x v="79"/>
    <d v="2025-03-26T00:00:00"/>
    <x v="1"/>
    <x v="0"/>
    <x v="0"/>
    <x v="0"/>
    <x v="6"/>
    <x v="0"/>
    <x v="11"/>
    <x v="1"/>
  </r>
  <r>
    <s v="TX502192"/>
    <x v="6"/>
    <x v="1"/>
    <x v="528"/>
    <x v="1650"/>
    <x v="79"/>
    <d v="2025-03-28T00:00:00"/>
    <x v="1"/>
    <x v="0"/>
    <x v="0"/>
    <x v="0"/>
    <x v="8"/>
    <x v="6"/>
    <x v="11"/>
    <x v="1"/>
  </r>
  <r>
    <s v="TX502193"/>
    <x v="10"/>
    <x v="0"/>
    <x v="6"/>
    <x v="6"/>
    <x v="79"/>
    <d v="2025-03-23T00:00:00"/>
    <x v="1"/>
    <x v="0"/>
    <x v="0"/>
    <x v="0"/>
    <x v="8"/>
    <x v="1"/>
    <x v="11"/>
    <x v="1"/>
  </r>
  <r>
    <s v="TX502194"/>
    <x v="2"/>
    <x v="2"/>
    <x v="431"/>
    <x v="1651"/>
    <x v="80"/>
    <d v="2025-03-22T00:00:00"/>
    <x v="2"/>
    <x v="0"/>
    <x v="1"/>
    <x v="0"/>
    <x v="8"/>
    <x v="7"/>
    <x v="11"/>
    <x v="2"/>
  </r>
  <r>
    <s v="TX502195"/>
    <x v="14"/>
    <x v="12"/>
    <x v="615"/>
    <x v="1652"/>
    <x v="80"/>
    <d v="2025-03-24T00:00:00"/>
    <x v="1"/>
    <x v="0"/>
    <x v="0"/>
    <x v="0"/>
    <x v="8"/>
    <x v="1"/>
    <x v="11"/>
    <x v="1"/>
  </r>
  <r>
    <s v="TX502196"/>
    <x v="9"/>
    <x v="5"/>
    <x v="176"/>
    <x v="1653"/>
    <x v="80"/>
    <d v="2025-03-26T00:00:00"/>
    <x v="1"/>
    <x v="2"/>
    <x v="0"/>
    <x v="0"/>
    <x v="17"/>
    <x v="5"/>
    <x v="11"/>
    <x v="1"/>
  </r>
  <r>
    <s v="TX502197"/>
    <x v="1"/>
    <x v="1"/>
    <x v="58"/>
    <x v="58"/>
    <x v="80"/>
    <d v="2025-03-23T00:00:00"/>
    <x v="2"/>
    <x v="0"/>
    <x v="1"/>
    <x v="0"/>
    <x v="17"/>
    <x v="3"/>
    <x v="11"/>
    <x v="2"/>
  </r>
  <r>
    <s v="TX502198"/>
    <x v="2"/>
    <x v="12"/>
    <x v="907"/>
    <x v="1654"/>
    <x v="80"/>
    <d v="2025-03-23T00:00:00"/>
    <x v="2"/>
    <x v="0"/>
    <x v="4"/>
    <x v="0"/>
    <x v="17"/>
    <x v="3"/>
    <x v="11"/>
    <x v="2"/>
  </r>
  <r>
    <s v="TX502199"/>
    <x v="12"/>
    <x v="1"/>
    <x v="898"/>
    <x v="1655"/>
    <x v="80"/>
    <d v="2025-03-23T00:00:00"/>
    <x v="1"/>
    <x v="2"/>
    <x v="0"/>
    <x v="0"/>
    <x v="26"/>
    <x v="3"/>
    <x v="11"/>
    <x v="1"/>
  </r>
  <r>
    <s v="TX502200"/>
    <x v="1"/>
    <x v="0"/>
    <x v="120"/>
    <x v="1656"/>
    <x v="80"/>
    <d v="2025-03-24T00:00:00"/>
    <x v="1"/>
    <x v="0"/>
    <x v="0"/>
    <x v="0"/>
    <x v="9"/>
    <x v="1"/>
    <x v="11"/>
    <x v="1"/>
  </r>
  <r>
    <s v="TX502201"/>
    <x v="19"/>
    <x v="0"/>
    <x v="457"/>
    <x v="1102"/>
    <x v="80"/>
    <d v="2025-03-23T00:00:00"/>
    <x v="1"/>
    <x v="2"/>
    <x v="0"/>
    <x v="0"/>
    <x v="9"/>
    <x v="3"/>
    <x v="11"/>
    <x v="1"/>
  </r>
  <r>
    <s v="TX502202"/>
    <x v="6"/>
    <x v="12"/>
    <x v="459"/>
    <x v="1547"/>
    <x v="80"/>
    <d v="2025-03-23T00:00:00"/>
    <x v="1"/>
    <x v="1"/>
    <x v="1"/>
    <x v="0"/>
    <x v="11"/>
    <x v="3"/>
    <x v="11"/>
    <x v="1"/>
  </r>
  <r>
    <s v="TX502203"/>
    <x v="1"/>
    <x v="0"/>
    <x v="908"/>
    <x v="1657"/>
    <x v="80"/>
    <d v="2025-03-26T00:00:00"/>
    <x v="1"/>
    <x v="1"/>
    <x v="4"/>
    <x v="0"/>
    <x v="18"/>
    <x v="5"/>
    <x v="11"/>
    <x v="1"/>
  </r>
  <r>
    <s v="TX502204"/>
    <x v="14"/>
    <x v="1"/>
    <x v="210"/>
    <x v="440"/>
    <x v="80"/>
    <d v="2025-03-23T00:00:00"/>
    <x v="1"/>
    <x v="2"/>
    <x v="0"/>
    <x v="0"/>
    <x v="20"/>
    <x v="3"/>
    <x v="11"/>
    <x v="1"/>
  </r>
  <r>
    <s v="TX502205"/>
    <x v="8"/>
    <x v="12"/>
    <x v="619"/>
    <x v="1423"/>
    <x v="80"/>
    <d v="2025-03-25T00:00:00"/>
    <x v="2"/>
    <x v="4"/>
    <x v="2"/>
    <x v="0"/>
    <x v="21"/>
    <x v="2"/>
    <x v="11"/>
    <x v="2"/>
  </r>
  <r>
    <s v="TX502206"/>
    <x v="5"/>
    <x v="20"/>
    <x v="909"/>
    <x v="1658"/>
    <x v="80"/>
    <d v="2025-03-24T00:00:00"/>
    <x v="2"/>
    <x v="3"/>
    <x v="1"/>
    <x v="0"/>
    <x v="21"/>
    <x v="1"/>
    <x v="11"/>
    <x v="2"/>
  </r>
  <r>
    <s v="TX502207"/>
    <x v="4"/>
    <x v="0"/>
    <x v="48"/>
    <x v="63"/>
    <x v="80"/>
    <d v="2025-03-23T00:00:00"/>
    <x v="2"/>
    <x v="0"/>
    <x v="1"/>
    <x v="0"/>
    <x v="2"/>
    <x v="3"/>
    <x v="11"/>
    <x v="2"/>
  </r>
  <r>
    <s v="TX502208"/>
    <x v="9"/>
    <x v="18"/>
    <x v="132"/>
    <x v="1659"/>
    <x v="80"/>
    <d v="2025-03-22T00:00:00"/>
    <x v="2"/>
    <x v="3"/>
    <x v="0"/>
    <x v="0"/>
    <x v="2"/>
    <x v="7"/>
    <x v="11"/>
    <x v="2"/>
  </r>
  <r>
    <s v="TX502209"/>
    <x v="1"/>
    <x v="1"/>
    <x v="158"/>
    <x v="1660"/>
    <x v="80"/>
    <d v="2025-03-24T00:00:00"/>
    <x v="2"/>
    <x v="1"/>
    <x v="1"/>
    <x v="0"/>
    <x v="3"/>
    <x v="1"/>
    <x v="11"/>
    <x v="2"/>
  </r>
  <r>
    <s v="TX502210"/>
    <x v="6"/>
    <x v="0"/>
    <x v="910"/>
    <x v="1661"/>
    <x v="80"/>
    <d v="2025-03-23T00:00:00"/>
    <x v="1"/>
    <x v="0"/>
    <x v="0"/>
    <x v="0"/>
    <x v="3"/>
    <x v="3"/>
    <x v="11"/>
    <x v="1"/>
  </r>
  <r>
    <s v="TX502211"/>
    <x v="18"/>
    <x v="2"/>
    <x v="726"/>
    <x v="816"/>
    <x v="80"/>
    <d v="2025-03-24T00:00:00"/>
    <x v="0"/>
    <x v="3"/>
    <x v="2"/>
    <x v="0"/>
    <x v="3"/>
    <x v="1"/>
    <x v="11"/>
    <x v="0"/>
  </r>
  <r>
    <s v="TX502212"/>
    <x v="0"/>
    <x v="2"/>
    <x v="370"/>
    <x v="1656"/>
    <x v="80"/>
    <d v="2025-03-23T00:00:00"/>
    <x v="1"/>
    <x v="4"/>
    <x v="0"/>
    <x v="0"/>
    <x v="3"/>
    <x v="3"/>
    <x v="11"/>
    <x v="1"/>
  </r>
  <r>
    <s v="TX502213"/>
    <x v="12"/>
    <x v="8"/>
    <x v="356"/>
    <x v="1662"/>
    <x v="80"/>
    <d v="2025-03-30T00:00:00"/>
    <x v="2"/>
    <x v="0"/>
    <x v="0"/>
    <x v="0"/>
    <x v="3"/>
    <x v="9"/>
    <x v="11"/>
    <x v="2"/>
  </r>
  <r>
    <s v="TX502214"/>
    <x v="9"/>
    <x v="5"/>
    <x v="93"/>
    <x v="1663"/>
    <x v="80"/>
    <d v="2025-03-24T00:00:00"/>
    <x v="1"/>
    <x v="2"/>
    <x v="0"/>
    <x v="0"/>
    <x v="3"/>
    <x v="1"/>
    <x v="11"/>
    <x v="1"/>
  </r>
  <r>
    <s v="TX502215"/>
    <x v="15"/>
    <x v="0"/>
    <x v="791"/>
    <x v="1277"/>
    <x v="80"/>
    <d v="2025-03-25T00:00:00"/>
    <x v="3"/>
    <x v="0"/>
    <x v="1"/>
    <x v="0"/>
    <x v="8"/>
    <x v="2"/>
    <x v="11"/>
    <x v="3"/>
  </r>
  <r>
    <s v="TX502216"/>
    <x v="8"/>
    <x v="1"/>
    <x v="908"/>
    <x v="1664"/>
    <x v="80"/>
    <d v="2025-03-23T00:00:00"/>
    <x v="2"/>
    <x v="0"/>
    <x v="0"/>
    <x v="0"/>
    <x v="17"/>
    <x v="3"/>
    <x v="11"/>
    <x v="2"/>
  </r>
  <r>
    <s v="TX502217"/>
    <x v="1"/>
    <x v="2"/>
    <x v="206"/>
    <x v="223"/>
    <x v="81"/>
    <d v="2025-03-24T00:00:00"/>
    <x v="1"/>
    <x v="3"/>
    <x v="0"/>
    <x v="0"/>
    <x v="9"/>
    <x v="3"/>
    <x v="12"/>
    <x v="1"/>
  </r>
  <r>
    <s v="TX502218"/>
    <x v="6"/>
    <x v="7"/>
    <x v="387"/>
    <x v="1665"/>
    <x v="81"/>
    <d v="2025-03-27T00:00:00"/>
    <x v="1"/>
    <x v="0"/>
    <x v="0"/>
    <x v="0"/>
    <x v="11"/>
    <x v="5"/>
    <x v="12"/>
    <x v="1"/>
  </r>
  <r>
    <s v="TX502219"/>
    <x v="17"/>
    <x v="1"/>
    <x v="226"/>
    <x v="244"/>
    <x v="81"/>
    <d v="2025-03-24T00:00:00"/>
    <x v="1"/>
    <x v="1"/>
    <x v="1"/>
    <x v="0"/>
    <x v="21"/>
    <x v="3"/>
    <x v="12"/>
    <x v="1"/>
  </r>
  <r>
    <s v="TX502220"/>
    <x v="6"/>
    <x v="7"/>
    <x v="305"/>
    <x v="1666"/>
    <x v="81"/>
    <d v="2025-03-23T00:00:00"/>
    <x v="1"/>
    <x v="2"/>
    <x v="0"/>
    <x v="0"/>
    <x v="1"/>
    <x v="7"/>
    <x v="12"/>
    <x v="1"/>
  </r>
  <r>
    <s v="TX502221"/>
    <x v="8"/>
    <x v="0"/>
    <x v="911"/>
    <x v="1012"/>
    <x v="81"/>
    <d v="2025-03-24T00:00:00"/>
    <x v="1"/>
    <x v="0"/>
    <x v="0"/>
    <x v="0"/>
    <x v="3"/>
    <x v="3"/>
    <x v="12"/>
    <x v="1"/>
  </r>
  <r>
    <s v="TX502222"/>
    <x v="6"/>
    <x v="0"/>
    <x v="397"/>
    <x v="1667"/>
    <x v="81"/>
    <d v="2025-03-23T00:00:00"/>
    <x v="1"/>
    <x v="4"/>
    <x v="0"/>
    <x v="0"/>
    <x v="3"/>
    <x v="7"/>
    <x v="12"/>
    <x v="1"/>
  </r>
  <r>
    <s v="TX502223"/>
    <x v="4"/>
    <x v="0"/>
    <x v="341"/>
    <x v="1668"/>
    <x v="81"/>
    <d v="2025-03-26T00:00:00"/>
    <x v="2"/>
    <x v="4"/>
    <x v="2"/>
    <x v="0"/>
    <x v="3"/>
    <x v="2"/>
    <x v="12"/>
    <x v="2"/>
  </r>
  <r>
    <s v="TX502224"/>
    <x v="8"/>
    <x v="9"/>
    <x v="267"/>
    <x v="1669"/>
    <x v="81"/>
    <d v="2025-03-24T00:00:00"/>
    <x v="2"/>
    <x v="0"/>
    <x v="2"/>
    <x v="0"/>
    <x v="3"/>
    <x v="3"/>
    <x v="12"/>
    <x v="2"/>
  </r>
  <r>
    <s v="TX502225"/>
    <x v="8"/>
    <x v="2"/>
    <x v="615"/>
    <x v="1670"/>
    <x v="81"/>
    <d v="2025-03-24T00:00:00"/>
    <x v="2"/>
    <x v="0"/>
    <x v="0"/>
    <x v="0"/>
    <x v="3"/>
    <x v="3"/>
    <x v="12"/>
    <x v="2"/>
  </r>
  <r>
    <s v="TX502226"/>
    <x v="9"/>
    <x v="9"/>
    <x v="351"/>
    <x v="548"/>
    <x v="81"/>
    <d v="2025-03-23T00:00:00"/>
    <x v="2"/>
    <x v="1"/>
    <x v="2"/>
    <x v="0"/>
    <x v="3"/>
    <x v="7"/>
    <x v="12"/>
    <x v="2"/>
  </r>
  <r>
    <s v="TX502227"/>
    <x v="2"/>
    <x v="1"/>
    <x v="912"/>
    <x v="1671"/>
    <x v="81"/>
    <d v="2025-03-26T00:00:00"/>
    <x v="1"/>
    <x v="1"/>
    <x v="1"/>
    <x v="0"/>
    <x v="3"/>
    <x v="2"/>
    <x v="12"/>
    <x v="1"/>
  </r>
  <r>
    <s v="TX502228"/>
    <x v="8"/>
    <x v="1"/>
    <x v="856"/>
    <x v="791"/>
    <x v="81"/>
    <d v="2025-03-24T00:00:00"/>
    <x v="1"/>
    <x v="0"/>
    <x v="0"/>
    <x v="0"/>
    <x v="3"/>
    <x v="3"/>
    <x v="12"/>
    <x v="1"/>
  </r>
  <r>
    <s v="TX502229"/>
    <x v="14"/>
    <x v="0"/>
    <x v="769"/>
    <x v="1672"/>
    <x v="81"/>
    <d v="2025-03-26T00:00:00"/>
    <x v="2"/>
    <x v="0"/>
    <x v="0"/>
    <x v="0"/>
    <x v="3"/>
    <x v="2"/>
    <x v="12"/>
    <x v="2"/>
  </r>
  <r>
    <s v="TX502230"/>
    <x v="2"/>
    <x v="13"/>
    <x v="339"/>
    <x v="1673"/>
    <x v="81"/>
    <d v="2025-03-23T00:00:00"/>
    <x v="2"/>
    <x v="0"/>
    <x v="0"/>
    <x v="0"/>
    <x v="3"/>
    <x v="7"/>
    <x v="12"/>
    <x v="2"/>
  </r>
  <r>
    <s v="TX502231"/>
    <x v="18"/>
    <x v="8"/>
    <x v="684"/>
    <x v="1674"/>
    <x v="81"/>
    <d v="2025-03-23T00:00:00"/>
    <x v="2"/>
    <x v="0"/>
    <x v="2"/>
    <x v="0"/>
    <x v="23"/>
    <x v="7"/>
    <x v="12"/>
    <x v="2"/>
  </r>
  <r>
    <s v="TX502232"/>
    <x v="15"/>
    <x v="2"/>
    <x v="913"/>
    <x v="1675"/>
    <x v="81"/>
    <d v="2025-03-28T00:00:00"/>
    <x v="1"/>
    <x v="0"/>
    <x v="1"/>
    <x v="0"/>
    <x v="7"/>
    <x v="0"/>
    <x v="12"/>
    <x v="1"/>
  </r>
  <r>
    <s v="TX502233"/>
    <x v="7"/>
    <x v="0"/>
    <x v="653"/>
    <x v="1652"/>
    <x v="81"/>
    <d v="2025-03-24T00:00:00"/>
    <x v="2"/>
    <x v="0"/>
    <x v="0"/>
    <x v="0"/>
    <x v="8"/>
    <x v="3"/>
    <x v="12"/>
    <x v="2"/>
  </r>
  <r>
    <s v="TX502234"/>
    <x v="2"/>
    <x v="7"/>
    <x v="914"/>
    <x v="1676"/>
    <x v="81"/>
    <d v="2025-03-24T00:00:00"/>
    <x v="1"/>
    <x v="0"/>
    <x v="2"/>
    <x v="0"/>
    <x v="8"/>
    <x v="3"/>
    <x v="12"/>
    <x v="1"/>
  </r>
  <r>
    <s v="TX502235"/>
    <x v="6"/>
    <x v="1"/>
    <x v="303"/>
    <x v="645"/>
    <x v="81"/>
    <d v="2025-03-26T00:00:00"/>
    <x v="2"/>
    <x v="0"/>
    <x v="0"/>
    <x v="0"/>
    <x v="10"/>
    <x v="2"/>
    <x v="12"/>
    <x v="2"/>
  </r>
  <r>
    <s v="TX502236"/>
    <x v="15"/>
    <x v="1"/>
    <x v="127"/>
    <x v="1352"/>
    <x v="82"/>
    <d v="2025-03-26T00:00:00"/>
    <x v="0"/>
    <x v="1"/>
    <x v="0"/>
    <x v="0"/>
    <x v="11"/>
    <x v="1"/>
    <x v="12"/>
    <x v="0"/>
  </r>
  <r>
    <s v="TX502237"/>
    <x v="2"/>
    <x v="2"/>
    <x v="482"/>
    <x v="1677"/>
    <x v="82"/>
    <d v="2025-03-25T00:00:00"/>
    <x v="2"/>
    <x v="0"/>
    <x v="2"/>
    <x v="0"/>
    <x v="11"/>
    <x v="3"/>
    <x v="12"/>
    <x v="2"/>
  </r>
  <r>
    <s v="TX502238"/>
    <x v="9"/>
    <x v="0"/>
    <x v="11"/>
    <x v="268"/>
    <x v="82"/>
    <d v="2025-03-26T00:00:00"/>
    <x v="2"/>
    <x v="0"/>
    <x v="2"/>
    <x v="0"/>
    <x v="20"/>
    <x v="1"/>
    <x v="12"/>
    <x v="2"/>
  </r>
  <r>
    <s v="TX502239"/>
    <x v="4"/>
    <x v="1"/>
    <x v="295"/>
    <x v="630"/>
    <x v="82"/>
    <d v="2025-03-26T00:00:00"/>
    <x v="1"/>
    <x v="0"/>
    <x v="2"/>
    <x v="0"/>
    <x v="1"/>
    <x v="1"/>
    <x v="12"/>
    <x v="1"/>
  </r>
  <r>
    <s v="TX502240"/>
    <x v="2"/>
    <x v="13"/>
    <x v="559"/>
    <x v="349"/>
    <x v="82"/>
    <d v="2025-03-25T00:00:00"/>
    <x v="2"/>
    <x v="0"/>
    <x v="2"/>
    <x v="0"/>
    <x v="2"/>
    <x v="3"/>
    <x v="12"/>
    <x v="2"/>
  </r>
  <r>
    <s v="TX502241"/>
    <x v="15"/>
    <x v="12"/>
    <x v="470"/>
    <x v="1267"/>
    <x v="82"/>
    <d v="2025-03-25T00:00:00"/>
    <x v="2"/>
    <x v="0"/>
    <x v="0"/>
    <x v="0"/>
    <x v="3"/>
    <x v="3"/>
    <x v="12"/>
    <x v="2"/>
  </r>
  <r>
    <s v="TX502242"/>
    <x v="8"/>
    <x v="2"/>
    <x v="30"/>
    <x v="1281"/>
    <x v="82"/>
    <d v="2025-03-26T00:00:00"/>
    <x v="1"/>
    <x v="0"/>
    <x v="1"/>
    <x v="0"/>
    <x v="3"/>
    <x v="1"/>
    <x v="12"/>
    <x v="1"/>
  </r>
  <r>
    <s v="TX502243"/>
    <x v="10"/>
    <x v="0"/>
    <x v="686"/>
    <x v="1678"/>
    <x v="82"/>
    <d v="2025-03-28T00:00:00"/>
    <x v="1"/>
    <x v="0"/>
    <x v="4"/>
    <x v="0"/>
    <x v="3"/>
    <x v="5"/>
    <x v="12"/>
    <x v="1"/>
  </r>
  <r>
    <s v="TX502244"/>
    <x v="8"/>
    <x v="1"/>
    <x v="104"/>
    <x v="463"/>
    <x v="82"/>
    <d v="2025-03-26T00:00:00"/>
    <x v="2"/>
    <x v="4"/>
    <x v="2"/>
    <x v="0"/>
    <x v="3"/>
    <x v="1"/>
    <x v="12"/>
    <x v="2"/>
  </r>
  <r>
    <s v="TX502245"/>
    <x v="10"/>
    <x v="9"/>
    <x v="50"/>
    <x v="461"/>
    <x v="82"/>
    <d v="2025-03-25T00:00:00"/>
    <x v="1"/>
    <x v="3"/>
    <x v="0"/>
    <x v="0"/>
    <x v="3"/>
    <x v="3"/>
    <x v="12"/>
    <x v="1"/>
  </r>
  <r>
    <s v="TX502246"/>
    <x v="2"/>
    <x v="0"/>
    <x v="915"/>
    <x v="1250"/>
    <x v="82"/>
    <d v="2025-03-25T00:00:00"/>
    <x v="2"/>
    <x v="0"/>
    <x v="2"/>
    <x v="0"/>
    <x v="3"/>
    <x v="3"/>
    <x v="12"/>
    <x v="2"/>
  </r>
  <r>
    <s v="TX502247"/>
    <x v="2"/>
    <x v="1"/>
    <x v="916"/>
    <x v="1679"/>
    <x v="82"/>
    <d v="2025-03-27T00:00:00"/>
    <x v="2"/>
    <x v="0"/>
    <x v="2"/>
    <x v="0"/>
    <x v="3"/>
    <x v="2"/>
    <x v="12"/>
    <x v="2"/>
  </r>
  <r>
    <s v="TX502248"/>
    <x v="3"/>
    <x v="1"/>
    <x v="449"/>
    <x v="1512"/>
    <x v="82"/>
    <d v="2025-03-25T00:00:00"/>
    <x v="2"/>
    <x v="1"/>
    <x v="4"/>
    <x v="0"/>
    <x v="3"/>
    <x v="3"/>
    <x v="12"/>
    <x v="2"/>
  </r>
  <r>
    <s v="TX502249"/>
    <x v="6"/>
    <x v="0"/>
    <x v="236"/>
    <x v="573"/>
    <x v="82"/>
    <d v="2025-03-27T00:00:00"/>
    <x v="1"/>
    <x v="1"/>
    <x v="0"/>
    <x v="0"/>
    <x v="3"/>
    <x v="2"/>
    <x v="12"/>
    <x v="1"/>
  </r>
  <r>
    <s v="TX502250"/>
    <x v="5"/>
    <x v="12"/>
    <x v="746"/>
    <x v="764"/>
    <x v="82"/>
    <d v="2025-03-26T00:00:00"/>
    <x v="2"/>
    <x v="0"/>
    <x v="0"/>
    <x v="0"/>
    <x v="3"/>
    <x v="1"/>
    <x v="12"/>
    <x v="2"/>
  </r>
  <r>
    <s v="TX502251"/>
    <x v="8"/>
    <x v="0"/>
    <x v="601"/>
    <x v="1680"/>
    <x v="82"/>
    <d v="2025-03-25T00:00:00"/>
    <x v="2"/>
    <x v="2"/>
    <x v="2"/>
    <x v="0"/>
    <x v="24"/>
    <x v="3"/>
    <x v="12"/>
    <x v="2"/>
  </r>
  <r>
    <s v="TX502252"/>
    <x v="1"/>
    <x v="1"/>
    <x v="644"/>
    <x v="1148"/>
    <x v="82"/>
    <d v="2025-03-25T00:00:00"/>
    <x v="1"/>
    <x v="0"/>
    <x v="1"/>
    <x v="0"/>
    <x v="24"/>
    <x v="3"/>
    <x v="12"/>
    <x v="1"/>
  </r>
  <r>
    <s v="TX502253"/>
    <x v="0"/>
    <x v="0"/>
    <x v="790"/>
    <x v="804"/>
    <x v="82"/>
    <d v="2025-03-25T00:00:00"/>
    <x v="1"/>
    <x v="0"/>
    <x v="1"/>
    <x v="0"/>
    <x v="16"/>
    <x v="3"/>
    <x v="12"/>
    <x v="1"/>
  </r>
  <r>
    <s v="TX502254"/>
    <x v="15"/>
    <x v="2"/>
    <x v="412"/>
    <x v="1681"/>
    <x v="82"/>
    <d v="2025-03-26T00:00:00"/>
    <x v="1"/>
    <x v="2"/>
    <x v="0"/>
    <x v="0"/>
    <x v="6"/>
    <x v="1"/>
    <x v="12"/>
    <x v="1"/>
  </r>
  <r>
    <s v="TX502255"/>
    <x v="7"/>
    <x v="20"/>
    <x v="651"/>
    <x v="1682"/>
    <x v="82"/>
    <d v="2025-03-27T00:00:00"/>
    <x v="2"/>
    <x v="2"/>
    <x v="1"/>
    <x v="0"/>
    <x v="8"/>
    <x v="2"/>
    <x v="12"/>
    <x v="2"/>
  </r>
  <r>
    <s v="TX502256"/>
    <x v="8"/>
    <x v="12"/>
    <x v="775"/>
    <x v="1683"/>
    <x v="82"/>
    <d v="2025-03-26T00:00:00"/>
    <x v="2"/>
    <x v="1"/>
    <x v="0"/>
    <x v="0"/>
    <x v="8"/>
    <x v="1"/>
    <x v="12"/>
    <x v="2"/>
  </r>
  <r>
    <s v="TX502257"/>
    <x v="0"/>
    <x v="2"/>
    <x v="597"/>
    <x v="815"/>
    <x v="82"/>
    <d v="2025-03-25T00:00:00"/>
    <x v="1"/>
    <x v="1"/>
    <x v="0"/>
    <x v="0"/>
    <x v="17"/>
    <x v="3"/>
    <x v="12"/>
    <x v="1"/>
  </r>
  <r>
    <s v="TX502258"/>
    <x v="10"/>
    <x v="0"/>
    <x v="498"/>
    <x v="1684"/>
    <x v="82"/>
    <d v="2025-03-25T00:00:00"/>
    <x v="2"/>
    <x v="0"/>
    <x v="0"/>
    <x v="0"/>
    <x v="11"/>
    <x v="3"/>
    <x v="12"/>
    <x v="2"/>
  </r>
  <r>
    <s v="TX502259"/>
    <x v="5"/>
    <x v="2"/>
    <x v="13"/>
    <x v="1685"/>
    <x v="83"/>
    <d v="2025-03-27T00:00:00"/>
    <x v="2"/>
    <x v="1"/>
    <x v="1"/>
    <x v="0"/>
    <x v="11"/>
    <x v="1"/>
    <x v="12"/>
    <x v="2"/>
  </r>
  <r>
    <s v="TX502260"/>
    <x v="5"/>
    <x v="27"/>
    <x v="162"/>
    <x v="865"/>
    <x v="83"/>
    <d v="2025-03-26T00:00:00"/>
    <x v="2"/>
    <x v="2"/>
    <x v="0"/>
    <x v="0"/>
    <x v="11"/>
    <x v="3"/>
    <x v="12"/>
    <x v="2"/>
  </r>
  <r>
    <s v="TX502261"/>
    <x v="1"/>
    <x v="13"/>
    <x v="202"/>
    <x v="1686"/>
    <x v="83"/>
    <d v="2025-03-27T00:00:00"/>
    <x v="2"/>
    <x v="0"/>
    <x v="1"/>
    <x v="0"/>
    <x v="11"/>
    <x v="1"/>
    <x v="12"/>
    <x v="2"/>
  </r>
  <r>
    <s v="TX502262"/>
    <x v="10"/>
    <x v="9"/>
    <x v="410"/>
    <x v="885"/>
    <x v="83"/>
    <d v="2025-03-29T00:00:00"/>
    <x v="1"/>
    <x v="0"/>
    <x v="0"/>
    <x v="0"/>
    <x v="11"/>
    <x v="5"/>
    <x v="12"/>
    <x v="1"/>
  </r>
  <r>
    <s v="TX502263"/>
    <x v="15"/>
    <x v="1"/>
    <x v="541"/>
    <x v="143"/>
    <x v="83"/>
    <d v="2025-03-26T00:00:00"/>
    <x v="1"/>
    <x v="0"/>
    <x v="2"/>
    <x v="0"/>
    <x v="11"/>
    <x v="3"/>
    <x v="12"/>
    <x v="1"/>
  </r>
  <r>
    <s v="TX502264"/>
    <x v="6"/>
    <x v="1"/>
    <x v="89"/>
    <x v="1287"/>
    <x v="83"/>
    <d v="2025-03-26T00:00:00"/>
    <x v="1"/>
    <x v="3"/>
    <x v="0"/>
    <x v="0"/>
    <x v="31"/>
    <x v="3"/>
    <x v="12"/>
    <x v="1"/>
  </r>
  <r>
    <s v="TX502265"/>
    <x v="6"/>
    <x v="0"/>
    <x v="559"/>
    <x v="1325"/>
    <x v="83"/>
    <d v="2025-03-26T00:00:00"/>
    <x v="1"/>
    <x v="0"/>
    <x v="1"/>
    <x v="0"/>
    <x v="21"/>
    <x v="3"/>
    <x v="12"/>
    <x v="1"/>
  </r>
  <r>
    <s v="TX502266"/>
    <x v="9"/>
    <x v="2"/>
    <x v="436"/>
    <x v="1687"/>
    <x v="83"/>
    <d v="2025-03-30T00:00:00"/>
    <x v="3"/>
    <x v="4"/>
    <x v="1"/>
    <x v="0"/>
    <x v="46"/>
    <x v="0"/>
    <x v="12"/>
    <x v="3"/>
  </r>
  <r>
    <s v="TX502267"/>
    <x v="17"/>
    <x v="4"/>
    <x v="647"/>
    <x v="1688"/>
    <x v="83"/>
    <d v="2025-03-26T00:00:00"/>
    <x v="2"/>
    <x v="1"/>
    <x v="0"/>
    <x v="0"/>
    <x v="51"/>
    <x v="3"/>
    <x v="12"/>
    <x v="2"/>
  </r>
  <r>
    <s v="TX502268"/>
    <x v="17"/>
    <x v="1"/>
    <x v="624"/>
    <x v="903"/>
    <x v="83"/>
    <d v="2025-03-26T00:00:00"/>
    <x v="2"/>
    <x v="3"/>
    <x v="1"/>
    <x v="0"/>
    <x v="1"/>
    <x v="3"/>
    <x v="12"/>
    <x v="2"/>
  </r>
  <r>
    <s v="TX502269"/>
    <x v="5"/>
    <x v="0"/>
    <x v="145"/>
    <x v="1117"/>
    <x v="83"/>
    <d v="2025-03-26T00:00:00"/>
    <x v="2"/>
    <x v="2"/>
    <x v="1"/>
    <x v="0"/>
    <x v="1"/>
    <x v="3"/>
    <x v="12"/>
    <x v="2"/>
  </r>
  <r>
    <s v="TX502270"/>
    <x v="2"/>
    <x v="12"/>
    <x v="917"/>
    <x v="1689"/>
    <x v="83"/>
    <d v="2025-03-26T00:00:00"/>
    <x v="2"/>
    <x v="1"/>
    <x v="0"/>
    <x v="0"/>
    <x v="1"/>
    <x v="3"/>
    <x v="12"/>
    <x v="2"/>
  </r>
  <r>
    <s v="TX502271"/>
    <x v="2"/>
    <x v="9"/>
    <x v="891"/>
    <x v="1690"/>
    <x v="83"/>
    <d v="2025-03-28T00:00:00"/>
    <x v="2"/>
    <x v="1"/>
    <x v="2"/>
    <x v="0"/>
    <x v="2"/>
    <x v="2"/>
    <x v="12"/>
    <x v="2"/>
  </r>
  <r>
    <s v="TX502272"/>
    <x v="17"/>
    <x v="9"/>
    <x v="291"/>
    <x v="326"/>
    <x v="83"/>
    <d v="2025-03-28T00:00:00"/>
    <x v="2"/>
    <x v="1"/>
    <x v="0"/>
    <x v="0"/>
    <x v="22"/>
    <x v="2"/>
    <x v="12"/>
    <x v="2"/>
  </r>
  <r>
    <s v="TX502273"/>
    <x v="15"/>
    <x v="12"/>
    <x v="336"/>
    <x v="1239"/>
    <x v="83"/>
    <d v="2025-03-27T00:00:00"/>
    <x v="2"/>
    <x v="0"/>
    <x v="0"/>
    <x v="0"/>
    <x v="3"/>
    <x v="1"/>
    <x v="12"/>
    <x v="2"/>
  </r>
  <r>
    <s v="TX502274"/>
    <x v="5"/>
    <x v="9"/>
    <x v="268"/>
    <x v="1691"/>
    <x v="83"/>
    <d v="2025-03-27T00:00:00"/>
    <x v="1"/>
    <x v="0"/>
    <x v="2"/>
    <x v="0"/>
    <x v="3"/>
    <x v="1"/>
    <x v="12"/>
    <x v="1"/>
  </r>
  <r>
    <s v="TX502275"/>
    <x v="0"/>
    <x v="1"/>
    <x v="269"/>
    <x v="1692"/>
    <x v="83"/>
    <d v="2025-03-27T00:00:00"/>
    <x v="1"/>
    <x v="2"/>
    <x v="1"/>
    <x v="0"/>
    <x v="3"/>
    <x v="1"/>
    <x v="12"/>
    <x v="1"/>
  </r>
  <r>
    <s v="TX502276"/>
    <x v="8"/>
    <x v="3"/>
    <x v="918"/>
    <x v="1693"/>
    <x v="83"/>
    <d v="2025-03-27T00:00:00"/>
    <x v="0"/>
    <x v="1"/>
    <x v="1"/>
    <x v="0"/>
    <x v="3"/>
    <x v="1"/>
    <x v="12"/>
    <x v="0"/>
  </r>
  <r>
    <s v="TX502277"/>
    <x v="16"/>
    <x v="2"/>
    <x v="165"/>
    <x v="407"/>
    <x v="83"/>
    <d v="2025-03-28T00:00:00"/>
    <x v="2"/>
    <x v="1"/>
    <x v="2"/>
    <x v="0"/>
    <x v="3"/>
    <x v="2"/>
    <x v="12"/>
    <x v="2"/>
  </r>
  <r>
    <s v="TX502278"/>
    <x v="2"/>
    <x v="2"/>
    <x v="919"/>
    <x v="1694"/>
    <x v="83"/>
    <d v="2025-03-26T00:00:00"/>
    <x v="1"/>
    <x v="0"/>
    <x v="0"/>
    <x v="0"/>
    <x v="3"/>
    <x v="3"/>
    <x v="12"/>
    <x v="1"/>
  </r>
  <r>
    <s v="TX502279"/>
    <x v="3"/>
    <x v="9"/>
    <x v="572"/>
    <x v="819"/>
    <x v="83"/>
    <d v="2025-03-28T00:00:00"/>
    <x v="1"/>
    <x v="1"/>
    <x v="0"/>
    <x v="0"/>
    <x v="24"/>
    <x v="2"/>
    <x v="12"/>
    <x v="1"/>
  </r>
  <r>
    <s v="TX502280"/>
    <x v="8"/>
    <x v="0"/>
    <x v="59"/>
    <x v="1695"/>
    <x v="83"/>
    <d v="2025-03-26T00:00:00"/>
    <x v="1"/>
    <x v="0"/>
    <x v="0"/>
    <x v="0"/>
    <x v="25"/>
    <x v="3"/>
    <x v="12"/>
    <x v="1"/>
  </r>
  <r>
    <s v="TX502281"/>
    <x v="18"/>
    <x v="1"/>
    <x v="400"/>
    <x v="482"/>
    <x v="83"/>
    <d v="2025-03-26T00:00:00"/>
    <x v="1"/>
    <x v="2"/>
    <x v="0"/>
    <x v="0"/>
    <x v="25"/>
    <x v="3"/>
    <x v="12"/>
    <x v="1"/>
  </r>
  <r>
    <s v="TX502282"/>
    <x v="6"/>
    <x v="11"/>
    <x v="118"/>
    <x v="1696"/>
    <x v="83"/>
    <d v="2025-03-29T00:00:00"/>
    <x v="2"/>
    <x v="0"/>
    <x v="0"/>
    <x v="0"/>
    <x v="5"/>
    <x v="5"/>
    <x v="12"/>
    <x v="2"/>
  </r>
  <r>
    <s v="TX502283"/>
    <x v="16"/>
    <x v="11"/>
    <x v="444"/>
    <x v="1697"/>
    <x v="83"/>
    <d v="2025-03-25T00:00:00"/>
    <x v="2"/>
    <x v="0"/>
    <x v="2"/>
    <x v="0"/>
    <x v="6"/>
    <x v="7"/>
    <x v="12"/>
    <x v="2"/>
  </r>
  <r>
    <s v="TX502284"/>
    <x v="2"/>
    <x v="13"/>
    <x v="920"/>
    <x v="1698"/>
    <x v="83"/>
    <d v="2025-03-27T00:00:00"/>
    <x v="1"/>
    <x v="0"/>
    <x v="1"/>
    <x v="0"/>
    <x v="8"/>
    <x v="1"/>
    <x v="12"/>
    <x v="1"/>
  </r>
  <r>
    <s v="TX502285"/>
    <x v="10"/>
    <x v="9"/>
    <x v="372"/>
    <x v="1699"/>
    <x v="84"/>
    <d v="2025-03-27T00:00:00"/>
    <x v="1"/>
    <x v="0"/>
    <x v="1"/>
    <x v="0"/>
    <x v="8"/>
    <x v="3"/>
    <x v="12"/>
    <x v="1"/>
  </r>
  <r>
    <s v="TX502286"/>
    <x v="18"/>
    <x v="13"/>
    <x v="830"/>
    <x v="1700"/>
    <x v="84"/>
    <d v="2025-03-28T00:00:00"/>
    <x v="1"/>
    <x v="2"/>
    <x v="2"/>
    <x v="0"/>
    <x v="8"/>
    <x v="1"/>
    <x v="12"/>
    <x v="1"/>
  </r>
  <r>
    <s v="TX502287"/>
    <x v="1"/>
    <x v="21"/>
    <x v="8"/>
    <x v="1701"/>
    <x v="84"/>
    <d v="2025-03-27T00:00:00"/>
    <x v="1"/>
    <x v="3"/>
    <x v="0"/>
    <x v="0"/>
    <x v="8"/>
    <x v="3"/>
    <x v="12"/>
    <x v="1"/>
  </r>
  <r>
    <s v="TX502288"/>
    <x v="7"/>
    <x v="1"/>
    <x v="239"/>
    <x v="1702"/>
    <x v="84"/>
    <d v="2025-03-29T00:00:00"/>
    <x v="1"/>
    <x v="4"/>
    <x v="0"/>
    <x v="0"/>
    <x v="9"/>
    <x v="2"/>
    <x v="12"/>
    <x v="1"/>
  </r>
  <r>
    <s v="TX502289"/>
    <x v="1"/>
    <x v="9"/>
    <x v="34"/>
    <x v="444"/>
    <x v="84"/>
    <d v="2025-03-28T00:00:00"/>
    <x v="3"/>
    <x v="1"/>
    <x v="1"/>
    <x v="0"/>
    <x v="9"/>
    <x v="1"/>
    <x v="12"/>
    <x v="3"/>
  </r>
  <r>
    <s v="TX502290"/>
    <x v="8"/>
    <x v="0"/>
    <x v="679"/>
    <x v="1703"/>
    <x v="84"/>
    <d v="2025-03-27T00:00:00"/>
    <x v="1"/>
    <x v="0"/>
    <x v="0"/>
    <x v="0"/>
    <x v="10"/>
    <x v="3"/>
    <x v="12"/>
    <x v="1"/>
  </r>
  <r>
    <s v="TX502291"/>
    <x v="16"/>
    <x v="2"/>
    <x v="404"/>
    <x v="487"/>
    <x v="84"/>
    <d v="2025-04-01T00:00:00"/>
    <x v="1"/>
    <x v="0"/>
    <x v="0"/>
    <x v="0"/>
    <x v="11"/>
    <x v="4"/>
    <x v="12"/>
    <x v="1"/>
  </r>
  <r>
    <s v="TX502292"/>
    <x v="1"/>
    <x v="12"/>
    <x v="184"/>
    <x v="1704"/>
    <x v="84"/>
    <d v="2025-03-27T00:00:00"/>
    <x v="2"/>
    <x v="0"/>
    <x v="2"/>
    <x v="0"/>
    <x v="11"/>
    <x v="3"/>
    <x v="12"/>
    <x v="2"/>
  </r>
  <r>
    <s v="TX502293"/>
    <x v="8"/>
    <x v="0"/>
    <x v="452"/>
    <x v="1705"/>
    <x v="84"/>
    <d v="2025-03-27T00:00:00"/>
    <x v="1"/>
    <x v="0"/>
    <x v="1"/>
    <x v="0"/>
    <x v="19"/>
    <x v="3"/>
    <x v="12"/>
    <x v="1"/>
  </r>
  <r>
    <s v="TX502294"/>
    <x v="8"/>
    <x v="0"/>
    <x v="34"/>
    <x v="109"/>
    <x v="84"/>
    <d v="2025-03-28T00:00:00"/>
    <x v="3"/>
    <x v="3"/>
    <x v="1"/>
    <x v="0"/>
    <x v="31"/>
    <x v="1"/>
    <x v="12"/>
    <x v="3"/>
  </r>
  <r>
    <s v="TX502295"/>
    <x v="16"/>
    <x v="12"/>
    <x v="207"/>
    <x v="1706"/>
    <x v="84"/>
    <d v="2025-03-30T00:00:00"/>
    <x v="1"/>
    <x v="1"/>
    <x v="4"/>
    <x v="0"/>
    <x v="20"/>
    <x v="5"/>
    <x v="12"/>
    <x v="1"/>
  </r>
  <r>
    <s v="TX502296"/>
    <x v="8"/>
    <x v="2"/>
    <x v="452"/>
    <x v="1707"/>
    <x v="84"/>
    <d v="2025-03-28T00:00:00"/>
    <x v="2"/>
    <x v="2"/>
    <x v="4"/>
    <x v="0"/>
    <x v="13"/>
    <x v="1"/>
    <x v="12"/>
    <x v="2"/>
  </r>
  <r>
    <s v="TX502297"/>
    <x v="3"/>
    <x v="0"/>
    <x v="7"/>
    <x v="518"/>
    <x v="84"/>
    <d v="2025-03-27T00:00:00"/>
    <x v="1"/>
    <x v="1"/>
    <x v="2"/>
    <x v="0"/>
    <x v="54"/>
    <x v="3"/>
    <x v="12"/>
    <x v="1"/>
  </r>
  <r>
    <s v="TX502298"/>
    <x v="6"/>
    <x v="2"/>
    <x v="219"/>
    <x v="1708"/>
    <x v="84"/>
    <d v="2025-03-28T00:00:00"/>
    <x v="1"/>
    <x v="4"/>
    <x v="2"/>
    <x v="0"/>
    <x v="2"/>
    <x v="1"/>
    <x v="12"/>
    <x v="1"/>
  </r>
  <r>
    <s v="TX502299"/>
    <x v="2"/>
    <x v="0"/>
    <x v="921"/>
    <x v="1182"/>
    <x v="84"/>
    <d v="2025-03-27T00:00:00"/>
    <x v="1"/>
    <x v="0"/>
    <x v="0"/>
    <x v="0"/>
    <x v="2"/>
    <x v="3"/>
    <x v="12"/>
    <x v="1"/>
  </r>
  <r>
    <s v="TX502300"/>
    <x v="8"/>
    <x v="0"/>
    <x v="99"/>
    <x v="1709"/>
    <x v="84"/>
    <d v="2025-04-09T00:00:00"/>
    <x v="2"/>
    <x v="0"/>
    <x v="0"/>
    <x v="0"/>
    <x v="44"/>
    <x v="12"/>
    <x v="12"/>
    <x v="2"/>
  </r>
  <r>
    <s v="TX502301"/>
    <x v="3"/>
    <x v="1"/>
    <x v="247"/>
    <x v="1710"/>
    <x v="84"/>
    <d v="2025-03-27T00:00:00"/>
    <x v="1"/>
    <x v="2"/>
    <x v="0"/>
    <x v="0"/>
    <x v="22"/>
    <x v="3"/>
    <x v="12"/>
    <x v="1"/>
  </r>
  <r>
    <s v="TX502302"/>
    <x v="6"/>
    <x v="9"/>
    <x v="454"/>
    <x v="1711"/>
    <x v="84"/>
    <d v="2025-04-02T00:00:00"/>
    <x v="1"/>
    <x v="1"/>
    <x v="1"/>
    <x v="0"/>
    <x v="50"/>
    <x v="6"/>
    <x v="12"/>
    <x v="1"/>
  </r>
  <r>
    <s v="TX502303"/>
    <x v="4"/>
    <x v="0"/>
    <x v="329"/>
    <x v="1712"/>
    <x v="84"/>
    <d v="2025-03-28T00:00:00"/>
    <x v="1"/>
    <x v="2"/>
    <x v="0"/>
    <x v="0"/>
    <x v="3"/>
    <x v="1"/>
    <x v="12"/>
    <x v="1"/>
  </r>
  <r>
    <s v="TX502304"/>
    <x v="2"/>
    <x v="1"/>
    <x v="922"/>
    <x v="1713"/>
    <x v="84"/>
    <d v="2025-03-29T00:00:00"/>
    <x v="2"/>
    <x v="0"/>
    <x v="0"/>
    <x v="0"/>
    <x v="3"/>
    <x v="2"/>
    <x v="12"/>
    <x v="2"/>
  </r>
  <r>
    <s v="TX502305"/>
    <x v="8"/>
    <x v="1"/>
    <x v="569"/>
    <x v="1417"/>
    <x v="84"/>
    <d v="2025-03-30T00:00:00"/>
    <x v="2"/>
    <x v="0"/>
    <x v="1"/>
    <x v="0"/>
    <x v="3"/>
    <x v="5"/>
    <x v="12"/>
    <x v="2"/>
  </r>
  <r>
    <s v="TX502306"/>
    <x v="9"/>
    <x v="1"/>
    <x v="899"/>
    <x v="1626"/>
    <x v="84"/>
    <d v="2025-03-27T00:00:00"/>
    <x v="1"/>
    <x v="2"/>
    <x v="1"/>
    <x v="0"/>
    <x v="3"/>
    <x v="3"/>
    <x v="12"/>
    <x v="1"/>
  </r>
  <r>
    <s v="TX502307"/>
    <x v="5"/>
    <x v="1"/>
    <x v="534"/>
    <x v="862"/>
    <x v="84"/>
    <d v="2025-03-28T00:00:00"/>
    <x v="2"/>
    <x v="1"/>
    <x v="2"/>
    <x v="0"/>
    <x v="3"/>
    <x v="1"/>
    <x v="12"/>
    <x v="2"/>
  </r>
  <r>
    <s v="TX502308"/>
    <x v="3"/>
    <x v="1"/>
    <x v="120"/>
    <x v="1714"/>
    <x v="84"/>
    <d v="2025-04-05T00:00:00"/>
    <x v="0"/>
    <x v="1"/>
    <x v="0"/>
    <x v="0"/>
    <x v="3"/>
    <x v="14"/>
    <x v="12"/>
    <x v="0"/>
  </r>
  <r>
    <s v="TX502309"/>
    <x v="5"/>
    <x v="1"/>
    <x v="562"/>
    <x v="1715"/>
    <x v="84"/>
    <d v="2025-03-26T00:00:00"/>
    <x v="1"/>
    <x v="1"/>
    <x v="4"/>
    <x v="0"/>
    <x v="3"/>
    <x v="7"/>
    <x v="12"/>
    <x v="1"/>
  </r>
  <r>
    <s v="TX502310"/>
    <x v="0"/>
    <x v="2"/>
    <x v="25"/>
    <x v="413"/>
    <x v="84"/>
    <d v="2025-03-28T00:00:00"/>
    <x v="1"/>
    <x v="4"/>
    <x v="0"/>
    <x v="0"/>
    <x v="3"/>
    <x v="1"/>
    <x v="12"/>
    <x v="1"/>
  </r>
  <r>
    <s v="TX502311"/>
    <x v="13"/>
    <x v="20"/>
    <x v="613"/>
    <x v="1716"/>
    <x v="84"/>
    <d v="2025-03-27T00:00:00"/>
    <x v="1"/>
    <x v="0"/>
    <x v="1"/>
    <x v="0"/>
    <x v="3"/>
    <x v="3"/>
    <x v="12"/>
    <x v="1"/>
  </r>
  <r>
    <s v="TX502312"/>
    <x v="12"/>
    <x v="13"/>
    <x v="306"/>
    <x v="1717"/>
    <x v="84"/>
    <d v="2025-03-28T00:00:00"/>
    <x v="2"/>
    <x v="2"/>
    <x v="1"/>
    <x v="0"/>
    <x v="3"/>
    <x v="1"/>
    <x v="12"/>
    <x v="2"/>
  </r>
  <r>
    <s v="TX502313"/>
    <x v="7"/>
    <x v="2"/>
    <x v="126"/>
    <x v="1718"/>
    <x v="84"/>
    <d v="2025-03-28T00:00:00"/>
    <x v="2"/>
    <x v="2"/>
    <x v="0"/>
    <x v="0"/>
    <x v="3"/>
    <x v="1"/>
    <x v="12"/>
    <x v="2"/>
  </r>
  <r>
    <s v="TX502314"/>
    <x v="4"/>
    <x v="27"/>
    <x v="210"/>
    <x v="1153"/>
    <x v="84"/>
    <d v="2025-03-30T00:00:00"/>
    <x v="2"/>
    <x v="3"/>
    <x v="3"/>
    <x v="0"/>
    <x v="3"/>
    <x v="5"/>
    <x v="12"/>
    <x v="2"/>
  </r>
  <r>
    <s v="TX502315"/>
    <x v="16"/>
    <x v="0"/>
    <x v="166"/>
    <x v="413"/>
    <x v="84"/>
    <d v="2025-03-27T00:00:00"/>
    <x v="2"/>
    <x v="0"/>
    <x v="0"/>
    <x v="0"/>
    <x v="3"/>
    <x v="3"/>
    <x v="12"/>
    <x v="2"/>
  </r>
  <r>
    <s v="TX502316"/>
    <x v="1"/>
    <x v="1"/>
    <x v="923"/>
    <x v="827"/>
    <x v="84"/>
    <d v="2025-04-01T00:00:00"/>
    <x v="2"/>
    <x v="0"/>
    <x v="2"/>
    <x v="0"/>
    <x v="3"/>
    <x v="4"/>
    <x v="12"/>
    <x v="2"/>
  </r>
  <r>
    <s v="TX502317"/>
    <x v="4"/>
    <x v="5"/>
    <x v="207"/>
    <x v="1719"/>
    <x v="84"/>
    <d v="2025-03-28T00:00:00"/>
    <x v="1"/>
    <x v="1"/>
    <x v="2"/>
    <x v="0"/>
    <x v="3"/>
    <x v="1"/>
    <x v="12"/>
    <x v="1"/>
  </r>
  <r>
    <s v="TX502318"/>
    <x v="6"/>
    <x v="44"/>
    <x v="924"/>
    <x v="1720"/>
    <x v="85"/>
    <d v="2025-03-29T00:00:00"/>
    <x v="0"/>
    <x v="0"/>
    <x v="0"/>
    <x v="0"/>
    <x v="3"/>
    <x v="1"/>
    <x v="12"/>
    <x v="0"/>
  </r>
  <r>
    <s v="TX502319"/>
    <x v="8"/>
    <x v="1"/>
    <x v="269"/>
    <x v="1692"/>
    <x v="85"/>
    <d v="2025-03-27T00:00:00"/>
    <x v="0"/>
    <x v="0"/>
    <x v="1"/>
    <x v="0"/>
    <x v="3"/>
    <x v="7"/>
    <x v="12"/>
    <x v="0"/>
  </r>
  <r>
    <s v="TX502320"/>
    <x v="1"/>
    <x v="12"/>
    <x v="199"/>
    <x v="979"/>
    <x v="85"/>
    <d v="2025-03-27T00:00:00"/>
    <x v="1"/>
    <x v="2"/>
    <x v="4"/>
    <x v="0"/>
    <x v="5"/>
    <x v="7"/>
    <x v="12"/>
    <x v="1"/>
  </r>
  <r>
    <s v="TX502321"/>
    <x v="18"/>
    <x v="0"/>
    <x v="258"/>
    <x v="1045"/>
    <x v="85"/>
    <d v="2025-03-29T00:00:00"/>
    <x v="2"/>
    <x v="1"/>
    <x v="1"/>
    <x v="0"/>
    <x v="5"/>
    <x v="1"/>
    <x v="12"/>
    <x v="2"/>
  </r>
  <r>
    <s v="TX502322"/>
    <x v="8"/>
    <x v="1"/>
    <x v="224"/>
    <x v="266"/>
    <x v="85"/>
    <d v="2025-03-28T00:00:00"/>
    <x v="2"/>
    <x v="2"/>
    <x v="2"/>
    <x v="0"/>
    <x v="6"/>
    <x v="3"/>
    <x v="12"/>
    <x v="2"/>
  </r>
  <r>
    <s v="TX502323"/>
    <x v="2"/>
    <x v="13"/>
    <x v="876"/>
    <x v="1544"/>
    <x v="85"/>
    <d v="2025-03-31T00:00:00"/>
    <x v="2"/>
    <x v="0"/>
    <x v="2"/>
    <x v="0"/>
    <x v="7"/>
    <x v="5"/>
    <x v="12"/>
    <x v="2"/>
  </r>
  <r>
    <s v="TX502324"/>
    <x v="2"/>
    <x v="0"/>
    <x v="863"/>
    <x v="1721"/>
    <x v="85"/>
    <d v="2025-03-28T00:00:00"/>
    <x v="1"/>
    <x v="1"/>
    <x v="2"/>
    <x v="0"/>
    <x v="8"/>
    <x v="3"/>
    <x v="12"/>
    <x v="1"/>
  </r>
  <r>
    <s v="TX502325"/>
    <x v="7"/>
    <x v="13"/>
    <x v="160"/>
    <x v="1722"/>
    <x v="85"/>
    <d v="2025-03-31T00:00:00"/>
    <x v="2"/>
    <x v="0"/>
    <x v="0"/>
    <x v="0"/>
    <x v="8"/>
    <x v="5"/>
    <x v="12"/>
    <x v="2"/>
  </r>
  <r>
    <s v="TX502326"/>
    <x v="1"/>
    <x v="3"/>
    <x v="766"/>
    <x v="1723"/>
    <x v="85"/>
    <d v="2025-03-27T00:00:00"/>
    <x v="2"/>
    <x v="2"/>
    <x v="1"/>
    <x v="0"/>
    <x v="11"/>
    <x v="7"/>
    <x v="12"/>
    <x v="2"/>
  </r>
  <r>
    <s v="TX502327"/>
    <x v="1"/>
    <x v="31"/>
    <x v="230"/>
    <x v="1724"/>
    <x v="85"/>
    <d v="2025-03-29T00:00:00"/>
    <x v="2"/>
    <x v="1"/>
    <x v="0"/>
    <x v="0"/>
    <x v="18"/>
    <x v="1"/>
    <x v="12"/>
    <x v="2"/>
  </r>
  <r>
    <s v="TX502328"/>
    <x v="2"/>
    <x v="0"/>
    <x v="312"/>
    <x v="1598"/>
    <x v="85"/>
    <d v="2025-03-28T00:00:00"/>
    <x v="2"/>
    <x v="0"/>
    <x v="1"/>
    <x v="0"/>
    <x v="19"/>
    <x v="3"/>
    <x v="12"/>
    <x v="2"/>
  </r>
  <r>
    <s v="TX502329"/>
    <x v="1"/>
    <x v="2"/>
    <x v="925"/>
    <x v="1725"/>
    <x v="85"/>
    <d v="2025-03-30T00:00:00"/>
    <x v="2"/>
    <x v="1"/>
    <x v="0"/>
    <x v="0"/>
    <x v="19"/>
    <x v="2"/>
    <x v="12"/>
    <x v="2"/>
  </r>
  <r>
    <s v="TX502330"/>
    <x v="3"/>
    <x v="2"/>
    <x v="853"/>
    <x v="1726"/>
    <x v="85"/>
    <d v="2025-03-28T00:00:00"/>
    <x v="1"/>
    <x v="4"/>
    <x v="1"/>
    <x v="0"/>
    <x v="19"/>
    <x v="3"/>
    <x v="12"/>
    <x v="1"/>
  </r>
  <r>
    <s v="TX502331"/>
    <x v="1"/>
    <x v="20"/>
    <x v="579"/>
    <x v="1727"/>
    <x v="85"/>
    <d v="2025-03-29T00:00:00"/>
    <x v="1"/>
    <x v="0"/>
    <x v="0"/>
    <x v="0"/>
    <x v="20"/>
    <x v="1"/>
    <x v="12"/>
    <x v="1"/>
  </r>
  <r>
    <s v="TX502332"/>
    <x v="4"/>
    <x v="13"/>
    <x v="807"/>
    <x v="1728"/>
    <x v="85"/>
    <d v="2025-03-29T00:00:00"/>
    <x v="2"/>
    <x v="1"/>
    <x v="1"/>
    <x v="0"/>
    <x v="2"/>
    <x v="1"/>
    <x v="12"/>
    <x v="2"/>
  </r>
  <r>
    <s v="TX502333"/>
    <x v="8"/>
    <x v="21"/>
    <x v="410"/>
    <x v="1729"/>
    <x v="85"/>
    <d v="2025-03-29T00:00:00"/>
    <x v="1"/>
    <x v="1"/>
    <x v="0"/>
    <x v="0"/>
    <x v="3"/>
    <x v="1"/>
    <x v="12"/>
    <x v="1"/>
  </r>
  <r>
    <s v="TX502334"/>
    <x v="5"/>
    <x v="2"/>
    <x v="17"/>
    <x v="17"/>
    <x v="85"/>
    <d v="2025-03-29T00:00:00"/>
    <x v="2"/>
    <x v="4"/>
    <x v="0"/>
    <x v="0"/>
    <x v="3"/>
    <x v="1"/>
    <x v="12"/>
    <x v="2"/>
  </r>
  <r>
    <s v="TX502335"/>
    <x v="13"/>
    <x v="0"/>
    <x v="204"/>
    <x v="291"/>
    <x v="85"/>
    <d v="2025-03-29T00:00:00"/>
    <x v="1"/>
    <x v="3"/>
    <x v="0"/>
    <x v="0"/>
    <x v="3"/>
    <x v="1"/>
    <x v="12"/>
    <x v="1"/>
  </r>
  <r>
    <s v="TX502336"/>
    <x v="6"/>
    <x v="9"/>
    <x v="316"/>
    <x v="1444"/>
    <x v="85"/>
    <d v="2025-03-29T00:00:00"/>
    <x v="1"/>
    <x v="0"/>
    <x v="0"/>
    <x v="0"/>
    <x v="3"/>
    <x v="1"/>
    <x v="12"/>
    <x v="1"/>
  </r>
  <r>
    <s v="TX502337"/>
    <x v="6"/>
    <x v="0"/>
    <x v="548"/>
    <x v="945"/>
    <x v="85"/>
    <d v="2025-03-28T00:00:00"/>
    <x v="2"/>
    <x v="2"/>
    <x v="2"/>
    <x v="0"/>
    <x v="3"/>
    <x v="3"/>
    <x v="12"/>
    <x v="2"/>
  </r>
  <r>
    <s v="TX502338"/>
    <x v="9"/>
    <x v="1"/>
    <x v="596"/>
    <x v="1730"/>
    <x v="85"/>
    <d v="2025-03-27T00:00:00"/>
    <x v="1"/>
    <x v="0"/>
    <x v="0"/>
    <x v="0"/>
    <x v="3"/>
    <x v="7"/>
    <x v="12"/>
    <x v="1"/>
  </r>
  <r>
    <s v="TX502339"/>
    <x v="5"/>
    <x v="1"/>
    <x v="480"/>
    <x v="1432"/>
    <x v="85"/>
    <d v="2025-03-31T00:00:00"/>
    <x v="1"/>
    <x v="3"/>
    <x v="1"/>
    <x v="0"/>
    <x v="3"/>
    <x v="5"/>
    <x v="12"/>
    <x v="1"/>
  </r>
  <r>
    <s v="TX502340"/>
    <x v="7"/>
    <x v="3"/>
    <x v="147"/>
    <x v="1731"/>
    <x v="85"/>
    <d v="2025-03-28T00:00:00"/>
    <x v="1"/>
    <x v="0"/>
    <x v="0"/>
    <x v="0"/>
    <x v="3"/>
    <x v="3"/>
    <x v="12"/>
    <x v="1"/>
  </r>
  <r>
    <s v="TX502341"/>
    <x v="8"/>
    <x v="7"/>
    <x v="193"/>
    <x v="1236"/>
    <x v="85"/>
    <d v="2025-03-29T00:00:00"/>
    <x v="1"/>
    <x v="1"/>
    <x v="2"/>
    <x v="0"/>
    <x v="3"/>
    <x v="1"/>
    <x v="12"/>
    <x v="1"/>
  </r>
  <r>
    <s v="TX502342"/>
    <x v="0"/>
    <x v="1"/>
    <x v="918"/>
    <x v="1732"/>
    <x v="85"/>
    <d v="2025-03-29T00:00:00"/>
    <x v="2"/>
    <x v="1"/>
    <x v="2"/>
    <x v="0"/>
    <x v="6"/>
    <x v="1"/>
    <x v="12"/>
    <x v="2"/>
  </r>
  <r>
    <s v="TX502343"/>
    <x v="11"/>
    <x v="2"/>
    <x v="184"/>
    <x v="1733"/>
    <x v="85"/>
    <d v="2025-03-30T00:00:00"/>
    <x v="1"/>
    <x v="3"/>
    <x v="3"/>
    <x v="0"/>
    <x v="6"/>
    <x v="2"/>
    <x v="12"/>
    <x v="1"/>
  </r>
  <r>
    <s v="TX502344"/>
    <x v="6"/>
    <x v="0"/>
    <x v="285"/>
    <x v="1734"/>
    <x v="85"/>
    <d v="2025-03-29T00:00:00"/>
    <x v="3"/>
    <x v="0"/>
    <x v="0"/>
    <x v="0"/>
    <x v="7"/>
    <x v="1"/>
    <x v="12"/>
    <x v="3"/>
  </r>
  <r>
    <s v="TX502345"/>
    <x v="9"/>
    <x v="3"/>
    <x v="659"/>
    <x v="1735"/>
    <x v="85"/>
    <d v="2025-03-30T00:00:00"/>
    <x v="2"/>
    <x v="4"/>
    <x v="0"/>
    <x v="0"/>
    <x v="8"/>
    <x v="2"/>
    <x v="12"/>
    <x v="2"/>
  </r>
  <r>
    <s v="TX502346"/>
    <x v="16"/>
    <x v="12"/>
    <x v="921"/>
    <x v="1736"/>
    <x v="86"/>
    <d v="2025-03-31T00:00:00"/>
    <x v="2"/>
    <x v="4"/>
    <x v="0"/>
    <x v="0"/>
    <x v="8"/>
    <x v="2"/>
    <x v="12"/>
    <x v="2"/>
  </r>
  <r>
    <s v="TX502347"/>
    <x v="2"/>
    <x v="0"/>
    <x v="67"/>
    <x v="68"/>
    <x v="86"/>
    <d v="2025-03-29T00:00:00"/>
    <x v="2"/>
    <x v="1"/>
    <x v="0"/>
    <x v="0"/>
    <x v="8"/>
    <x v="3"/>
    <x v="12"/>
    <x v="2"/>
  </r>
  <r>
    <s v="TX502348"/>
    <x v="6"/>
    <x v="9"/>
    <x v="331"/>
    <x v="378"/>
    <x v="86"/>
    <d v="2025-03-29T00:00:00"/>
    <x v="2"/>
    <x v="4"/>
    <x v="0"/>
    <x v="0"/>
    <x v="8"/>
    <x v="3"/>
    <x v="12"/>
    <x v="2"/>
  </r>
  <r>
    <s v="TX502349"/>
    <x v="8"/>
    <x v="9"/>
    <x v="234"/>
    <x v="1737"/>
    <x v="86"/>
    <d v="2025-04-01T00:00:00"/>
    <x v="3"/>
    <x v="0"/>
    <x v="0"/>
    <x v="0"/>
    <x v="8"/>
    <x v="5"/>
    <x v="12"/>
    <x v="3"/>
  </r>
  <r>
    <s v="TX502350"/>
    <x v="9"/>
    <x v="2"/>
    <x v="926"/>
    <x v="981"/>
    <x v="86"/>
    <d v="2025-03-31T00:00:00"/>
    <x v="2"/>
    <x v="4"/>
    <x v="1"/>
    <x v="0"/>
    <x v="26"/>
    <x v="2"/>
    <x v="12"/>
    <x v="2"/>
  </r>
  <r>
    <s v="TX502351"/>
    <x v="0"/>
    <x v="2"/>
    <x v="260"/>
    <x v="1738"/>
    <x v="86"/>
    <d v="2025-03-30T00:00:00"/>
    <x v="2"/>
    <x v="3"/>
    <x v="4"/>
    <x v="0"/>
    <x v="11"/>
    <x v="1"/>
    <x v="12"/>
    <x v="2"/>
  </r>
  <r>
    <s v="TX502352"/>
    <x v="2"/>
    <x v="9"/>
    <x v="927"/>
    <x v="1739"/>
    <x v="86"/>
    <d v="2025-03-29T00:00:00"/>
    <x v="2"/>
    <x v="1"/>
    <x v="2"/>
    <x v="0"/>
    <x v="53"/>
    <x v="3"/>
    <x v="12"/>
    <x v="2"/>
  </r>
  <r>
    <s v="TX502353"/>
    <x v="1"/>
    <x v="1"/>
    <x v="928"/>
    <x v="897"/>
    <x v="86"/>
    <d v="2025-04-01T00:00:00"/>
    <x v="2"/>
    <x v="1"/>
    <x v="0"/>
    <x v="0"/>
    <x v="1"/>
    <x v="5"/>
    <x v="12"/>
    <x v="2"/>
  </r>
  <r>
    <s v="TX502354"/>
    <x v="10"/>
    <x v="0"/>
    <x v="337"/>
    <x v="1740"/>
    <x v="86"/>
    <d v="2025-03-30T00:00:00"/>
    <x v="0"/>
    <x v="0"/>
    <x v="1"/>
    <x v="0"/>
    <x v="1"/>
    <x v="1"/>
    <x v="12"/>
    <x v="0"/>
  </r>
  <r>
    <s v="TX502355"/>
    <x v="9"/>
    <x v="8"/>
    <x v="247"/>
    <x v="1741"/>
    <x v="86"/>
    <d v="2025-03-30T00:00:00"/>
    <x v="2"/>
    <x v="3"/>
    <x v="2"/>
    <x v="0"/>
    <x v="2"/>
    <x v="1"/>
    <x v="12"/>
    <x v="2"/>
  </r>
  <r>
    <s v="TX502356"/>
    <x v="6"/>
    <x v="12"/>
    <x v="797"/>
    <x v="1213"/>
    <x v="86"/>
    <d v="2025-03-31T00:00:00"/>
    <x v="2"/>
    <x v="2"/>
    <x v="2"/>
    <x v="0"/>
    <x v="22"/>
    <x v="2"/>
    <x v="12"/>
    <x v="2"/>
  </r>
  <r>
    <s v="TX502357"/>
    <x v="12"/>
    <x v="1"/>
    <x v="624"/>
    <x v="903"/>
    <x v="86"/>
    <d v="2025-03-29T00:00:00"/>
    <x v="2"/>
    <x v="4"/>
    <x v="1"/>
    <x v="0"/>
    <x v="34"/>
    <x v="3"/>
    <x v="12"/>
    <x v="2"/>
  </r>
  <r>
    <s v="TX502358"/>
    <x v="16"/>
    <x v="11"/>
    <x v="18"/>
    <x v="1742"/>
    <x v="86"/>
    <d v="2025-03-29T00:00:00"/>
    <x v="1"/>
    <x v="2"/>
    <x v="1"/>
    <x v="0"/>
    <x v="3"/>
    <x v="3"/>
    <x v="12"/>
    <x v="1"/>
  </r>
  <r>
    <s v="TX502359"/>
    <x v="9"/>
    <x v="12"/>
    <x v="773"/>
    <x v="1743"/>
    <x v="86"/>
    <d v="2025-03-29T00:00:00"/>
    <x v="1"/>
    <x v="4"/>
    <x v="0"/>
    <x v="0"/>
    <x v="3"/>
    <x v="3"/>
    <x v="12"/>
    <x v="1"/>
  </r>
  <r>
    <s v="TX502360"/>
    <x v="8"/>
    <x v="9"/>
    <x v="49"/>
    <x v="340"/>
    <x v="86"/>
    <d v="2025-03-31T00:00:00"/>
    <x v="2"/>
    <x v="2"/>
    <x v="2"/>
    <x v="0"/>
    <x v="3"/>
    <x v="2"/>
    <x v="12"/>
    <x v="2"/>
  </r>
  <r>
    <s v="TX502361"/>
    <x v="8"/>
    <x v="13"/>
    <x v="110"/>
    <x v="116"/>
    <x v="86"/>
    <d v="2025-03-29T00:00:00"/>
    <x v="1"/>
    <x v="3"/>
    <x v="0"/>
    <x v="0"/>
    <x v="3"/>
    <x v="3"/>
    <x v="12"/>
    <x v="1"/>
  </r>
  <r>
    <s v="TX502362"/>
    <x v="2"/>
    <x v="3"/>
    <x v="252"/>
    <x v="1744"/>
    <x v="86"/>
    <d v="2025-03-30T00:00:00"/>
    <x v="2"/>
    <x v="4"/>
    <x v="1"/>
    <x v="0"/>
    <x v="3"/>
    <x v="1"/>
    <x v="12"/>
    <x v="2"/>
  </r>
  <r>
    <s v="TX502363"/>
    <x v="2"/>
    <x v="1"/>
    <x v="778"/>
    <x v="1235"/>
    <x v="86"/>
    <d v="2025-03-28T00:00:00"/>
    <x v="2"/>
    <x v="2"/>
    <x v="3"/>
    <x v="0"/>
    <x v="43"/>
    <x v="7"/>
    <x v="12"/>
    <x v="2"/>
  </r>
  <r>
    <s v="TX502364"/>
    <x v="8"/>
    <x v="12"/>
    <x v="929"/>
    <x v="821"/>
    <x v="86"/>
    <d v="2025-03-31T00:00:00"/>
    <x v="1"/>
    <x v="3"/>
    <x v="0"/>
    <x v="0"/>
    <x v="6"/>
    <x v="2"/>
    <x v="12"/>
    <x v="1"/>
  </r>
  <r>
    <s v="TX502365"/>
    <x v="1"/>
    <x v="0"/>
    <x v="711"/>
    <x v="1745"/>
    <x v="86"/>
    <d v="2025-03-29T00:00:00"/>
    <x v="1"/>
    <x v="0"/>
    <x v="0"/>
    <x v="0"/>
    <x v="6"/>
    <x v="3"/>
    <x v="12"/>
    <x v="1"/>
  </r>
  <r>
    <s v="TX502366"/>
    <x v="9"/>
    <x v="1"/>
    <x v="351"/>
    <x v="705"/>
    <x v="86"/>
    <d v="2025-04-10T00:00:00"/>
    <x v="2"/>
    <x v="2"/>
    <x v="1"/>
    <x v="0"/>
    <x v="8"/>
    <x v="10"/>
    <x v="12"/>
    <x v="2"/>
  </r>
  <r>
    <s v="TX502367"/>
    <x v="7"/>
    <x v="12"/>
    <x v="775"/>
    <x v="1683"/>
    <x v="86"/>
    <d v="2025-04-02T00:00:00"/>
    <x v="1"/>
    <x v="3"/>
    <x v="1"/>
    <x v="0"/>
    <x v="8"/>
    <x v="0"/>
    <x v="12"/>
    <x v="1"/>
  </r>
  <r>
    <s v="TX502368"/>
    <x v="9"/>
    <x v="13"/>
    <x v="305"/>
    <x v="1746"/>
    <x v="86"/>
    <d v="2025-04-04T00:00:00"/>
    <x v="0"/>
    <x v="1"/>
    <x v="2"/>
    <x v="0"/>
    <x v="8"/>
    <x v="6"/>
    <x v="12"/>
    <x v="0"/>
  </r>
  <r>
    <s v="TX502369"/>
    <x v="15"/>
    <x v="12"/>
    <x v="716"/>
    <x v="1747"/>
    <x v="86"/>
    <d v="2025-03-29T00:00:00"/>
    <x v="1"/>
    <x v="4"/>
    <x v="1"/>
    <x v="0"/>
    <x v="8"/>
    <x v="3"/>
    <x v="12"/>
    <x v="1"/>
  </r>
  <r>
    <s v="TX502370"/>
    <x v="3"/>
    <x v="1"/>
    <x v="153"/>
    <x v="445"/>
    <x v="86"/>
    <d v="2025-03-29T00:00:00"/>
    <x v="1"/>
    <x v="0"/>
    <x v="2"/>
    <x v="0"/>
    <x v="8"/>
    <x v="3"/>
    <x v="12"/>
    <x v="1"/>
  </r>
  <r>
    <s v="TX502371"/>
    <x v="8"/>
    <x v="5"/>
    <x v="674"/>
    <x v="1748"/>
    <x v="86"/>
    <d v="2025-03-29T00:00:00"/>
    <x v="2"/>
    <x v="1"/>
    <x v="4"/>
    <x v="0"/>
    <x v="8"/>
    <x v="3"/>
    <x v="12"/>
    <x v="2"/>
  </r>
  <r>
    <s v="TX502372"/>
    <x v="6"/>
    <x v="12"/>
    <x v="930"/>
    <x v="1749"/>
    <x v="86"/>
    <d v="2025-04-01T00:00:00"/>
    <x v="1"/>
    <x v="1"/>
    <x v="2"/>
    <x v="0"/>
    <x v="17"/>
    <x v="5"/>
    <x v="12"/>
    <x v="1"/>
  </r>
  <r>
    <s v="TX502373"/>
    <x v="11"/>
    <x v="0"/>
    <x v="931"/>
    <x v="282"/>
    <x v="86"/>
    <d v="2025-03-31T00:00:00"/>
    <x v="2"/>
    <x v="0"/>
    <x v="2"/>
    <x v="0"/>
    <x v="11"/>
    <x v="2"/>
    <x v="12"/>
    <x v="2"/>
  </r>
  <r>
    <s v="TX502374"/>
    <x v="5"/>
    <x v="9"/>
    <x v="590"/>
    <x v="1750"/>
    <x v="86"/>
    <d v="2025-03-30T00:00:00"/>
    <x v="2"/>
    <x v="2"/>
    <x v="2"/>
    <x v="0"/>
    <x v="28"/>
    <x v="1"/>
    <x v="12"/>
    <x v="2"/>
  </r>
  <r>
    <s v="TX502375"/>
    <x v="14"/>
    <x v="9"/>
    <x v="35"/>
    <x v="1751"/>
    <x v="87"/>
    <d v="2025-03-30T00:00:00"/>
    <x v="1"/>
    <x v="3"/>
    <x v="2"/>
    <x v="0"/>
    <x v="21"/>
    <x v="3"/>
    <x v="12"/>
    <x v="1"/>
  </r>
  <r>
    <s v="TX502376"/>
    <x v="10"/>
    <x v="1"/>
    <x v="403"/>
    <x v="486"/>
    <x v="87"/>
    <d v="2025-03-31T00:00:00"/>
    <x v="0"/>
    <x v="1"/>
    <x v="0"/>
    <x v="0"/>
    <x v="21"/>
    <x v="1"/>
    <x v="12"/>
    <x v="0"/>
  </r>
  <r>
    <s v="TX502377"/>
    <x v="1"/>
    <x v="44"/>
    <x v="202"/>
    <x v="1752"/>
    <x v="87"/>
    <d v="2025-03-30T00:00:00"/>
    <x v="2"/>
    <x v="4"/>
    <x v="0"/>
    <x v="0"/>
    <x v="1"/>
    <x v="3"/>
    <x v="12"/>
    <x v="2"/>
  </r>
  <r>
    <s v="TX502378"/>
    <x v="3"/>
    <x v="1"/>
    <x v="567"/>
    <x v="533"/>
    <x v="87"/>
    <d v="2025-03-31T00:00:00"/>
    <x v="2"/>
    <x v="0"/>
    <x v="2"/>
    <x v="0"/>
    <x v="1"/>
    <x v="1"/>
    <x v="12"/>
    <x v="2"/>
  </r>
  <r>
    <s v="TX502379"/>
    <x v="0"/>
    <x v="7"/>
    <x v="932"/>
    <x v="1287"/>
    <x v="87"/>
    <d v="2025-03-30T00:00:00"/>
    <x v="2"/>
    <x v="4"/>
    <x v="0"/>
    <x v="0"/>
    <x v="2"/>
    <x v="3"/>
    <x v="12"/>
    <x v="2"/>
  </r>
  <r>
    <s v="TX502380"/>
    <x v="7"/>
    <x v="0"/>
    <x v="224"/>
    <x v="242"/>
    <x v="87"/>
    <d v="2025-03-31T00:00:00"/>
    <x v="2"/>
    <x v="1"/>
    <x v="2"/>
    <x v="0"/>
    <x v="34"/>
    <x v="1"/>
    <x v="12"/>
    <x v="2"/>
  </r>
  <r>
    <s v="TX502381"/>
    <x v="5"/>
    <x v="2"/>
    <x v="631"/>
    <x v="1554"/>
    <x v="87"/>
    <d v="2025-04-01T00:00:00"/>
    <x v="2"/>
    <x v="2"/>
    <x v="0"/>
    <x v="0"/>
    <x v="3"/>
    <x v="2"/>
    <x v="12"/>
    <x v="2"/>
  </r>
  <r>
    <s v="TX502382"/>
    <x v="8"/>
    <x v="9"/>
    <x v="47"/>
    <x v="1753"/>
    <x v="87"/>
    <d v="2025-03-31T00:00:00"/>
    <x v="1"/>
    <x v="3"/>
    <x v="0"/>
    <x v="0"/>
    <x v="3"/>
    <x v="1"/>
    <x v="12"/>
    <x v="1"/>
  </r>
  <r>
    <s v="TX502383"/>
    <x v="9"/>
    <x v="8"/>
    <x v="619"/>
    <x v="1754"/>
    <x v="87"/>
    <d v="2025-03-30T00:00:00"/>
    <x v="0"/>
    <x v="3"/>
    <x v="2"/>
    <x v="0"/>
    <x v="3"/>
    <x v="3"/>
    <x v="12"/>
    <x v="0"/>
  </r>
  <r>
    <s v="TX502384"/>
    <x v="10"/>
    <x v="1"/>
    <x v="458"/>
    <x v="640"/>
    <x v="87"/>
    <d v="2025-03-30T00:00:00"/>
    <x v="1"/>
    <x v="1"/>
    <x v="2"/>
    <x v="0"/>
    <x v="3"/>
    <x v="3"/>
    <x v="12"/>
    <x v="1"/>
  </r>
  <r>
    <s v="TX502385"/>
    <x v="15"/>
    <x v="12"/>
    <x v="473"/>
    <x v="1755"/>
    <x v="87"/>
    <d v="2025-03-30T00:00:00"/>
    <x v="1"/>
    <x v="2"/>
    <x v="0"/>
    <x v="0"/>
    <x v="3"/>
    <x v="3"/>
    <x v="12"/>
    <x v="1"/>
  </r>
  <r>
    <s v="TX502386"/>
    <x v="6"/>
    <x v="1"/>
    <x v="448"/>
    <x v="548"/>
    <x v="87"/>
    <d v="2025-04-02T00:00:00"/>
    <x v="1"/>
    <x v="1"/>
    <x v="1"/>
    <x v="0"/>
    <x v="3"/>
    <x v="5"/>
    <x v="12"/>
    <x v="1"/>
  </r>
  <r>
    <s v="TX502387"/>
    <x v="16"/>
    <x v="0"/>
    <x v="294"/>
    <x v="329"/>
    <x v="87"/>
    <d v="2025-03-30T00:00:00"/>
    <x v="2"/>
    <x v="0"/>
    <x v="2"/>
    <x v="0"/>
    <x v="3"/>
    <x v="3"/>
    <x v="12"/>
    <x v="2"/>
  </r>
  <r>
    <s v="TX502388"/>
    <x v="2"/>
    <x v="12"/>
    <x v="319"/>
    <x v="1756"/>
    <x v="87"/>
    <d v="2025-04-09T00:00:00"/>
    <x v="1"/>
    <x v="4"/>
    <x v="2"/>
    <x v="0"/>
    <x v="3"/>
    <x v="11"/>
    <x v="12"/>
    <x v="1"/>
  </r>
  <r>
    <s v="TX502389"/>
    <x v="8"/>
    <x v="13"/>
    <x v="261"/>
    <x v="1757"/>
    <x v="87"/>
    <d v="2025-04-02T00:00:00"/>
    <x v="1"/>
    <x v="1"/>
    <x v="2"/>
    <x v="0"/>
    <x v="6"/>
    <x v="5"/>
    <x v="12"/>
    <x v="1"/>
  </r>
  <r>
    <s v="TX502390"/>
    <x v="8"/>
    <x v="1"/>
    <x v="736"/>
    <x v="1400"/>
    <x v="87"/>
    <d v="2025-03-30T00:00:00"/>
    <x v="2"/>
    <x v="0"/>
    <x v="0"/>
    <x v="0"/>
    <x v="6"/>
    <x v="3"/>
    <x v="12"/>
    <x v="2"/>
  </r>
  <r>
    <s v="TX502391"/>
    <x v="11"/>
    <x v="1"/>
    <x v="436"/>
    <x v="1758"/>
    <x v="87"/>
    <d v="2025-03-31T00:00:00"/>
    <x v="2"/>
    <x v="2"/>
    <x v="0"/>
    <x v="0"/>
    <x v="6"/>
    <x v="1"/>
    <x v="12"/>
    <x v="2"/>
  </r>
  <r>
    <s v="TX502392"/>
    <x v="1"/>
    <x v="1"/>
    <x v="844"/>
    <x v="1759"/>
    <x v="87"/>
    <d v="2025-04-01T00:00:00"/>
    <x v="0"/>
    <x v="0"/>
    <x v="0"/>
    <x v="0"/>
    <x v="7"/>
    <x v="2"/>
    <x v="12"/>
    <x v="0"/>
  </r>
  <r>
    <s v="TX502393"/>
    <x v="2"/>
    <x v="1"/>
    <x v="933"/>
    <x v="1760"/>
    <x v="87"/>
    <d v="2025-03-31T00:00:00"/>
    <x v="1"/>
    <x v="1"/>
    <x v="2"/>
    <x v="0"/>
    <x v="8"/>
    <x v="1"/>
    <x v="12"/>
    <x v="1"/>
  </r>
  <r>
    <s v="TX502394"/>
    <x v="11"/>
    <x v="12"/>
    <x v="294"/>
    <x v="1761"/>
    <x v="87"/>
    <d v="2025-03-30T00:00:00"/>
    <x v="1"/>
    <x v="1"/>
    <x v="0"/>
    <x v="0"/>
    <x v="8"/>
    <x v="3"/>
    <x v="12"/>
    <x v="1"/>
  </r>
  <r>
    <s v="TX502395"/>
    <x v="17"/>
    <x v="2"/>
    <x v="84"/>
    <x v="1762"/>
    <x v="87"/>
    <d v="2025-03-30T00:00:00"/>
    <x v="1"/>
    <x v="4"/>
    <x v="2"/>
    <x v="0"/>
    <x v="10"/>
    <x v="3"/>
    <x v="12"/>
    <x v="1"/>
  </r>
  <r>
    <s v="TX502396"/>
    <x v="3"/>
    <x v="0"/>
    <x v="854"/>
    <x v="886"/>
    <x v="87"/>
    <d v="2025-03-30T00:00:00"/>
    <x v="1"/>
    <x v="1"/>
    <x v="0"/>
    <x v="0"/>
    <x v="10"/>
    <x v="3"/>
    <x v="12"/>
    <x v="1"/>
  </r>
  <r>
    <s v="TX502397"/>
    <x v="15"/>
    <x v="1"/>
    <x v="409"/>
    <x v="494"/>
    <x v="87"/>
    <d v="2025-03-30T00:00:00"/>
    <x v="1"/>
    <x v="0"/>
    <x v="0"/>
    <x v="0"/>
    <x v="11"/>
    <x v="3"/>
    <x v="12"/>
    <x v="1"/>
  </r>
  <r>
    <s v="TX502398"/>
    <x v="10"/>
    <x v="1"/>
    <x v="237"/>
    <x v="573"/>
    <x v="87"/>
    <d v="2025-03-30T00:00:00"/>
    <x v="2"/>
    <x v="4"/>
    <x v="0"/>
    <x v="0"/>
    <x v="11"/>
    <x v="3"/>
    <x v="12"/>
    <x v="2"/>
  </r>
  <r>
    <s v="TX502399"/>
    <x v="12"/>
    <x v="1"/>
    <x v="452"/>
    <x v="85"/>
    <x v="87"/>
    <d v="2025-03-31T00:00:00"/>
    <x v="2"/>
    <x v="2"/>
    <x v="0"/>
    <x v="0"/>
    <x v="18"/>
    <x v="1"/>
    <x v="12"/>
    <x v="2"/>
  </r>
  <r>
    <s v="TX502400"/>
    <x v="18"/>
    <x v="1"/>
    <x v="636"/>
    <x v="1763"/>
    <x v="87"/>
    <d v="2025-03-31T00:00:00"/>
    <x v="1"/>
    <x v="2"/>
    <x v="2"/>
    <x v="0"/>
    <x v="13"/>
    <x v="1"/>
    <x v="12"/>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16C8119-CFE7-42CA-A01D-0BA74D03F96F}" name="PvtProduct"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53" rowHeaderCaption="Quantity">
  <location ref="A27:F49" firstHeaderRow="1" firstDataRow="2" firstDataCol="1"/>
  <pivotFields count="19">
    <pivotField showAll="0" maxSubtotal="1"/>
    <pivotField axis="axisRow" showAll="0" sortType="descending">
      <items count="21">
        <item x="3"/>
        <item x="8"/>
        <item x="13"/>
        <item x="1"/>
        <item x="16"/>
        <item x="9"/>
        <item x="2"/>
        <item x="0"/>
        <item x="5"/>
        <item x="17"/>
        <item x="11"/>
        <item x="18"/>
        <item x="19"/>
        <item x="6"/>
        <item x="7"/>
        <item x="4"/>
        <item x="15"/>
        <item x="12"/>
        <item x="10"/>
        <item x="14"/>
        <item t="default"/>
      </items>
      <autoSortScope>
        <pivotArea dataOnly="0" outline="0" fieldPosition="0">
          <references count="1">
            <reference field="4294967294" count="1" selected="0">
              <x v="0"/>
            </reference>
          </references>
        </pivotArea>
      </autoSortScope>
    </pivotField>
    <pivotField dataField="1"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items count="935">
        <item x="178"/>
        <item x="159"/>
        <item x="97"/>
        <item x="441"/>
        <item x="265"/>
        <item x="401"/>
        <item x="0"/>
        <item x="408"/>
        <item x="229"/>
        <item x="370"/>
        <item x="61"/>
        <item x="463"/>
        <item x="860"/>
        <item x="604"/>
        <item x="426"/>
        <item x="608"/>
        <item x="877"/>
        <item x="932"/>
        <item x="822"/>
        <item x="150"/>
        <item x="335"/>
        <item x="885"/>
        <item x="888"/>
        <item x="169"/>
        <item x="609"/>
        <item x="826"/>
        <item x="905"/>
        <item x="862"/>
        <item x="270"/>
        <item x="221"/>
        <item x="503"/>
        <item x="476"/>
        <item x="536"/>
        <item x="388"/>
        <item x="678"/>
        <item x="455"/>
        <item x="83"/>
        <item x="255"/>
        <item x="137"/>
        <item x="35"/>
        <item x="496"/>
        <item x="398"/>
        <item x="342"/>
        <item x="261"/>
        <item x="857"/>
        <item x="655"/>
        <item x="879"/>
        <item x="639"/>
        <item x="569"/>
        <item x="384"/>
        <item x="929"/>
        <item x="771"/>
        <item x="727"/>
        <item x="161"/>
        <item x="893"/>
        <item x="25"/>
        <item x="228"/>
        <item x="130"/>
        <item x="71"/>
        <item x="53"/>
        <item x="606"/>
        <item x="762"/>
        <item x="383"/>
        <item x="856"/>
        <item x="99"/>
        <item x="465"/>
        <item x="585"/>
        <item x="333"/>
        <item x="104"/>
        <item x="129"/>
        <item x="30"/>
        <item x="359"/>
        <item x="55"/>
        <item x="918"/>
        <item x="415"/>
        <item x="266"/>
        <item x="478"/>
        <item x="82"/>
        <item x="157"/>
        <item x="490"/>
        <item x="260"/>
        <item x="736"/>
        <item x="127"/>
        <item x="293"/>
        <item x="580"/>
        <item x="468"/>
        <item x="289"/>
        <item x="390"/>
        <item x="588"/>
        <item x="65"/>
        <item x="438"/>
        <item x="191"/>
        <item x="210"/>
        <item x="302"/>
        <item x="332"/>
        <item x="592"/>
        <item x="33"/>
        <item x="301"/>
        <item x="421"/>
        <item x="595"/>
        <item x="237"/>
        <item x="597"/>
        <item x="208"/>
        <item x="9"/>
        <item x="243"/>
        <item x="351"/>
        <item x="188"/>
        <item x="625"/>
        <item x="409"/>
        <item x="887"/>
        <item x="59"/>
        <item x="372"/>
        <item x="121"/>
        <item x="139"/>
        <item x="234"/>
        <item x="174"/>
        <item x="483"/>
        <item x="273"/>
        <item x="209"/>
        <item x="661"/>
        <item x="512"/>
        <item x="51"/>
        <item x="278"/>
        <item x="249"/>
        <item x="362"/>
        <item x="605"/>
        <item x="486"/>
        <item x="187"/>
        <item x="769"/>
        <item x="403"/>
        <item x="19"/>
        <item x="631"/>
        <item x="855"/>
        <item x="423"/>
        <item x="170"/>
        <item x="679"/>
        <item x="136"/>
        <item x="122"/>
        <item x="269"/>
        <item x="615"/>
        <item x="457"/>
        <item x="133"/>
        <item x="23"/>
        <item x="38"/>
        <item x="439"/>
        <item x="494"/>
        <item x="48"/>
        <item x="436"/>
        <item x="49"/>
        <item x="399"/>
        <item x="295"/>
        <item x="807"/>
        <item x="336"/>
        <item x="231"/>
        <item x="843"/>
        <item x="389"/>
        <item x="646"/>
        <item x="343"/>
        <item x="627"/>
        <item x="257"/>
        <item x="742"/>
        <item x="805"/>
        <item x="70"/>
        <item x="365"/>
        <item x="85"/>
        <item x="167"/>
        <item x="144"/>
        <item x="538"/>
        <item x="690"/>
        <item x="581"/>
        <item x="402"/>
        <item x="143"/>
        <item x="647"/>
        <item x="669"/>
        <item x="686"/>
        <item x="47"/>
        <item x="755"/>
        <item x="32"/>
        <item x="500"/>
        <item x="90"/>
        <item x="224"/>
        <item x="165"/>
        <item x="248"/>
        <item x="162"/>
        <item x="1"/>
        <item x="630"/>
        <item x="607"/>
        <item x="15"/>
        <item x="452"/>
        <item x="16"/>
        <item x="63"/>
        <item x="375"/>
        <item x="541"/>
        <item x="217"/>
        <item x="680"/>
        <item x="132"/>
        <item x="216"/>
        <item x="590"/>
        <item x="34"/>
        <item x="201"/>
        <item x="380"/>
        <item x="240"/>
        <item x="498"/>
        <item x="504"/>
        <item x="101"/>
        <item x="195"/>
        <item x="413"/>
        <item x="619"/>
        <item x="614"/>
        <item x="199"/>
        <item x="846"/>
        <item x="57"/>
        <item x="172"/>
        <item x="232"/>
        <item x="570"/>
        <item x="532"/>
        <item x="601"/>
        <item x="412"/>
        <item x="324"/>
        <item x="268"/>
        <item x="120"/>
        <item x="695"/>
        <item x="766"/>
        <item x="176"/>
        <item x="292"/>
        <item x="267"/>
        <item x="271"/>
        <item x="775"/>
        <item x="334"/>
        <item x="200"/>
        <item x="341"/>
        <item x="908"/>
        <item x="803"/>
        <item x="533"/>
        <item x="8"/>
        <item x="385"/>
        <item x="275"/>
        <item x="307"/>
        <item x="160"/>
        <item x="310"/>
        <item x="791"/>
        <item x="128"/>
        <item x="355"/>
        <item x="17"/>
        <item x="294"/>
        <item x="78"/>
        <item x="711"/>
        <item x="571"/>
        <item x="719"/>
        <item x="790"/>
        <item x="105"/>
        <item x="484"/>
        <item x="151"/>
        <item x="410"/>
        <item x="3"/>
        <item x="256"/>
        <item x="430"/>
        <item x="545"/>
        <item x="202"/>
        <item x="751"/>
        <item x="629"/>
        <item x="153"/>
        <item x="392"/>
        <item x="26"/>
        <item x="665"/>
        <item x="400"/>
        <item x="37"/>
        <item x="644"/>
        <item x="406"/>
        <item x="418"/>
        <item x="632"/>
        <item x="557"/>
        <item x="180"/>
        <item x="138"/>
        <item x="759"/>
        <item x="811"/>
        <item x="152"/>
        <item x="464"/>
        <item x="931"/>
        <item x="7"/>
        <item x="664"/>
        <item x="145"/>
        <item x="722"/>
        <item x="253"/>
        <item x="363"/>
        <item x="446"/>
        <item x="29"/>
        <item x="758"/>
        <item x="387"/>
        <item x="397"/>
        <item x="50"/>
        <item x="329"/>
        <item x="654"/>
        <item x="52"/>
        <item x="80"/>
        <item x="245"/>
        <item x="300"/>
        <item x="624"/>
        <item x="567"/>
        <item x="318"/>
        <item x="394"/>
        <item x="687"/>
        <item x="325"/>
        <item x="272"/>
        <item x="443"/>
        <item x="429"/>
        <item x="280"/>
        <item x="39"/>
        <item x="522"/>
        <item x="705"/>
        <item x="171"/>
        <item x="347"/>
        <item x="458"/>
        <item x="535"/>
        <item x="20"/>
        <item x="910"/>
        <item x="548"/>
        <item x="369"/>
        <item x="236"/>
        <item x="112"/>
        <item x="73"/>
        <item x="239"/>
        <item x="926"/>
        <item x="613"/>
        <item x="788"/>
        <item x="125"/>
        <item x="303"/>
        <item x="226"/>
        <item x="291"/>
        <item x="299"/>
        <item x="102"/>
        <item x="600"/>
        <item x="357"/>
        <item x="108"/>
        <item x="511"/>
        <item x="206"/>
        <item x="544"/>
        <item x="354"/>
        <item x="193"/>
        <item x="425"/>
        <item x="340"/>
        <item x="587"/>
        <item x="594"/>
        <item x="21"/>
        <item x="84"/>
        <item x="528"/>
        <item x="642"/>
        <item x="344"/>
        <item x="550"/>
        <item x="219"/>
        <item x="68"/>
        <item x="356"/>
        <item x="672"/>
        <item x="134"/>
        <item x="367"/>
        <item x="196"/>
        <item x="142"/>
        <item x="297"/>
        <item x="591"/>
        <item x="72"/>
        <item x="286"/>
        <item x="379"/>
        <item x="242"/>
        <item x="126"/>
        <item x="816"/>
        <item x="11"/>
        <item x="182"/>
        <item x="364"/>
        <item x="660"/>
        <item x="183"/>
        <item x="432"/>
        <item x="659"/>
        <item x="235"/>
        <item x="850"/>
        <item x="308"/>
        <item x="869"/>
        <item x="534"/>
        <item x="612"/>
        <item x="88"/>
        <item x="93"/>
        <item x="79"/>
        <item x="155"/>
        <item x="179"/>
        <item x="28"/>
        <item x="707"/>
        <item x="18"/>
        <item x="440"/>
        <item x="353"/>
        <item x="258"/>
        <item x="599"/>
        <item x="728"/>
        <item x="309"/>
        <item x="147"/>
        <item x="424"/>
        <item x="168"/>
        <item x="184"/>
        <item x="793"/>
        <item x="574"/>
        <item x="515"/>
        <item x="166"/>
        <item x="699"/>
        <item x="119"/>
        <item x="434"/>
        <item x="422"/>
        <item x="98"/>
        <item x="213"/>
        <item x="459"/>
        <item x="230"/>
        <item x="789"/>
        <item x="582"/>
        <item x="526"/>
        <item x="589"/>
        <item x="190"/>
        <item x="641"/>
        <item x="715"/>
        <item x="706"/>
        <item x="352"/>
        <item x="10"/>
        <item x="42"/>
        <item x="514"/>
        <item x="86"/>
        <item x="76"/>
        <item x="123"/>
        <item x="173"/>
        <item x="282"/>
        <item x="204"/>
        <item x="6"/>
        <item x="842"/>
        <item x="572"/>
        <item x="495"/>
        <item x="740"/>
        <item x="502"/>
        <item x="218"/>
        <item x="628"/>
        <item x="634"/>
        <item x="623"/>
        <item x="576"/>
        <item x="448"/>
        <item x="472"/>
        <item x="4"/>
        <item x="382"/>
        <item x="881"/>
        <item x="551"/>
        <item x="140"/>
        <item x="27"/>
        <item x="405"/>
        <item x="214"/>
        <item x="884"/>
        <item x="222"/>
        <item x="461"/>
        <item x="211"/>
        <item x="787"/>
        <item x="491"/>
        <item x="215"/>
        <item x="296"/>
        <item x="207"/>
        <item x="277"/>
        <item x="635"/>
        <item x="75"/>
        <item x="785"/>
        <item x="466"/>
        <item x="395"/>
        <item x="721"/>
        <item x="523"/>
        <item x="737"/>
        <item x="542"/>
        <item x="233"/>
        <item x="684"/>
        <item x="115"/>
        <item x="396"/>
        <item x="316"/>
        <item x="841"/>
        <item x="110"/>
        <item x="738"/>
        <item x="322"/>
        <item x="247"/>
        <item x="530"/>
        <item x="701"/>
        <item x="552"/>
        <item x="553"/>
        <item x="156"/>
        <item x="501"/>
        <item x="750"/>
        <item x="148"/>
        <item x="854"/>
        <item x="89"/>
        <item x="480"/>
        <item x="227"/>
        <item x="547"/>
        <item x="205"/>
        <item x="198"/>
        <item x="556"/>
        <item x="470"/>
        <item x="366"/>
        <item x="829"/>
        <item x="407"/>
        <item x="821"/>
        <item x="94"/>
        <item x="56"/>
        <item x="113"/>
        <item x="734"/>
        <item x="427"/>
        <item x="305"/>
        <item x="46"/>
        <item x="259"/>
        <item x="565"/>
        <item x="761"/>
        <item x="444"/>
        <item x="58"/>
        <item x="780"/>
        <item x="281"/>
        <item x="554"/>
        <item x="337"/>
        <item x="497"/>
        <item x="92"/>
        <item x="146"/>
        <item x="203"/>
        <item x="225"/>
        <item x="456"/>
        <item x="313"/>
        <item x="404"/>
        <item x="834"/>
        <item x="244"/>
        <item x="779"/>
        <item x="757"/>
        <item x="667"/>
        <item x="730"/>
        <item x="633"/>
        <item x="563"/>
        <item x="450"/>
        <item x="14"/>
        <item x="114"/>
        <item x="668"/>
        <item x="783"/>
        <item x="618"/>
        <item x="748"/>
        <item x="246"/>
        <item x="212"/>
        <item x="509"/>
        <item x="469"/>
        <item x="666"/>
        <item x="735"/>
        <item x="197"/>
        <item x="704"/>
        <item x="657"/>
        <item x="419"/>
        <item x="43"/>
        <item x="596"/>
        <item x="794"/>
        <item x="725"/>
        <item x="192"/>
        <item x="276"/>
        <item x="62"/>
        <item x="327"/>
        <item x="135"/>
        <item x="181"/>
        <item x="393"/>
        <item x="330"/>
        <item x="579"/>
        <item x="163"/>
        <item x="673"/>
        <item x="451"/>
        <item x="264"/>
        <item x="911"/>
        <item x="431"/>
        <item x="578"/>
        <item x="471"/>
        <item x="45"/>
        <item x="60"/>
        <item x="760"/>
        <item x="254"/>
        <item x="674"/>
        <item x="598"/>
        <item x="925"/>
        <item x="928"/>
        <item x="774"/>
        <item x="866"/>
        <item x="489"/>
        <item x="583"/>
        <item x="462"/>
        <item x="559"/>
        <item x="391"/>
        <item x="524"/>
        <item x="899"/>
        <item x="111"/>
        <item x="378"/>
        <item x="651"/>
        <item x="508"/>
        <item x="773"/>
        <item x="858"/>
        <item x="326"/>
        <item x="746"/>
        <item x="603"/>
        <item x="417"/>
        <item x="752"/>
        <item x="492"/>
        <item x="91"/>
        <item x="285"/>
        <item x="487"/>
        <item x="374"/>
        <item x="913"/>
        <item x="577"/>
        <item x="859"/>
        <item x="124"/>
        <item x="836"/>
        <item x="823"/>
        <item x="164"/>
        <item x="767"/>
        <item x="903"/>
        <item x="107"/>
        <item x="897"/>
        <item x="741"/>
        <item x="828"/>
        <item x="863"/>
        <item x="81"/>
        <item x="693"/>
        <item x="312"/>
        <item x="777"/>
        <item x="710"/>
        <item x="505"/>
        <item x="158"/>
        <item x="473"/>
        <item x="898"/>
        <item x="716"/>
        <item x="685"/>
        <item x="77"/>
        <item x="561"/>
        <item x="414"/>
        <item x="546"/>
        <item x="304"/>
        <item x="22"/>
        <item x="442"/>
        <item x="889"/>
        <item x="454"/>
        <item x="611"/>
        <item x="902"/>
        <item x="697"/>
        <item x="853"/>
        <item x="41"/>
        <item x="827"/>
        <item x="262"/>
        <item x="328"/>
        <item x="830"/>
        <item x="870"/>
        <item x="453"/>
        <item x="521"/>
        <item x="186"/>
        <item x="428"/>
        <item x="844"/>
        <item x="220"/>
        <item x="921"/>
        <item x="682"/>
        <item x="445"/>
        <item x="890"/>
        <item x="321"/>
        <item x="298"/>
        <item x="5"/>
        <item x="331"/>
        <item x="371"/>
        <item x="861"/>
        <item x="922"/>
        <item x="726"/>
        <item x="883"/>
        <item x="636"/>
        <item x="872"/>
        <item x="845"/>
        <item x="100"/>
        <item x="798"/>
        <item x="288"/>
        <item x="564"/>
        <item x="555"/>
        <item x="345"/>
        <item x="874"/>
        <item x="744"/>
        <item x="602"/>
        <item x="376"/>
        <item x="909"/>
        <item x="768"/>
        <item x="753"/>
        <item x="449"/>
        <item x="804"/>
        <item x="797"/>
        <item x="813"/>
        <item x="507"/>
        <item x="154"/>
        <item x="479"/>
        <item x="724"/>
        <item x="808"/>
        <item x="317"/>
        <item x="691"/>
        <item x="241"/>
        <item x="117"/>
        <item x="745"/>
        <item x="13"/>
        <item x="689"/>
        <item x="723"/>
        <item x="24"/>
        <item x="527"/>
        <item x="346"/>
        <item x="66"/>
        <item x="69"/>
        <item x="141"/>
        <item x="314"/>
        <item x="763"/>
        <item x="411"/>
        <item x="238"/>
        <item x="677"/>
        <item x="820"/>
        <item x="54"/>
        <item x="338"/>
        <item x="739"/>
        <item x="116"/>
        <item x="754"/>
        <item x="638"/>
        <item x="520"/>
        <item x="923"/>
        <item x="109"/>
        <item x="306"/>
        <item x="368"/>
        <item x="743"/>
        <item x="283"/>
        <item x="824"/>
        <item x="95"/>
        <item x="895"/>
        <item x="420"/>
        <item x="252"/>
        <item x="482"/>
        <item x="864"/>
        <item x="477"/>
        <item x="568"/>
        <item x="381"/>
        <item x="831"/>
        <item x="263"/>
        <item x="573"/>
        <item x="840"/>
        <item x="549"/>
        <item x="350"/>
        <item x="732"/>
        <item x="558"/>
        <item x="812"/>
        <item x="433"/>
        <item x="900"/>
        <item x="876"/>
        <item x="849"/>
        <item x="194"/>
        <item x="818"/>
        <item x="871"/>
        <item x="67"/>
        <item x="709"/>
        <item x="475"/>
        <item x="729"/>
        <item x="543"/>
        <item x="287"/>
        <item x="539"/>
        <item x="765"/>
        <item x="358"/>
        <item x="279"/>
        <item x="361"/>
        <item x="875"/>
        <item x="620"/>
        <item x="320"/>
        <item x="919"/>
        <item x="435"/>
        <item x="904"/>
        <item x="835"/>
        <item x="540"/>
        <item x="593"/>
        <item x="772"/>
        <item x="386"/>
        <item x="319"/>
        <item x="74"/>
        <item x="175"/>
        <item x="653"/>
        <item x="617"/>
        <item x="852"/>
        <item x="720"/>
        <item x="485"/>
        <item x="882"/>
        <item x="733"/>
        <item x="460"/>
        <item x="339"/>
        <item x="518"/>
        <item x="250"/>
        <item x="901"/>
        <item x="681"/>
        <item x="698"/>
        <item x="649"/>
        <item x="290"/>
        <item x="683"/>
        <item x="892"/>
        <item x="867"/>
        <item x="348"/>
        <item x="782"/>
        <item x="562"/>
        <item x="315"/>
        <item x="586"/>
        <item x="756"/>
        <item x="189"/>
        <item x="920"/>
        <item x="671"/>
        <item x="2"/>
        <item x="506"/>
        <item x="792"/>
        <item x="703"/>
        <item x="643"/>
        <item x="851"/>
        <item x="610"/>
        <item x="349"/>
        <item x="531"/>
        <item x="575"/>
        <item x="251"/>
        <item x="675"/>
        <item x="64"/>
        <item x="377"/>
        <item x="467"/>
        <item x="670"/>
        <item x="560"/>
        <item x="749"/>
        <item x="886"/>
        <item x="814"/>
        <item x="802"/>
        <item x="796"/>
        <item x="566"/>
        <item x="118"/>
        <item x="622"/>
        <item x="658"/>
        <item x="696"/>
        <item x="517"/>
        <item x="933"/>
        <item x="873"/>
        <item x="537"/>
        <item x="800"/>
        <item x="915"/>
        <item x="817"/>
        <item x="12"/>
        <item x="529"/>
        <item x="650"/>
        <item x="106"/>
        <item x="103"/>
        <item x="323"/>
        <item x="776"/>
        <item x="906"/>
        <item x="930"/>
        <item x="801"/>
        <item x="713"/>
        <item x="474"/>
        <item x="149"/>
        <item x="656"/>
        <item x="868"/>
        <item x="799"/>
        <item x="778"/>
        <item x="847"/>
        <item x="274"/>
        <item x="810"/>
        <item x="916"/>
        <item x="809"/>
        <item x="447"/>
        <item x="764"/>
        <item x="360"/>
        <item x="731"/>
        <item x="493"/>
        <item x="795"/>
        <item x="663"/>
        <item x="185"/>
        <item x="87"/>
        <item x="481"/>
        <item x="177"/>
        <item x="784"/>
        <item x="819"/>
        <item x="519"/>
        <item x="584"/>
        <item x="717"/>
        <item x="700"/>
        <item x="637"/>
        <item x="839"/>
        <item x="44"/>
        <item x="837"/>
        <item x="525"/>
        <item x="40"/>
        <item x="652"/>
        <item x="131"/>
        <item x="838"/>
        <item x="692"/>
        <item x="510"/>
        <item x="223"/>
        <item x="825"/>
        <item x="516"/>
        <item x="786"/>
        <item x="513"/>
        <item x="907"/>
        <item x="714"/>
        <item x="662"/>
        <item x="770"/>
        <item x="311"/>
        <item x="878"/>
        <item x="865"/>
        <item x="924"/>
        <item x="927"/>
        <item x="912"/>
        <item x="688"/>
        <item x="891"/>
        <item x="284"/>
        <item x="781"/>
        <item x="676"/>
        <item x="96"/>
        <item x="747"/>
        <item x="373"/>
        <item x="694"/>
        <item x="806"/>
        <item x="31"/>
        <item x="621"/>
        <item x="416"/>
        <item x="616"/>
        <item x="488"/>
        <item x="626"/>
        <item x="832"/>
        <item x="648"/>
        <item x="880"/>
        <item x="815"/>
        <item x="640"/>
        <item x="499"/>
        <item x="917"/>
        <item x="896"/>
        <item x="702"/>
        <item x="712"/>
        <item x="36"/>
        <item x="914"/>
        <item x="645"/>
        <item x="437"/>
        <item x="718"/>
        <item x="848"/>
        <item x="708"/>
        <item x="833"/>
        <item x="894"/>
        <item t="default"/>
      </items>
    </pivotField>
    <pivotField showAll="0"/>
    <pivotField numFmtId="15"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numFmtId="15" showAll="0"/>
    <pivotField showAll="0"/>
    <pivotField showAll="0">
      <items count="6">
        <item x="0"/>
        <item x="3"/>
        <item x="4"/>
        <item x="2"/>
        <item x="1"/>
        <item t="default"/>
      </items>
    </pivotField>
    <pivotField showAll="0"/>
    <pivotField showAll="0"/>
    <pivotField showAll="0"/>
    <pivotField showAll="0">
      <items count="16">
        <item x="7"/>
        <item x="3"/>
        <item x="1"/>
        <item x="2"/>
        <item x="5"/>
        <item x="0"/>
        <item x="4"/>
        <item x="6"/>
        <item x="9"/>
        <item x="8"/>
        <item x="14"/>
        <item x="11"/>
        <item x="13"/>
        <item x="10"/>
        <item x="12"/>
        <item t="default"/>
      </items>
    </pivotField>
    <pivotField showAll="0"/>
    <pivotField axis="axisCol" showAll="0">
      <items count="5">
        <item x="2"/>
        <item x="1"/>
        <item x="3"/>
        <item x="0"/>
        <item t="default"/>
      </items>
    </pivotField>
    <pivotField showAll="0">
      <items count="8">
        <item sd="0" x="0"/>
        <item sd="0" x="1"/>
        <item sd="0" x="2"/>
        <item sd="0" x="4"/>
        <item sd="0" x="3"/>
        <item x="5"/>
        <item x="6"/>
        <item t="default"/>
      </items>
    </pivotField>
    <pivotField showAll="0">
      <items count="10">
        <item x="5"/>
        <item x="3"/>
        <item x="1"/>
        <item x="2"/>
        <item x="4"/>
        <item x="0"/>
        <item x="8"/>
        <item x="6"/>
        <item x="7"/>
        <item t="default"/>
      </items>
    </pivotField>
    <pivotField showAll="0">
      <items count="15">
        <item x="0"/>
        <item x="1"/>
        <item x="2"/>
        <item x="3"/>
        <item x="4"/>
        <item x="5"/>
        <item x="6"/>
        <item x="7"/>
        <item x="8"/>
        <item x="9"/>
        <item x="10"/>
        <item x="11"/>
        <item x="12"/>
        <item x="13"/>
        <item t="default"/>
      </items>
    </pivotField>
    <pivotField showAll="0">
      <items count="201">
        <item x="4"/>
        <item x="198"/>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199"/>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0"/>
        <item x="1"/>
        <item x="2"/>
        <item x="3"/>
        <item t="default"/>
      </items>
    </pivotField>
  </pivotFields>
  <rowFields count="1">
    <field x="1"/>
  </rowFields>
  <rowItems count="21">
    <i>
      <x v="1"/>
    </i>
    <i>
      <x v="13"/>
    </i>
    <i>
      <x v="6"/>
    </i>
    <i>
      <x v="3"/>
    </i>
    <i>
      <x v="18"/>
    </i>
    <i>
      <x v="7"/>
    </i>
    <i>
      <x v="5"/>
    </i>
    <i>
      <x v="15"/>
    </i>
    <i>
      <x v="14"/>
    </i>
    <i>
      <x v="8"/>
    </i>
    <i>
      <x v="16"/>
    </i>
    <i>
      <x v="11"/>
    </i>
    <i>
      <x v="17"/>
    </i>
    <i>
      <x/>
    </i>
    <i>
      <x v="9"/>
    </i>
    <i>
      <x v="10"/>
    </i>
    <i>
      <x v="4"/>
    </i>
    <i>
      <x v="2"/>
    </i>
    <i>
      <x v="19"/>
    </i>
    <i>
      <x v="12"/>
    </i>
    <i t="grand">
      <x/>
    </i>
  </rowItems>
  <colFields count="1">
    <field x="14"/>
  </colFields>
  <colItems count="5">
    <i>
      <x/>
    </i>
    <i>
      <x v="1"/>
    </i>
    <i>
      <x v="2"/>
    </i>
    <i>
      <x v="3"/>
    </i>
    <i t="grand">
      <x/>
    </i>
  </colItems>
  <dataFields count="1">
    <dataField name="Sum of Quantity" fld="2" baseField="0" baseItem="0"/>
  </dataFields>
  <chartFormats count="4">
    <chartFormat chart="52" format="8" series="1">
      <pivotArea type="data" outline="0" fieldPosition="0">
        <references count="2">
          <reference field="4294967294" count="1" selected="0">
            <x v="0"/>
          </reference>
          <reference field="14" count="1" selected="0">
            <x v="0"/>
          </reference>
        </references>
      </pivotArea>
    </chartFormat>
    <chartFormat chart="52" format="9" series="1">
      <pivotArea type="data" outline="0" fieldPosition="0">
        <references count="2">
          <reference field="4294967294" count="1" selected="0">
            <x v="0"/>
          </reference>
          <reference field="14" count="1" selected="0">
            <x v="1"/>
          </reference>
        </references>
      </pivotArea>
    </chartFormat>
    <chartFormat chart="52" format="10" series="1">
      <pivotArea type="data" outline="0" fieldPosition="0">
        <references count="2">
          <reference field="4294967294" count="1" selected="0">
            <x v="0"/>
          </reference>
          <reference field="14" count="1" selected="0">
            <x v="2"/>
          </reference>
        </references>
      </pivotArea>
    </chartFormat>
    <chartFormat chart="52" format="11" series="1">
      <pivotArea type="data" outline="0" fieldPosition="0">
        <references count="2">
          <reference field="4294967294" count="1" selected="0">
            <x v="0"/>
          </reference>
          <reference field="1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C4FF72A-EDDE-4FE3-9B29-E98F621AA8F9}" name="PivotTable7"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155:B169" firstHeaderRow="1" firstDataRow="1" firstDataCol="1" rowPageCount="1" colPageCount="1"/>
  <pivotFields count="19">
    <pivotField dataField="1" showAll="0"/>
    <pivotField showAll="0">
      <items count="21">
        <item x="14"/>
        <item x="10"/>
        <item x="12"/>
        <item x="15"/>
        <item x="4"/>
        <item x="7"/>
        <item x="6"/>
        <item x="19"/>
        <item x="18"/>
        <item x="11"/>
        <item x="17"/>
        <item x="5"/>
        <item x="0"/>
        <item x="2"/>
        <item x="9"/>
        <item x="16"/>
        <item x="1"/>
        <item x="13"/>
        <item x="8"/>
        <item x="3"/>
        <item t="default"/>
      </items>
    </pivotField>
    <pivotField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items count="935">
        <item x="178"/>
        <item x="159"/>
        <item x="97"/>
        <item x="441"/>
        <item x="265"/>
        <item x="401"/>
        <item x="0"/>
        <item x="408"/>
        <item x="229"/>
        <item x="370"/>
        <item x="61"/>
        <item x="463"/>
        <item x="860"/>
        <item x="604"/>
        <item x="426"/>
        <item x="608"/>
        <item x="877"/>
        <item x="932"/>
        <item x="822"/>
        <item x="150"/>
        <item x="335"/>
        <item x="885"/>
        <item x="888"/>
        <item x="169"/>
        <item x="609"/>
        <item x="826"/>
        <item x="905"/>
        <item x="862"/>
        <item x="270"/>
        <item x="221"/>
        <item x="503"/>
        <item x="476"/>
        <item x="536"/>
        <item x="388"/>
        <item x="678"/>
        <item x="455"/>
        <item x="83"/>
        <item x="255"/>
        <item x="137"/>
        <item x="35"/>
        <item x="496"/>
        <item x="398"/>
        <item x="342"/>
        <item x="261"/>
        <item x="857"/>
        <item x="655"/>
        <item x="879"/>
        <item x="639"/>
        <item x="569"/>
        <item x="384"/>
        <item x="929"/>
        <item x="771"/>
        <item x="727"/>
        <item x="161"/>
        <item x="893"/>
        <item x="25"/>
        <item x="228"/>
        <item x="130"/>
        <item x="71"/>
        <item x="53"/>
        <item x="606"/>
        <item x="762"/>
        <item x="383"/>
        <item x="856"/>
        <item x="99"/>
        <item x="465"/>
        <item x="585"/>
        <item x="333"/>
        <item x="104"/>
        <item x="129"/>
        <item x="30"/>
        <item x="359"/>
        <item x="55"/>
        <item x="918"/>
        <item x="415"/>
        <item x="266"/>
        <item x="478"/>
        <item x="82"/>
        <item x="157"/>
        <item x="490"/>
        <item x="260"/>
        <item x="736"/>
        <item x="127"/>
        <item x="293"/>
        <item x="580"/>
        <item x="468"/>
        <item x="289"/>
        <item x="390"/>
        <item x="588"/>
        <item x="65"/>
        <item x="438"/>
        <item x="191"/>
        <item x="210"/>
        <item x="302"/>
        <item x="332"/>
        <item x="592"/>
        <item x="33"/>
        <item x="301"/>
        <item x="421"/>
        <item x="595"/>
        <item x="237"/>
        <item x="597"/>
        <item x="208"/>
        <item x="9"/>
        <item x="243"/>
        <item x="351"/>
        <item x="188"/>
        <item x="625"/>
        <item x="409"/>
        <item x="887"/>
        <item x="59"/>
        <item x="372"/>
        <item x="121"/>
        <item x="139"/>
        <item x="234"/>
        <item x="174"/>
        <item x="483"/>
        <item x="273"/>
        <item x="209"/>
        <item x="661"/>
        <item x="512"/>
        <item x="51"/>
        <item x="278"/>
        <item x="249"/>
        <item x="362"/>
        <item x="605"/>
        <item x="486"/>
        <item x="187"/>
        <item x="769"/>
        <item x="403"/>
        <item x="19"/>
        <item x="631"/>
        <item x="855"/>
        <item x="423"/>
        <item x="170"/>
        <item x="679"/>
        <item x="136"/>
        <item x="122"/>
        <item x="269"/>
        <item x="615"/>
        <item x="457"/>
        <item x="133"/>
        <item x="23"/>
        <item x="38"/>
        <item x="439"/>
        <item x="494"/>
        <item x="48"/>
        <item x="436"/>
        <item x="49"/>
        <item x="399"/>
        <item x="295"/>
        <item x="807"/>
        <item x="336"/>
        <item x="231"/>
        <item x="843"/>
        <item x="389"/>
        <item x="646"/>
        <item x="343"/>
        <item x="627"/>
        <item x="257"/>
        <item x="742"/>
        <item x="805"/>
        <item x="70"/>
        <item x="365"/>
        <item x="85"/>
        <item x="167"/>
        <item x="144"/>
        <item x="538"/>
        <item x="690"/>
        <item x="581"/>
        <item x="402"/>
        <item x="143"/>
        <item x="647"/>
        <item x="669"/>
        <item x="686"/>
        <item x="47"/>
        <item x="755"/>
        <item x="32"/>
        <item x="500"/>
        <item x="90"/>
        <item x="224"/>
        <item x="165"/>
        <item x="248"/>
        <item x="162"/>
        <item x="1"/>
        <item x="630"/>
        <item x="607"/>
        <item x="15"/>
        <item x="452"/>
        <item x="16"/>
        <item x="63"/>
        <item x="375"/>
        <item x="541"/>
        <item x="217"/>
        <item x="680"/>
        <item x="132"/>
        <item x="216"/>
        <item x="590"/>
        <item x="34"/>
        <item x="201"/>
        <item x="380"/>
        <item x="240"/>
        <item x="498"/>
        <item x="504"/>
        <item x="101"/>
        <item x="195"/>
        <item x="413"/>
        <item x="619"/>
        <item x="614"/>
        <item x="199"/>
        <item x="846"/>
        <item x="57"/>
        <item x="172"/>
        <item x="232"/>
        <item x="570"/>
        <item x="532"/>
        <item x="601"/>
        <item x="412"/>
        <item x="324"/>
        <item x="268"/>
        <item x="120"/>
        <item x="695"/>
        <item x="766"/>
        <item x="176"/>
        <item x="292"/>
        <item x="267"/>
        <item x="271"/>
        <item x="775"/>
        <item x="334"/>
        <item x="200"/>
        <item x="341"/>
        <item x="908"/>
        <item x="803"/>
        <item x="533"/>
        <item x="8"/>
        <item x="385"/>
        <item x="275"/>
        <item x="307"/>
        <item x="160"/>
        <item x="310"/>
        <item x="791"/>
        <item x="128"/>
        <item x="355"/>
        <item x="17"/>
        <item x="294"/>
        <item x="78"/>
        <item x="711"/>
        <item x="571"/>
        <item x="719"/>
        <item x="790"/>
        <item x="105"/>
        <item x="484"/>
        <item x="151"/>
        <item x="410"/>
        <item x="3"/>
        <item x="256"/>
        <item x="430"/>
        <item x="545"/>
        <item x="202"/>
        <item x="751"/>
        <item x="629"/>
        <item x="153"/>
        <item x="392"/>
        <item x="26"/>
        <item x="665"/>
        <item x="400"/>
        <item x="37"/>
        <item x="644"/>
        <item x="406"/>
        <item x="418"/>
        <item x="632"/>
        <item x="557"/>
        <item x="180"/>
        <item x="138"/>
        <item x="759"/>
        <item x="811"/>
        <item x="152"/>
        <item x="464"/>
        <item x="931"/>
        <item x="7"/>
        <item x="664"/>
        <item x="145"/>
        <item x="722"/>
        <item x="253"/>
        <item x="363"/>
        <item x="446"/>
        <item x="29"/>
        <item x="758"/>
        <item x="387"/>
        <item x="397"/>
        <item x="50"/>
        <item x="329"/>
        <item x="654"/>
        <item x="52"/>
        <item x="80"/>
        <item x="245"/>
        <item x="300"/>
        <item x="624"/>
        <item x="567"/>
        <item x="318"/>
        <item x="394"/>
        <item x="687"/>
        <item x="325"/>
        <item x="272"/>
        <item x="443"/>
        <item x="429"/>
        <item x="280"/>
        <item x="39"/>
        <item x="522"/>
        <item x="705"/>
        <item x="171"/>
        <item x="347"/>
        <item x="458"/>
        <item x="535"/>
        <item x="20"/>
        <item x="910"/>
        <item x="548"/>
        <item x="369"/>
        <item x="236"/>
        <item x="112"/>
        <item x="73"/>
        <item x="239"/>
        <item x="926"/>
        <item x="613"/>
        <item x="788"/>
        <item x="125"/>
        <item x="303"/>
        <item x="226"/>
        <item x="291"/>
        <item x="299"/>
        <item x="102"/>
        <item x="600"/>
        <item x="357"/>
        <item x="108"/>
        <item x="511"/>
        <item x="206"/>
        <item x="544"/>
        <item x="354"/>
        <item x="193"/>
        <item x="425"/>
        <item x="340"/>
        <item x="587"/>
        <item x="594"/>
        <item x="21"/>
        <item x="84"/>
        <item x="528"/>
        <item x="642"/>
        <item x="344"/>
        <item x="550"/>
        <item x="219"/>
        <item x="68"/>
        <item x="356"/>
        <item x="672"/>
        <item x="134"/>
        <item x="367"/>
        <item x="196"/>
        <item x="142"/>
        <item x="297"/>
        <item x="591"/>
        <item x="72"/>
        <item x="286"/>
        <item x="379"/>
        <item x="242"/>
        <item x="126"/>
        <item x="816"/>
        <item x="11"/>
        <item x="182"/>
        <item x="364"/>
        <item x="660"/>
        <item x="183"/>
        <item x="432"/>
        <item x="659"/>
        <item x="235"/>
        <item x="850"/>
        <item x="308"/>
        <item x="869"/>
        <item x="534"/>
        <item x="612"/>
        <item x="88"/>
        <item x="93"/>
        <item x="79"/>
        <item x="155"/>
        <item x="179"/>
        <item x="28"/>
        <item x="707"/>
        <item x="18"/>
        <item x="440"/>
        <item x="353"/>
        <item x="258"/>
        <item x="599"/>
        <item x="728"/>
        <item x="309"/>
        <item x="147"/>
        <item x="424"/>
        <item x="168"/>
        <item x="184"/>
        <item x="793"/>
        <item x="574"/>
        <item x="515"/>
        <item x="166"/>
        <item x="699"/>
        <item x="119"/>
        <item x="434"/>
        <item x="422"/>
        <item x="98"/>
        <item x="213"/>
        <item x="459"/>
        <item x="230"/>
        <item x="789"/>
        <item x="582"/>
        <item x="526"/>
        <item x="589"/>
        <item x="190"/>
        <item x="641"/>
        <item x="715"/>
        <item x="706"/>
        <item x="352"/>
        <item x="10"/>
        <item x="42"/>
        <item x="514"/>
        <item x="86"/>
        <item x="76"/>
        <item x="123"/>
        <item x="173"/>
        <item x="282"/>
        <item x="204"/>
        <item x="6"/>
        <item x="842"/>
        <item x="572"/>
        <item x="495"/>
        <item x="740"/>
        <item x="502"/>
        <item x="218"/>
        <item x="628"/>
        <item x="634"/>
        <item x="623"/>
        <item x="576"/>
        <item x="448"/>
        <item x="472"/>
        <item x="4"/>
        <item x="382"/>
        <item x="881"/>
        <item x="551"/>
        <item x="140"/>
        <item x="27"/>
        <item x="405"/>
        <item x="214"/>
        <item x="884"/>
        <item x="222"/>
        <item x="461"/>
        <item x="211"/>
        <item x="787"/>
        <item x="491"/>
        <item x="215"/>
        <item x="296"/>
        <item x="207"/>
        <item x="277"/>
        <item x="635"/>
        <item x="75"/>
        <item x="785"/>
        <item x="466"/>
        <item x="395"/>
        <item x="721"/>
        <item x="523"/>
        <item x="737"/>
        <item x="542"/>
        <item x="233"/>
        <item x="684"/>
        <item x="115"/>
        <item x="396"/>
        <item x="316"/>
        <item x="841"/>
        <item x="110"/>
        <item x="738"/>
        <item x="322"/>
        <item x="247"/>
        <item x="530"/>
        <item x="701"/>
        <item x="552"/>
        <item x="553"/>
        <item x="156"/>
        <item x="501"/>
        <item x="750"/>
        <item x="148"/>
        <item x="854"/>
        <item x="89"/>
        <item x="480"/>
        <item x="227"/>
        <item x="547"/>
        <item x="205"/>
        <item x="198"/>
        <item x="556"/>
        <item x="470"/>
        <item x="366"/>
        <item x="829"/>
        <item x="407"/>
        <item x="821"/>
        <item x="94"/>
        <item x="56"/>
        <item x="113"/>
        <item x="734"/>
        <item x="427"/>
        <item x="305"/>
        <item x="46"/>
        <item x="259"/>
        <item x="565"/>
        <item x="761"/>
        <item x="444"/>
        <item x="58"/>
        <item x="780"/>
        <item x="281"/>
        <item x="554"/>
        <item x="337"/>
        <item x="497"/>
        <item x="92"/>
        <item x="146"/>
        <item x="203"/>
        <item x="225"/>
        <item x="456"/>
        <item x="313"/>
        <item x="404"/>
        <item x="834"/>
        <item x="244"/>
        <item x="779"/>
        <item x="757"/>
        <item x="667"/>
        <item x="730"/>
        <item x="633"/>
        <item x="563"/>
        <item x="450"/>
        <item x="14"/>
        <item x="114"/>
        <item x="668"/>
        <item x="783"/>
        <item x="618"/>
        <item x="748"/>
        <item x="246"/>
        <item x="212"/>
        <item x="509"/>
        <item x="469"/>
        <item x="666"/>
        <item x="735"/>
        <item x="197"/>
        <item x="704"/>
        <item x="657"/>
        <item x="419"/>
        <item x="43"/>
        <item x="596"/>
        <item x="794"/>
        <item x="725"/>
        <item x="192"/>
        <item x="276"/>
        <item x="62"/>
        <item x="327"/>
        <item x="135"/>
        <item x="181"/>
        <item x="393"/>
        <item x="330"/>
        <item x="579"/>
        <item x="163"/>
        <item x="673"/>
        <item x="451"/>
        <item x="264"/>
        <item x="911"/>
        <item x="431"/>
        <item x="578"/>
        <item x="471"/>
        <item x="45"/>
        <item x="60"/>
        <item x="760"/>
        <item x="254"/>
        <item x="674"/>
        <item x="598"/>
        <item x="925"/>
        <item x="928"/>
        <item x="774"/>
        <item x="866"/>
        <item x="489"/>
        <item x="583"/>
        <item x="462"/>
        <item x="559"/>
        <item x="391"/>
        <item x="524"/>
        <item x="899"/>
        <item x="111"/>
        <item x="378"/>
        <item x="651"/>
        <item x="508"/>
        <item x="773"/>
        <item x="858"/>
        <item x="326"/>
        <item x="746"/>
        <item x="603"/>
        <item x="417"/>
        <item x="752"/>
        <item x="492"/>
        <item x="91"/>
        <item x="285"/>
        <item x="487"/>
        <item x="374"/>
        <item x="913"/>
        <item x="577"/>
        <item x="859"/>
        <item x="124"/>
        <item x="836"/>
        <item x="823"/>
        <item x="164"/>
        <item x="767"/>
        <item x="903"/>
        <item x="107"/>
        <item x="897"/>
        <item x="741"/>
        <item x="828"/>
        <item x="863"/>
        <item x="81"/>
        <item x="693"/>
        <item x="312"/>
        <item x="777"/>
        <item x="710"/>
        <item x="505"/>
        <item x="158"/>
        <item x="473"/>
        <item x="898"/>
        <item x="716"/>
        <item x="685"/>
        <item x="77"/>
        <item x="561"/>
        <item x="414"/>
        <item x="546"/>
        <item x="304"/>
        <item x="22"/>
        <item x="442"/>
        <item x="889"/>
        <item x="454"/>
        <item x="611"/>
        <item x="902"/>
        <item x="697"/>
        <item x="853"/>
        <item x="41"/>
        <item x="827"/>
        <item x="262"/>
        <item x="328"/>
        <item x="830"/>
        <item x="870"/>
        <item x="453"/>
        <item x="521"/>
        <item x="186"/>
        <item x="428"/>
        <item x="844"/>
        <item x="220"/>
        <item x="921"/>
        <item x="682"/>
        <item x="445"/>
        <item x="890"/>
        <item x="321"/>
        <item x="298"/>
        <item x="5"/>
        <item x="331"/>
        <item x="371"/>
        <item x="861"/>
        <item x="922"/>
        <item x="726"/>
        <item x="883"/>
        <item x="636"/>
        <item x="872"/>
        <item x="845"/>
        <item x="100"/>
        <item x="798"/>
        <item x="288"/>
        <item x="564"/>
        <item x="555"/>
        <item x="345"/>
        <item x="874"/>
        <item x="744"/>
        <item x="602"/>
        <item x="376"/>
        <item x="909"/>
        <item x="768"/>
        <item x="753"/>
        <item x="449"/>
        <item x="804"/>
        <item x="797"/>
        <item x="813"/>
        <item x="507"/>
        <item x="154"/>
        <item x="479"/>
        <item x="724"/>
        <item x="808"/>
        <item x="317"/>
        <item x="691"/>
        <item x="241"/>
        <item x="117"/>
        <item x="745"/>
        <item x="13"/>
        <item x="689"/>
        <item x="723"/>
        <item x="24"/>
        <item x="527"/>
        <item x="346"/>
        <item x="66"/>
        <item x="69"/>
        <item x="141"/>
        <item x="314"/>
        <item x="763"/>
        <item x="411"/>
        <item x="238"/>
        <item x="677"/>
        <item x="820"/>
        <item x="54"/>
        <item x="338"/>
        <item x="739"/>
        <item x="116"/>
        <item x="754"/>
        <item x="638"/>
        <item x="520"/>
        <item x="923"/>
        <item x="109"/>
        <item x="306"/>
        <item x="368"/>
        <item x="743"/>
        <item x="283"/>
        <item x="824"/>
        <item x="95"/>
        <item x="895"/>
        <item x="420"/>
        <item x="252"/>
        <item x="482"/>
        <item x="864"/>
        <item x="477"/>
        <item x="568"/>
        <item x="381"/>
        <item x="831"/>
        <item x="263"/>
        <item x="573"/>
        <item x="840"/>
        <item x="549"/>
        <item x="350"/>
        <item x="732"/>
        <item x="558"/>
        <item x="812"/>
        <item x="433"/>
        <item x="900"/>
        <item x="876"/>
        <item x="849"/>
        <item x="194"/>
        <item x="818"/>
        <item x="871"/>
        <item x="67"/>
        <item x="709"/>
        <item x="475"/>
        <item x="729"/>
        <item x="543"/>
        <item x="287"/>
        <item x="539"/>
        <item x="765"/>
        <item x="358"/>
        <item x="279"/>
        <item x="361"/>
        <item x="875"/>
        <item x="620"/>
        <item x="320"/>
        <item x="919"/>
        <item x="435"/>
        <item x="904"/>
        <item x="835"/>
        <item x="540"/>
        <item x="593"/>
        <item x="772"/>
        <item x="386"/>
        <item x="319"/>
        <item x="74"/>
        <item x="175"/>
        <item x="653"/>
        <item x="617"/>
        <item x="852"/>
        <item x="720"/>
        <item x="485"/>
        <item x="882"/>
        <item x="733"/>
        <item x="460"/>
        <item x="339"/>
        <item x="518"/>
        <item x="250"/>
        <item x="901"/>
        <item x="681"/>
        <item x="698"/>
        <item x="649"/>
        <item x="290"/>
        <item x="683"/>
        <item x="892"/>
        <item x="867"/>
        <item x="348"/>
        <item x="782"/>
        <item x="562"/>
        <item x="315"/>
        <item x="586"/>
        <item x="756"/>
        <item x="189"/>
        <item x="920"/>
        <item x="671"/>
        <item x="2"/>
        <item x="506"/>
        <item x="792"/>
        <item x="703"/>
        <item x="643"/>
        <item x="851"/>
        <item x="610"/>
        <item x="349"/>
        <item x="531"/>
        <item x="575"/>
        <item x="251"/>
        <item x="675"/>
        <item x="64"/>
        <item x="377"/>
        <item x="467"/>
        <item x="670"/>
        <item x="560"/>
        <item x="749"/>
        <item x="886"/>
        <item x="814"/>
        <item x="802"/>
        <item x="796"/>
        <item x="566"/>
        <item x="118"/>
        <item x="622"/>
        <item x="658"/>
        <item x="696"/>
        <item x="517"/>
        <item x="933"/>
        <item x="873"/>
        <item x="537"/>
        <item x="800"/>
        <item x="915"/>
        <item x="817"/>
        <item x="12"/>
        <item x="529"/>
        <item x="650"/>
        <item x="106"/>
        <item x="103"/>
        <item x="323"/>
        <item x="776"/>
        <item x="906"/>
        <item x="930"/>
        <item x="801"/>
        <item x="713"/>
        <item x="474"/>
        <item x="149"/>
        <item x="656"/>
        <item x="868"/>
        <item x="799"/>
        <item x="778"/>
        <item x="847"/>
        <item x="274"/>
        <item x="810"/>
        <item x="916"/>
        <item x="809"/>
        <item x="447"/>
        <item x="764"/>
        <item x="360"/>
        <item x="731"/>
        <item x="493"/>
        <item x="795"/>
        <item x="663"/>
        <item x="185"/>
        <item x="87"/>
        <item x="481"/>
        <item x="177"/>
        <item x="784"/>
        <item x="819"/>
        <item x="519"/>
        <item x="584"/>
        <item x="717"/>
        <item x="700"/>
        <item x="637"/>
        <item x="839"/>
        <item x="44"/>
        <item x="837"/>
        <item x="525"/>
        <item x="40"/>
        <item x="652"/>
        <item x="131"/>
        <item x="838"/>
        <item x="692"/>
        <item x="510"/>
        <item x="223"/>
        <item x="825"/>
        <item x="516"/>
        <item x="786"/>
        <item x="513"/>
        <item x="907"/>
        <item x="714"/>
        <item x="662"/>
        <item x="770"/>
        <item x="311"/>
        <item x="878"/>
        <item x="865"/>
        <item x="924"/>
        <item x="927"/>
        <item x="912"/>
        <item x="688"/>
        <item x="891"/>
        <item x="284"/>
        <item x="781"/>
        <item x="676"/>
        <item x="96"/>
        <item x="747"/>
        <item x="373"/>
        <item x="694"/>
        <item x="806"/>
        <item x="31"/>
        <item x="621"/>
        <item x="416"/>
        <item x="616"/>
        <item x="488"/>
        <item x="626"/>
        <item x="832"/>
        <item x="648"/>
        <item x="880"/>
        <item x="815"/>
        <item x="640"/>
        <item x="499"/>
        <item x="917"/>
        <item x="896"/>
        <item x="702"/>
        <item x="712"/>
        <item x="36"/>
        <item x="914"/>
        <item x="645"/>
        <item x="437"/>
        <item x="718"/>
        <item x="848"/>
        <item x="708"/>
        <item x="833"/>
        <item x="894"/>
        <item t="default"/>
      </items>
    </pivotField>
    <pivotField showAll="0">
      <items count="1765">
        <item x="0"/>
        <item x="432"/>
        <item x="1482"/>
        <item x="178"/>
        <item x="1436"/>
        <item x="239"/>
        <item x="591"/>
        <item x="1426"/>
        <item x="1021"/>
        <item x="283"/>
        <item x="1494"/>
        <item x="749"/>
        <item x="1609"/>
        <item x="248"/>
        <item x="135"/>
        <item x="836"/>
        <item x="832"/>
        <item x="1200"/>
        <item x="1600"/>
        <item x="1709"/>
        <item x="670"/>
        <item x="1492"/>
        <item x="134"/>
        <item x="447"/>
        <item x="688"/>
        <item x="1219"/>
        <item x="614"/>
        <item x="1137"/>
        <item x="132"/>
        <item x="190"/>
        <item x="1500"/>
        <item x="323"/>
        <item x="798"/>
        <item x="333"/>
        <item x="1429"/>
        <item x="1349"/>
        <item x="483"/>
        <item x="731"/>
        <item x="1084"/>
        <item x="258"/>
        <item x="968"/>
        <item x="525"/>
        <item x="249"/>
        <item x="1246"/>
        <item x="61"/>
        <item x="1695"/>
        <item x="772"/>
        <item x="126"/>
        <item x="1561"/>
        <item x="779"/>
        <item x="301"/>
        <item x="835"/>
        <item x="1057"/>
        <item x="1616"/>
        <item x="830"/>
        <item x="1644"/>
        <item x="202"/>
        <item x="1672"/>
        <item x="19"/>
        <item x="382"/>
        <item x="1441"/>
        <item x="1703"/>
        <item x="1191"/>
        <item x="601"/>
        <item x="1102"/>
        <item x="38"/>
        <item x="534"/>
        <item x="63"/>
        <item x="49"/>
        <item x="1116"/>
        <item x="1639"/>
        <item x="1637"/>
        <item x="879"/>
        <item x="293"/>
        <item x="425"/>
        <item x="1034"/>
        <item x="1076"/>
        <item x="1678"/>
        <item x="47"/>
        <item x="1493"/>
        <item x="242"/>
        <item x="928"/>
        <item x="1538"/>
        <item x="1642"/>
        <item x="558"/>
        <item x="1705"/>
        <item x="406"/>
        <item x="1323"/>
        <item x="1455"/>
        <item x="35"/>
        <item x="137"/>
        <item x="627"/>
        <item x="109"/>
        <item x="1158"/>
        <item x="390"/>
        <item x="1684"/>
        <item x="1229"/>
        <item x="944"/>
        <item x="860"/>
        <item x="940"/>
        <item x="698"/>
        <item x="1417"/>
        <item x="253"/>
        <item x="1680"/>
        <item x="1564"/>
        <item x="1222"/>
        <item x="607"/>
        <item x="1656"/>
        <item x="1580"/>
        <item x="1114"/>
        <item x="169"/>
        <item x="1553"/>
        <item x="1668"/>
        <item x="1657"/>
        <item x="519"/>
        <item x="72"/>
        <item x="1520"/>
        <item x="53"/>
        <item x="168"/>
        <item x="1277"/>
        <item x="547"/>
        <item x="329"/>
        <item x="791"/>
        <item x="1745"/>
        <item x="804"/>
        <item x="463"/>
        <item x="853"/>
        <item x="753"/>
        <item x="220"/>
        <item x="1139"/>
        <item x="1320"/>
        <item x="1732"/>
        <item x="923"/>
        <item x="496"/>
        <item x="864"/>
        <item x="736"/>
        <item x="341"/>
        <item x="144"/>
        <item x="165"/>
        <item x="282"/>
        <item x="518"/>
        <item x="1400"/>
        <item x="1117"/>
        <item x="1352"/>
        <item x="274"/>
        <item x="803"/>
        <item x="783"/>
        <item x="1184"/>
        <item x="504"/>
        <item x="1667"/>
        <item x="50"/>
        <item x="1712"/>
        <item x="480"/>
        <item x="1465"/>
        <item x="1151"/>
        <item x="337"/>
        <item x="1283"/>
        <item x="469"/>
        <item x="440"/>
        <item x="39"/>
        <item x="1286"/>
        <item x="181"/>
        <item x="1422"/>
        <item x="1195"/>
        <item x="328"/>
        <item x="1661"/>
        <item x="945"/>
        <item x="573"/>
        <item x="225"/>
        <item x="1456"/>
        <item x="438"/>
        <item x="938"/>
        <item x="583"/>
        <item x="1212"/>
        <item x="705"/>
        <item x="204"/>
        <item x="962"/>
        <item x="494"/>
        <item x="716"/>
        <item x="722"/>
        <item x="1063"/>
        <item x="516"/>
        <item x="434"/>
        <item x="1447"/>
        <item x="594"/>
        <item x="86"/>
        <item x="179"/>
        <item x="392"/>
        <item x="828"/>
        <item x="1601"/>
        <item x="538"/>
        <item x="510"/>
        <item x="959"/>
        <item x="1293"/>
        <item x="655"/>
        <item x="319"/>
        <item x="1247"/>
        <item x="51"/>
        <item x="268"/>
        <item x="528"/>
        <item x="1111"/>
        <item x="256"/>
        <item x="1474"/>
        <item x="500"/>
        <item x="1039"/>
        <item x="486"/>
        <item x="813"/>
        <item x="458"/>
        <item x="578"/>
        <item x="163"/>
        <item x="180"/>
        <item x="1045"/>
        <item x="937"/>
        <item x="733"/>
        <item x="964"/>
        <item x="954"/>
        <item x="1074"/>
        <item x="1692"/>
        <item x="475"/>
        <item x="1342"/>
        <item x="773"/>
        <item x="1559"/>
        <item x="413"/>
        <item x="1228"/>
        <item x="112"/>
        <item x="513"/>
        <item x="535"/>
        <item x="1557"/>
        <item x="287"/>
        <item x="1563"/>
        <item x="789"/>
        <item x="1309"/>
        <item x="1758"/>
        <item x="1260"/>
        <item x="1089"/>
        <item x="521"/>
        <item x="1364"/>
        <item x="630"/>
        <item x="1107"/>
        <item x="1539"/>
        <item x="1407"/>
        <item x="1090"/>
        <item x="252"/>
        <item x="898"/>
        <item x="291"/>
        <item x="6"/>
        <item x="466"/>
        <item x="102"/>
        <item x="1581"/>
        <item x="391"/>
        <item x="571"/>
        <item x="1007"/>
        <item x="1498"/>
        <item x="1640"/>
        <item x="933"/>
        <item x="472"/>
        <item x="473"/>
        <item x="1177"/>
        <item x="1281"/>
        <item x="1253"/>
        <item x="636"/>
        <item x="569"/>
        <item x="687"/>
        <item x="1356"/>
        <item x="1635"/>
        <item x="331"/>
        <item x="305"/>
        <item x="902"/>
        <item x="150"/>
        <item x="572"/>
        <item x="1242"/>
        <item x="1478"/>
        <item x="676"/>
        <item x="1100"/>
        <item x="254"/>
        <item x="1176"/>
        <item x="1201"/>
        <item x="1738"/>
        <item x="266"/>
        <item x="408"/>
        <item x="1035"/>
        <item x="1297"/>
        <item x="170"/>
        <item x="1"/>
        <item x="886"/>
        <item x="1085"/>
        <item x="834"/>
        <item x="546"/>
        <item x="957"/>
        <item x="85"/>
        <item x="1448"/>
        <item x="1197"/>
        <item x="1030"/>
        <item x="683"/>
        <item x="1016"/>
        <item x="143"/>
        <item x="1620"/>
        <item x="1220"/>
        <item x="1276"/>
        <item x="34"/>
        <item x="1005"/>
        <item x="1394"/>
        <item x="453"/>
        <item x="1099"/>
        <item x="1740"/>
        <item x="460"/>
        <item x="891"/>
        <item x="221"/>
        <item x="212"/>
        <item x="1481"/>
        <item x="499"/>
        <item x="511"/>
        <item x="812"/>
        <item x="387"/>
        <item x="1124"/>
        <item x="702"/>
        <item x="815"/>
        <item x="14"/>
        <item x="119"/>
        <item x="884"/>
        <item x="966"/>
        <item x="863"/>
        <item x="1476"/>
        <item x="693"/>
        <item x="509"/>
        <item x="821"/>
        <item x="418"/>
        <item x="745"/>
        <item x="1714"/>
        <item x="508"/>
        <item x="1043"/>
        <item x="564"/>
        <item x="59"/>
        <item x="299"/>
        <item x="1154"/>
        <item x="952"/>
        <item x="474"/>
        <item x="1549"/>
        <item x="1012"/>
        <item x="527"/>
        <item x="1664"/>
        <item x="184"/>
        <item x="1321"/>
        <item x="1013"/>
        <item x="660"/>
        <item x="1574"/>
        <item x="503"/>
        <item x="1289"/>
        <item x="623"/>
        <item x="1325"/>
        <item x="236"/>
        <item x="1285"/>
        <item x="936"/>
        <item x="1524"/>
        <item x="426"/>
        <item x="1517"/>
        <item x="800"/>
        <item x="372"/>
        <item x="1314"/>
        <item x="610"/>
        <item x="110"/>
        <item x="965"/>
        <item x="1734"/>
        <item x="611"/>
        <item x="495"/>
        <item x="108"/>
        <item x="1554"/>
        <item x="998"/>
        <item x="172"/>
        <item x="1488"/>
        <item x="1648"/>
        <item x="514"/>
        <item x="882"/>
        <item x="714"/>
        <item x="332"/>
        <item x="1721"/>
        <item x="445"/>
        <item x="1003"/>
        <item x="837"/>
        <item x="83"/>
        <item x="771"/>
        <item x="1598"/>
        <item x="1233"/>
        <item x="482"/>
        <item x="292"/>
        <item x="648"/>
        <item x="1148"/>
        <item x="166"/>
        <item x="1670"/>
        <item x="1645"/>
        <item x="491"/>
        <item x="1623"/>
        <item x="1608"/>
        <item x="1751"/>
        <item x="1113"/>
        <item x="84"/>
        <item x="1187"/>
        <item x="1589"/>
        <item x="479"/>
        <item x="1133"/>
        <item x="556"/>
        <item x="48"/>
        <item x="7"/>
        <item x="1687"/>
        <item x="41"/>
        <item x="1443"/>
        <item x="969"/>
        <item x="1101"/>
        <item x="1523"/>
        <item x="330"/>
        <item x="1135"/>
        <item x="673"/>
        <item x="1518"/>
        <item x="462"/>
        <item x="1182"/>
        <item x="470"/>
        <item x="707"/>
        <item x="925"/>
        <item x="681"/>
        <item x="433"/>
        <item x="1405"/>
        <item x="903"/>
        <item x="278"/>
        <item x="533"/>
        <item x="1274"/>
        <item x="1647"/>
        <item x="1331"/>
        <item x="464"/>
        <item x="825"/>
        <item x="1216"/>
        <item x="1172"/>
        <item x="550"/>
        <item x="1324"/>
        <item x="1024"/>
        <item x="1360"/>
        <item x="616"/>
        <item x="781"/>
        <item x="700"/>
        <item x="626"/>
        <item x="1053"/>
        <item x="640"/>
        <item x="631"/>
        <item x="697"/>
        <item x="485"/>
        <item x="1205"/>
        <item x="1155"/>
        <item x="1047"/>
        <item x="787"/>
        <item x="1605"/>
        <item x="1702"/>
        <item x="542"/>
        <item x="70"/>
        <item x="32"/>
        <item x="817"/>
        <item x="645"/>
        <item x="244"/>
        <item x="786"/>
        <item x="497"/>
        <item x="742"/>
        <item x="407"/>
        <item x="1270"/>
        <item x="411"/>
        <item x="1058"/>
        <item x="758"/>
        <item x="988"/>
        <item x="1152"/>
        <item x="974"/>
        <item x="1196"/>
        <item x="737"/>
        <item x="1487"/>
        <item x="1707"/>
        <item x="16"/>
        <item x="1261"/>
        <item x="64"/>
        <item x="1650"/>
        <item x="442"/>
        <item x="255"/>
        <item x="1467"/>
        <item x="725"/>
        <item x="234"/>
        <item x="422"/>
        <item x="415"/>
        <item x="296"/>
        <item x="233"/>
        <item x="139"/>
        <item x="802"/>
        <item x="586"/>
        <item x="854"/>
        <item x="219"/>
        <item x="334"/>
        <item x="1629"/>
        <item x="73"/>
        <item x="980"/>
        <item x="1757"/>
        <item x="451"/>
        <item x="647"/>
        <item x="131"/>
        <item x="68"/>
        <item x="11"/>
        <item x="196"/>
        <item x="1543"/>
        <item x="197"/>
        <item x="643"/>
        <item x="1033"/>
        <item x="1300"/>
        <item x="1569"/>
        <item x="1459"/>
        <item x="350"/>
        <item x="1638"/>
        <item x="1217"/>
        <item x="1326"/>
        <item x="862"/>
        <item x="427"/>
        <item x="90"/>
        <item x="95"/>
        <item x="855"/>
        <item x="1171"/>
        <item x="857"/>
        <item x="1681"/>
        <item x="530"/>
        <item x="1062"/>
        <item x="646"/>
        <item x="298"/>
        <item x="125"/>
        <item x="576"/>
        <item x="1223"/>
        <item x="186"/>
        <item x="1454"/>
        <item x="1389"/>
        <item x="748"/>
        <item x="199"/>
        <item x="1652"/>
        <item x="661"/>
        <item x="211"/>
        <item x="1049"/>
        <item x="852"/>
        <item x="568"/>
        <item x="142"/>
        <item x="101"/>
        <item x="872"/>
        <item x="793"/>
        <item x="619"/>
        <item x="694"/>
        <item x="1002"/>
        <item x="1511"/>
        <item x="799"/>
        <item x="1311"/>
        <item x="215"/>
        <item x="807"/>
        <item x="1061"/>
        <item x="939"/>
        <item x="10"/>
        <item x="1178"/>
        <item x="42"/>
        <item x="659"/>
        <item x="414"/>
        <item x="1239"/>
        <item x="17"/>
        <item x="81"/>
        <item x="918"/>
        <item x="579"/>
        <item x="806"/>
        <item x="622"/>
        <item x="1097"/>
        <item x="1483"/>
        <item x="883"/>
        <item x="1006"/>
        <item x="1534"/>
        <item x="881"/>
        <item x="794"/>
        <item x="158"/>
        <item x="380"/>
        <item x="548"/>
        <item x="1413"/>
        <item x="1129"/>
        <item x="247"/>
        <item x="1127"/>
        <item x="1575"/>
        <item x="717"/>
        <item x="1466"/>
        <item x="488"/>
        <item x="1449"/>
        <item x="311"/>
        <item x="574"/>
        <item x="1579"/>
        <item x="151"/>
        <item x="1484"/>
        <item x="100"/>
        <item x="446"/>
        <item x="1699"/>
        <item x="565"/>
        <item x="1622"/>
        <item x="726"/>
        <item x="1527"/>
        <item x="1737"/>
        <item x="833"/>
        <item x="557"/>
        <item x="841"/>
        <item x="1098"/>
        <item x="593"/>
        <item x="1250"/>
        <item x="193"/>
        <item x="1402"/>
        <item x="120"/>
        <item x="111"/>
        <item x="160"/>
        <item x="493"/>
        <item x="92"/>
        <item x="1710"/>
        <item x="297"/>
        <item x="1087"/>
        <item x="164"/>
        <item x="641"/>
        <item x="1296"/>
        <item x="384"/>
        <item x="544"/>
        <item x="949"/>
        <item x="1287"/>
        <item x="1432"/>
        <item x="1268"/>
        <item x="553"/>
        <item x="302"/>
        <item x="145"/>
        <item x="376"/>
        <item x="1109"/>
        <item x="570"/>
        <item x="52"/>
        <item x="1415"/>
        <item x="352"/>
        <item x="967"/>
        <item x="624"/>
        <item x="1555"/>
        <item x="628"/>
        <item x="888"/>
        <item x="1077"/>
        <item x="1208"/>
        <item x="1332"/>
        <item x="520"/>
        <item x="1071"/>
        <item x="823"/>
        <item x="1193"/>
        <item x="618"/>
        <item x="539"/>
        <item x="58"/>
        <item x="580"/>
        <item x="1403"/>
        <item x="309"/>
        <item x="769"/>
        <item x="385"/>
        <item x="632"/>
        <item x="1060"/>
        <item x="33"/>
        <item x="1583"/>
        <item x="848"/>
        <item x="1272"/>
        <item x="1249"/>
        <item x="1209"/>
        <item x="1423"/>
        <item x="955"/>
        <item x="431"/>
        <item x="979"/>
        <item x="927"/>
        <item x="1265"/>
        <item x="117"/>
        <item x="986"/>
        <item x="1567"/>
        <item x="260"/>
        <item x="30"/>
        <item x="981"/>
        <item x="1545"/>
        <item x="1597"/>
        <item x="1048"/>
        <item x="531"/>
        <item x="1093"/>
        <item x="340"/>
        <item x="246"/>
        <item x="685"/>
        <item x="1693"/>
        <item x="1411"/>
        <item x="336"/>
        <item x="1641"/>
        <item x="1134"/>
        <item x="517"/>
        <item x="1294"/>
        <item x="996"/>
        <item x="383"/>
        <item x="1068"/>
        <item x="1387"/>
        <item x="1730"/>
        <item x="1367"/>
        <item x="223"/>
        <item x="304"/>
        <item x="639"/>
        <item x="374"/>
        <item x="209"/>
        <item x="194"/>
        <item x="388"/>
        <item x="377"/>
        <item x="1457"/>
        <item x="1683"/>
        <item x="634"/>
        <item x="1762"/>
        <item x="381"/>
        <item x="684"/>
        <item x="1427"/>
        <item x="1038"/>
        <item x="780"/>
        <item x="932"/>
        <item x="1708"/>
        <item x="1175"/>
        <item x="60"/>
        <item x="1419"/>
        <item x="275"/>
        <item x="1298"/>
        <item x="1391"/>
        <item x="1489"/>
        <item x="897"/>
        <item x="1410"/>
        <item x="1096"/>
        <item x="625"/>
        <item x="613"/>
        <item x="1435"/>
        <item x="1262"/>
        <item x="353"/>
        <item x="1401"/>
        <item x="468"/>
        <item x="973"/>
        <item x="675"/>
        <item x="1626"/>
        <item x="1570"/>
        <item x="599"/>
        <item x="1718"/>
        <item x="1207"/>
        <item x="1363"/>
        <item x="1761"/>
        <item x="926"/>
        <item x="824"/>
        <item x="1224"/>
        <item x="203"/>
        <item x="1119"/>
        <item x="1753"/>
        <item x="956"/>
        <item x="1501"/>
        <item x="689"/>
        <item x="315"/>
        <item x="638"/>
        <item x="379"/>
        <item x="562"/>
        <item x="842"/>
        <item x="354"/>
        <item x="277"/>
        <item x="174"/>
        <item x="318"/>
        <item x="465"/>
        <item x="1621"/>
        <item x="1388"/>
        <item x="1634"/>
        <item x="1065"/>
        <item x="1618"/>
        <item x="1145"/>
        <item x="1330"/>
        <item x="1506"/>
        <item x="608"/>
        <item x="1399"/>
        <item x="55"/>
        <item x="1384"/>
        <item x="831"/>
        <item x="1120"/>
        <item x="1040"/>
        <item x="351"/>
        <item x="1230"/>
        <item x="515"/>
        <item x="1126"/>
        <item x="1733"/>
        <item x="1660"/>
        <item x="9"/>
        <item x="963"/>
        <item x="1588"/>
        <item x="1655"/>
        <item x="507"/>
        <item x="1022"/>
        <item x="905"/>
        <item x="739"/>
        <item x="1355"/>
        <item x="402"/>
        <item x="1329"/>
        <item x="409"/>
        <item x="1750"/>
        <item x="1344"/>
        <item x="444"/>
        <item x="250"/>
        <item x="950"/>
        <item x="1271"/>
        <item x="1530"/>
        <item x="811"/>
        <item x="759"/>
        <item x="154"/>
        <item x="1095"/>
        <item x="1157"/>
        <item x="915"/>
        <item x="435"/>
        <item x="1288"/>
        <item x="1164"/>
        <item x="1475"/>
        <item x="1128"/>
        <item x="838"/>
        <item x="1728"/>
        <item x="657"/>
        <item x="1183"/>
        <item x="522"/>
        <item x="1080"/>
        <item x="1759"/>
        <item x="1445"/>
        <item x="1537"/>
        <item x="312"/>
        <item x="1345"/>
        <item x="1251"/>
        <item x="1189"/>
        <item x="1256"/>
        <item x="701"/>
        <item x="762"/>
        <item x="606"/>
        <item x="589"/>
        <item x="1243"/>
        <item x="750"/>
        <item x="1713"/>
        <item x="66"/>
        <item x="1763"/>
        <item x="1603"/>
        <item x="1531"/>
        <item x="900"/>
        <item x="362"/>
        <item x="1026"/>
        <item x="612"/>
        <item x="393"/>
        <item x="4"/>
        <item x="1284"/>
        <item x="1691"/>
        <item x="307"/>
        <item x="443"/>
        <item x="727"/>
        <item x="1512"/>
        <item x="1522"/>
        <item x="595"/>
        <item x="231"/>
        <item x="826"/>
        <item x="187"/>
        <item x="162"/>
        <item x="775"/>
        <item x="893"/>
        <item x="1669"/>
        <item x="597"/>
        <item x="1434"/>
        <item x="889"/>
        <item x="1337"/>
        <item x="1619"/>
        <item x="1395"/>
        <item x="224"/>
        <item x="25"/>
        <item x="122"/>
        <item x="766"/>
        <item x="218"/>
        <item x="1525"/>
        <item x="1350"/>
        <item x="257"/>
        <item x="983"/>
        <item x="633"/>
        <item x="74"/>
        <item x="394"/>
        <item x="67"/>
        <item x="1020"/>
        <item x="1573"/>
        <item x="476"/>
        <item x="359"/>
        <item x="366"/>
        <item x="1565"/>
        <item x="1142"/>
        <item x="1275"/>
        <item x="1452"/>
        <item x="690"/>
        <item x="106"/>
        <item x="364"/>
        <item x="316"/>
        <item x="1596"/>
        <item x="1143"/>
        <item x="1180"/>
        <item x="1165"/>
        <item x="156"/>
        <item x="79"/>
        <item x="808"/>
        <item x="1173"/>
        <item x="412"/>
        <item x="827"/>
        <item x="1390"/>
        <item x="1458"/>
        <item x="885"/>
        <item x="620"/>
        <item x="975"/>
        <item x="455"/>
        <item x="1385"/>
        <item x="118"/>
        <item x="1001"/>
        <item x="1582"/>
        <item x="1131"/>
        <item x="1086"/>
        <item x="1372"/>
        <item x="1348"/>
        <item x="724"/>
        <item x="213"/>
        <item x="1451"/>
        <item x="796"/>
        <item x="1042"/>
        <item x="1343"/>
        <item x="529"/>
        <item x="345"/>
        <item x="261"/>
        <item x="1473"/>
        <item x="94"/>
        <item x="1174"/>
        <item x="280"/>
        <item x="1568"/>
        <item x="1327"/>
        <item x="243"/>
        <item x="338"/>
        <item x="756"/>
        <item x="1572"/>
        <item x="487"/>
        <item x="436"/>
        <item x="958"/>
        <item x="167"/>
        <item x="1192"/>
        <item x="1210"/>
        <item x="896"/>
        <item x="308"/>
        <item x="271"/>
        <item x="1519"/>
        <item x="420"/>
        <item x="861"/>
        <item x="763"/>
        <item x="152"/>
        <item x="228"/>
        <item x="577"/>
        <item x="977"/>
        <item x="294"/>
        <item x="214"/>
        <item x="403"/>
        <item x="877"/>
        <item x="1186"/>
        <item x="43"/>
        <item x="454"/>
        <item x="461"/>
        <item x="1428"/>
        <item x="904"/>
        <item x="140"/>
        <item x="1704"/>
        <item x="1416"/>
        <item x="922"/>
        <item x="549"/>
        <item x="1336"/>
        <item x="264"/>
        <item x="609"/>
        <item x="138"/>
        <item x="1130"/>
        <item x="1202"/>
        <item x="23"/>
        <item x="1168"/>
        <item x="667"/>
        <item x="1651"/>
        <item x="1066"/>
        <item x="230"/>
        <item x="801"/>
        <item x="267"/>
        <item x="1547"/>
        <item x="226"/>
        <item x="325"/>
        <item x="560"/>
        <item x="523"/>
        <item x="818"/>
        <item x="679"/>
        <item x="1431"/>
        <item x="1725"/>
        <item x="303"/>
        <item x="397"/>
        <item x="1094"/>
        <item x="206"/>
        <item x="1715"/>
        <item x="760"/>
        <item x="358"/>
        <item x="1722"/>
        <item x="991"/>
        <item x="1433"/>
        <item x="1479"/>
        <item x="1282"/>
        <item x="104"/>
        <item x="985"/>
        <item x="20"/>
        <item x="77"/>
        <item x="1199"/>
        <item x="1437"/>
        <item x="1055"/>
        <item x="765"/>
        <item x="1156"/>
        <item x="839"/>
        <item x="642"/>
        <item x="961"/>
        <item x="1169"/>
        <item x="692"/>
        <item x="1141"/>
        <item x="901"/>
        <item x="846"/>
        <item x="890"/>
        <item x="873"/>
        <item x="317"/>
        <item x="1009"/>
        <item x="776"/>
        <item x="1535"/>
        <item x="326"/>
        <item x="1675"/>
        <item x="65"/>
        <item x="662"/>
        <item x="129"/>
        <item x="416"/>
        <item x="1279"/>
        <item x="147"/>
        <item x="1686"/>
        <item x="27"/>
        <item x="1541"/>
        <item x="1167"/>
        <item x="822"/>
        <item x="1166"/>
        <item x="984"/>
        <item x="743"/>
        <item x="1404"/>
        <item x="1161"/>
        <item x="1359"/>
        <item x="217"/>
        <item x="615"/>
        <item x="757"/>
        <item x="123"/>
        <item x="976"/>
        <item x="1412"/>
        <item x="1706"/>
        <item x="1118"/>
        <item x="540"/>
        <item x="76"/>
        <item x="666"/>
        <item x="1069"/>
        <item x="1760"/>
        <item x="989"/>
        <item x="1551"/>
        <item x="78"/>
        <item x="237"/>
        <item x="1396"/>
        <item x="1365"/>
        <item x="1150"/>
        <item x="1248"/>
        <item x="987"/>
        <item x="342"/>
        <item x="1533"/>
        <item x="1723"/>
        <item x="1044"/>
        <item x="1234"/>
        <item x="805"/>
        <item x="1726"/>
        <item x="1231"/>
        <item x="1017"/>
        <item x="596"/>
        <item x="1316"/>
        <item x="262"/>
        <item x="719"/>
        <item x="441"/>
        <item x="672"/>
        <item x="1031"/>
        <item x="1204"/>
        <item x="598"/>
        <item x="1576"/>
        <item x="721"/>
        <item x="238"/>
        <item x="1310"/>
        <item x="1235"/>
        <item x="216"/>
        <item x="1624"/>
        <item x="543"/>
        <item x="1267"/>
        <item x="467"/>
        <item x="1679"/>
        <item x="1136"/>
        <item x="545"/>
        <item x="1206"/>
        <item x="816"/>
        <item x="1578"/>
        <item x="1586"/>
        <item x="103"/>
        <item x="1306"/>
        <item x="754"/>
        <item x="343"/>
        <item x="28"/>
        <item x="133"/>
        <item x="951"/>
        <item x="281"/>
        <item x="755"/>
        <item x="300"/>
        <item x="87"/>
        <item x="1371"/>
        <item x="1292"/>
        <item x="946"/>
        <item x="536"/>
        <item x="650"/>
        <item x="155"/>
        <item x="629"/>
        <item x="1468"/>
        <item x="1499"/>
        <item x="1486"/>
        <item x="195"/>
        <item x="600"/>
        <item x="1290"/>
        <item x="960"/>
        <item x="361"/>
        <item x="1104"/>
        <item x="175"/>
        <item x="1754"/>
        <item x="124"/>
        <item x="948"/>
        <item x="3"/>
        <item x="723"/>
        <item x="1685"/>
        <item x="1497"/>
        <item x="751"/>
        <item x="1370"/>
        <item x="1611"/>
        <item x="1317"/>
        <item x="1266"/>
        <item x="792"/>
        <item x="844"/>
        <item x="843"/>
        <item x="1439"/>
        <item x="357"/>
        <item x="1083"/>
        <item x="1546"/>
        <item x="1123"/>
        <item x="259"/>
        <item x="1430"/>
        <item x="88"/>
        <item x="1625"/>
        <item x="54"/>
        <item x="899"/>
        <item x="1291"/>
        <item x="1029"/>
        <item x="208"/>
        <item x="1633"/>
        <item x="907"/>
        <item x="819"/>
        <item x="1144"/>
        <item x="1340"/>
        <item x="313"/>
        <item x="1409"/>
        <item x="97"/>
        <item x="276"/>
        <item x="552"/>
        <item x="1614"/>
        <item x="917"/>
        <item x="788"/>
        <item x="585"/>
        <item x="584"/>
        <item x="1677"/>
        <item x="45"/>
        <item x="592"/>
        <item x="674"/>
        <item x="1073"/>
        <item x="1004"/>
        <item x="1420"/>
        <item x="423"/>
        <item x="770"/>
        <item x="990"/>
        <item x="29"/>
        <item x="1241"/>
        <item x="1125"/>
        <item x="346"/>
        <item x="537"/>
        <item x="1264"/>
        <item x="1375"/>
        <item x="1008"/>
        <item x="1122"/>
        <item x="232"/>
        <item x="452"/>
        <item x="1368"/>
        <item x="1140"/>
        <item x="1526"/>
        <item x="457"/>
        <item x="1121"/>
        <item x="1743"/>
        <item x="1381"/>
        <item x="1397"/>
        <item x="764"/>
        <item x="711"/>
        <item x="320"/>
        <item x="295"/>
        <item x="1221"/>
        <item x="909"/>
        <item x="1460"/>
        <item x="1341"/>
        <item x="1444"/>
        <item x="57"/>
        <item x="159"/>
        <item x="182"/>
        <item x="373"/>
        <item x="1542"/>
        <item x="982"/>
        <item x="1052"/>
        <item x="1591"/>
        <item x="994"/>
        <item x="728"/>
        <item x="80"/>
        <item x="729"/>
        <item x="1694"/>
        <item x="1508"/>
        <item x="395"/>
        <item x="1566"/>
        <item x="1188"/>
        <item x="1347"/>
        <item x="1226"/>
        <item x="567"/>
        <item x="289"/>
        <item x="161"/>
        <item x="279"/>
        <item x="1269"/>
        <item x="1671"/>
        <item x="15"/>
        <item x="1505"/>
        <item x="141"/>
        <item x="892"/>
        <item x="400"/>
        <item x="355"/>
        <item x="1418"/>
        <item x="851"/>
        <item x="1037"/>
        <item x="1075"/>
        <item x="502"/>
        <item x="752"/>
        <item x="1755"/>
        <item x="1480"/>
        <item x="1747"/>
        <item x="895"/>
        <item x="176"/>
        <item x="744"/>
        <item x="269"/>
        <item x="1011"/>
        <item x="46"/>
        <item x="997"/>
        <item x="99"/>
        <item x="1015"/>
        <item x="1198"/>
        <item x="1238"/>
        <item x="310"/>
        <item x="1604"/>
        <item x="1592"/>
        <item x="730"/>
        <item x="1244"/>
        <item x="347"/>
        <item x="1496"/>
        <item x="1041"/>
        <item x="1305"/>
        <item x="1308"/>
        <item x="356"/>
        <item x="582"/>
        <item x="191"/>
        <item x="1181"/>
        <item x="2"/>
        <item x="847"/>
        <item x="1334"/>
        <item x="1736"/>
        <item x="1630"/>
        <item x="1278"/>
        <item x="1358"/>
        <item x="477"/>
        <item x="335"/>
        <item x="849"/>
        <item x="189"/>
        <item x="850"/>
        <item x="1354"/>
        <item x="149"/>
        <item x="272"/>
        <item x="265"/>
        <item x="1617"/>
        <item x="1463"/>
        <item x="1382"/>
        <item x="449"/>
        <item x="720"/>
        <item x="734"/>
        <item x="370"/>
        <item x="1540"/>
        <item x="1153"/>
        <item x="992"/>
        <item x="953"/>
        <item x="894"/>
        <item x="869"/>
        <item x="1213"/>
        <item x="1108"/>
        <item x="1383"/>
        <item x="1491"/>
        <item x="1132"/>
        <item x="240"/>
        <item x="1584"/>
        <item x="1735"/>
        <item x="1185"/>
        <item x="931"/>
        <item x="26"/>
        <item x="1377"/>
        <item x="1602"/>
        <item x="1490"/>
        <item x="1036"/>
        <item x="146"/>
        <item x="880"/>
        <item x="1688"/>
        <item x="995"/>
        <item x="914"/>
        <item x="1607"/>
        <item x="1023"/>
        <item x="192"/>
        <item x="682"/>
        <item x="1357"/>
        <item x="658"/>
        <item x="1018"/>
        <item x="935"/>
        <item x="1528"/>
        <item x="644"/>
        <item x="1521"/>
        <item x="116"/>
        <item x="785"/>
        <item x="1556"/>
        <item x="1731"/>
        <item x="1560"/>
        <item x="177"/>
        <item x="386"/>
        <item x="450"/>
        <item x="1373"/>
        <item x="790"/>
        <item x="1516"/>
        <item x="867"/>
        <item x="912"/>
        <item x="1464"/>
        <item x="498"/>
        <item x="1322"/>
        <item x="93"/>
        <item x="1054"/>
        <item x="428"/>
        <item x="82"/>
        <item x="439"/>
        <item x="871"/>
        <item x="1378"/>
        <item x="1258"/>
        <item x="575"/>
        <item x="1653"/>
        <item x="715"/>
        <item x="1662"/>
        <item x="1613"/>
        <item x="1746"/>
        <item x="288"/>
        <item x="1590"/>
        <item x="1632"/>
        <item x="339"/>
        <item x="222"/>
        <item x="713"/>
        <item x="69"/>
        <item x="1105"/>
        <item x="235"/>
        <item x="590"/>
        <item x="942"/>
        <item x="8"/>
        <item x="424"/>
        <item x="459"/>
        <item x="1627"/>
        <item x="1091"/>
        <item x="501"/>
        <item x="1571"/>
        <item x="908"/>
        <item x="635"/>
        <item x="704"/>
        <item x="229"/>
        <item x="691"/>
        <item x="732"/>
        <item x="1711"/>
        <item x="668"/>
        <item x="1587"/>
        <item x="921"/>
        <item x="1515"/>
        <item x="130"/>
        <item x="1160"/>
        <item x="1051"/>
        <item x="375"/>
        <item x="856"/>
        <item x="18"/>
        <item x="1059"/>
        <item x="1259"/>
        <item x="489"/>
        <item x="1665"/>
        <item x="654"/>
        <item x="814"/>
        <item x="1211"/>
        <item x="1203"/>
        <item x="1366"/>
        <item x="1756"/>
        <item x="524"/>
        <item x="40"/>
        <item x="943"/>
        <item x="378"/>
        <item x="1159"/>
        <item x="1353"/>
        <item x="1424"/>
        <item x="1514"/>
        <item x="241"/>
        <item x="1406"/>
        <item x="1552"/>
        <item x="348"/>
        <item x="1227"/>
        <item x="245"/>
        <item x="1610"/>
        <item x="656"/>
        <item x="795"/>
        <item x="349"/>
        <item x="1335"/>
        <item x="1067"/>
        <item x="96"/>
        <item x="651"/>
        <item x="421"/>
        <item x="920"/>
        <item x="1392"/>
        <item x="173"/>
        <item x="916"/>
        <item x="978"/>
        <item x="709"/>
        <item x="603"/>
        <item x="148"/>
        <item x="327"/>
        <item x="887"/>
        <item x="1562"/>
        <item x="621"/>
        <item x="1214"/>
        <item x="512"/>
        <item x="1550"/>
        <item x="198"/>
        <item x="114"/>
        <item x="113"/>
        <item x="1742"/>
        <item x="1351"/>
        <item x="1236"/>
        <item x="1318"/>
        <item x="1115"/>
        <item x="797"/>
        <item x="1147"/>
        <item x="1301"/>
        <item x="1056"/>
        <item x="1000"/>
        <item x="1595"/>
        <item x="602"/>
        <item x="686"/>
        <item x="929"/>
        <item x="1674"/>
        <item x="1050"/>
        <item x="1502"/>
        <item x="941"/>
        <item x="840"/>
        <item x="784"/>
        <item x="1741"/>
        <item x="972"/>
        <item x="1749"/>
        <item x="1442"/>
        <item x="210"/>
        <item x="1700"/>
        <item x="865"/>
        <item x="1110"/>
        <item x="554"/>
        <item x="157"/>
        <item x="389"/>
        <item x="845"/>
        <item x="478"/>
        <item x="777"/>
        <item x="1339"/>
        <item x="1190"/>
        <item x="367"/>
        <item x="1701"/>
        <item x="911"/>
        <item x="1299"/>
        <item x="1504"/>
        <item x="559"/>
        <item x="37"/>
        <item x="322"/>
        <item x="1462"/>
        <item x="1380"/>
        <item x="71"/>
        <item x="878"/>
        <item x="605"/>
        <item x="1485"/>
        <item x="1304"/>
        <item x="971"/>
        <item x="200"/>
        <item x="1495"/>
        <item x="324"/>
        <item x="561"/>
        <item x="1469"/>
        <item x="1729"/>
        <item x="1028"/>
        <item x="263"/>
        <item x="1254"/>
        <item x="471"/>
        <item x="437"/>
        <item x="566"/>
        <item x="1470"/>
        <item x="1215"/>
        <item x="1414"/>
        <item x="746"/>
        <item x="1646"/>
        <item x="1149"/>
        <item x="44"/>
        <item x="1446"/>
        <item x="947"/>
        <item x="205"/>
        <item x="999"/>
        <item x="1507"/>
        <item x="678"/>
        <item x="207"/>
        <item x="121"/>
        <item x="1663"/>
        <item x="306"/>
        <item x="1717"/>
        <item x="430"/>
        <item x="21"/>
        <item x="251"/>
        <item x="286"/>
        <item x="273"/>
        <item x="1379"/>
        <item x="284"/>
        <item x="761"/>
        <item x="285"/>
        <item x="1697"/>
        <item x="1361"/>
        <item x="396"/>
        <item x="1014"/>
        <item x="1307"/>
        <item x="1544"/>
        <item x="866"/>
        <item x="1654"/>
        <item x="669"/>
        <item x="1046"/>
        <item x="105"/>
        <item x="930"/>
        <item x="1328"/>
        <item x="699"/>
        <item x="712"/>
        <item x="767"/>
        <item x="1146"/>
        <item x="1179"/>
        <item x="1319"/>
        <item x="637"/>
        <item x="970"/>
        <item x="696"/>
        <item x="1536"/>
        <item x="1315"/>
        <item x="321"/>
        <item x="1064"/>
        <item x="270"/>
        <item x="1138"/>
        <item x="924"/>
        <item x="1280"/>
        <item x="587"/>
        <item x="1092"/>
        <item x="484"/>
        <item x="782"/>
        <item x="747"/>
        <item x="876"/>
        <item x="1673"/>
        <item x="1666"/>
        <item x="1628"/>
        <item x="1374"/>
        <item x="541"/>
        <item x="1719"/>
        <item x="1472"/>
        <item x="1698"/>
        <item x="1255"/>
        <item x="1744"/>
        <item x="649"/>
        <item x="405"/>
        <item x="1716"/>
        <item x="1643"/>
        <item x="617"/>
        <item x="127"/>
        <item x="1081"/>
        <item x="735"/>
        <item x="581"/>
        <item x="1421"/>
        <item x="448"/>
        <item x="1503"/>
        <item x="810"/>
        <item x="1078"/>
        <item x="1362"/>
        <item x="680"/>
        <item x="24"/>
        <item x="708"/>
        <item x="1245"/>
        <item x="809"/>
        <item x="369"/>
        <item x="1689"/>
        <item x="1162"/>
        <item x="1346"/>
        <item x="1453"/>
        <item x="1072"/>
        <item x="1615"/>
        <item x="875"/>
        <item x="1513"/>
        <item x="1218"/>
        <item x="481"/>
        <item x="1019"/>
        <item x="401"/>
        <item x="1739"/>
        <item x="1593"/>
        <item x="874"/>
        <item x="1303"/>
        <item x="89"/>
        <item x="1376"/>
        <item x="1690"/>
        <item x="1748"/>
        <item x="1240"/>
        <item x="718"/>
        <item x="1369"/>
        <item x="91"/>
        <item x="1257"/>
        <item x="1252"/>
        <item x="906"/>
        <item x="1225"/>
        <item x="1163"/>
        <item x="1263"/>
        <item x="1636"/>
        <item x="56"/>
        <item x="1461"/>
        <item x="1659"/>
        <item x="1606"/>
        <item x="363"/>
        <item x="75"/>
        <item x="12"/>
        <item x="31"/>
        <item x="1594"/>
        <item x="136"/>
        <item x="532"/>
        <item x="738"/>
        <item x="1408"/>
        <item x="653"/>
        <item x="1471"/>
        <item x="1529"/>
        <item x="404"/>
        <item x="1752"/>
        <item x="1338"/>
        <item x="652"/>
        <item x="1088"/>
        <item x="153"/>
        <item x="1386"/>
        <item x="1079"/>
        <item x="344"/>
        <item x="185"/>
        <item x="913"/>
        <item x="371"/>
        <item x="820"/>
        <item x="710"/>
        <item x="1032"/>
        <item x="1070"/>
        <item x="417"/>
        <item x="5"/>
        <item x="671"/>
        <item x="910"/>
        <item x="368"/>
        <item x="526"/>
        <item x="183"/>
        <item x="1696"/>
        <item x="1727"/>
        <item x="1398"/>
        <item x="1577"/>
        <item x="1548"/>
        <item x="1532"/>
        <item x="695"/>
        <item x="551"/>
        <item x="492"/>
        <item x="410"/>
        <item x="1170"/>
        <item x="1649"/>
        <item x="1027"/>
        <item x="1682"/>
        <item x="829"/>
        <item x="665"/>
        <item x="115"/>
        <item x="399"/>
        <item x="774"/>
        <item x="993"/>
        <item x="1302"/>
        <item x="706"/>
        <item x="1599"/>
        <item x="1477"/>
        <item x="98"/>
        <item x="1585"/>
        <item x="677"/>
        <item x="858"/>
        <item x="1658"/>
        <item x="1025"/>
        <item x="664"/>
        <item x="1313"/>
        <item x="1333"/>
        <item x="62"/>
        <item x="1103"/>
        <item x="768"/>
        <item x="1232"/>
        <item x="859"/>
        <item x="1273"/>
        <item x="1010"/>
        <item x="1295"/>
        <item x="741"/>
        <item x="1450"/>
        <item x="703"/>
        <item x="919"/>
        <item x="1438"/>
        <item x="456"/>
        <item x="290"/>
        <item x="107"/>
        <item x="555"/>
        <item x="1194"/>
        <item x="563"/>
        <item x="398"/>
        <item x="1724"/>
        <item x="870"/>
        <item x="22"/>
        <item x="201"/>
        <item x="1082"/>
        <item x="128"/>
        <item x="1312"/>
        <item x="365"/>
        <item x="490"/>
        <item x="1510"/>
        <item x="740"/>
        <item x="505"/>
        <item x="588"/>
        <item x="1509"/>
        <item x="1106"/>
        <item x="419"/>
        <item x="429"/>
        <item x="604"/>
        <item x="663"/>
        <item x="1676"/>
        <item x="1440"/>
        <item x="778"/>
        <item x="934"/>
        <item x="506"/>
        <item x="1612"/>
        <item x="360"/>
        <item x="227"/>
        <item x="13"/>
        <item x="1558"/>
        <item x="1393"/>
        <item x="868"/>
        <item x="1112"/>
        <item x="314"/>
        <item x="36"/>
        <item x="1720"/>
        <item x="171"/>
        <item x="188"/>
        <item x="1425"/>
        <item x="1631"/>
        <item x="1237"/>
        <item t="default"/>
      </items>
    </pivotField>
    <pivotField numFmtId="15"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numFmtId="15" showAll="0"/>
    <pivotField showAll="0">
      <items count="5">
        <item x="0"/>
        <item x="2"/>
        <item x="1"/>
        <item x="3"/>
        <item t="default"/>
      </items>
    </pivotField>
    <pivotField showAll="0" sortType="descending">
      <items count="6">
        <item x="0"/>
        <item x="3"/>
        <item x="4"/>
        <item x="2"/>
        <item x="1"/>
        <item t="default"/>
      </items>
      <autoSortScope>
        <pivotArea dataOnly="0" outline="0" fieldPosition="0">
          <references count="1">
            <reference field="4294967294" count="1" selected="0">
              <x v="0"/>
            </reference>
          </references>
        </pivotArea>
      </autoSortScope>
    </pivotField>
    <pivotField showAll="0" sortType="descending">
      <items count="6">
        <item x="3"/>
        <item x="4"/>
        <item x="1"/>
        <item x="0"/>
        <item x="2"/>
        <item t="default"/>
      </items>
      <autoSortScope>
        <pivotArea dataOnly="0" outline="0" fieldPosition="0">
          <references count="1">
            <reference field="4294967294" count="1" selected="0">
              <x v="0"/>
            </reference>
          </references>
        </pivotArea>
      </autoSortScope>
    </pivotField>
    <pivotField showAll="0"/>
    <pivotField showAll="0" sortType="descending">
      <items count="59">
        <item x="21"/>
        <item x="0"/>
        <item x="46"/>
        <item x="51"/>
        <item x="14"/>
        <item x="54"/>
        <item x="1"/>
        <item x="57"/>
        <item x="42"/>
        <item x="2"/>
        <item x="27"/>
        <item x="44"/>
        <item x="33"/>
        <item x="15"/>
        <item x="22"/>
        <item x="34"/>
        <item x="50"/>
        <item x="55"/>
        <item x="3"/>
        <item x="37"/>
        <item x="43"/>
        <item x="40"/>
        <item x="29"/>
        <item x="24"/>
        <item x="39"/>
        <item x="47"/>
        <item x="49"/>
        <item x="16"/>
        <item x="4"/>
        <item x="25"/>
        <item x="5"/>
        <item x="35"/>
        <item x="23"/>
        <item x="6"/>
        <item x="36"/>
        <item x="7"/>
        <item x="8"/>
        <item x="17"/>
        <item x="26"/>
        <item x="41"/>
        <item x="9"/>
        <item x="10"/>
        <item x="11"/>
        <item x="32"/>
        <item x="53"/>
        <item x="48"/>
        <item x="30"/>
        <item x="38"/>
        <item x="18"/>
        <item x="19"/>
        <item x="31"/>
        <item x="12"/>
        <item x="45"/>
        <item x="20"/>
        <item x="52"/>
        <item x="13"/>
        <item x="28"/>
        <item x="56"/>
        <item t="default"/>
      </items>
      <autoSortScope>
        <pivotArea dataOnly="0" outline="0" fieldPosition="0">
          <references count="1">
            <reference field="4294967294" count="1" selected="0">
              <x v="0"/>
            </reference>
          </references>
        </pivotArea>
      </autoSortScope>
    </pivotField>
    <pivotField showAll="0" sortType="descending">
      <items count="16">
        <item x="7"/>
        <item x="3"/>
        <item x="1"/>
        <item x="2"/>
        <item x="5"/>
        <item x="0"/>
        <item x="4"/>
        <item x="6"/>
        <item x="9"/>
        <item x="8"/>
        <item x="14"/>
        <item x="11"/>
        <item x="13"/>
        <item x="10"/>
        <item x="12"/>
        <item t="default"/>
      </items>
      <autoSortScope>
        <pivotArea dataOnly="0" outline="0" fieldPosition="0">
          <references count="1">
            <reference field="4294967294" count="1" selected="0">
              <x v="0"/>
            </reference>
          </references>
        </pivotArea>
      </autoSortScope>
    </pivotField>
    <pivotField axis="axisRow" showAll="0" sortType="descending">
      <items count="14">
        <item x="0"/>
        <item x="1"/>
        <item x="2"/>
        <item x="3"/>
        <item x="4"/>
        <item x="5"/>
        <item x="6"/>
        <item x="7"/>
        <item x="8"/>
        <item x="9"/>
        <item x="10"/>
        <item x="11"/>
        <item x="12"/>
        <item t="default"/>
      </items>
      <autoSortScope>
        <pivotArea dataOnly="0" outline="0" fieldPosition="0">
          <references count="1">
            <reference field="4294967294" count="1" selected="0">
              <x v="0"/>
            </reference>
          </references>
        </pivotArea>
      </autoSortScope>
    </pivotField>
    <pivotField showAll="0">
      <items count="5">
        <item x="2"/>
        <item x="1"/>
        <item x="3"/>
        <item x="0"/>
        <item t="default"/>
      </items>
    </pivotField>
    <pivotField axis="axisPage" showAll="0">
      <items count="8">
        <item sd="0" x="0"/>
        <item sd="0" x="1"/>
        <item sd="0" x="2"/>
        <item sd="0" x="4"/>
        <item sd="0" x="3"/>
        <item n="6-10" sd="0" x="5"/>
        <item n="Above 10 " sd="0" x="6"/>
        <item t="default"/>
      </items>
    </pivotField>
    <pivotField showAll="0">
      <items count="10">
        <item x="5"/>
        <item x="3"/>
        <item x="1"/>
        <item x="2"/>
        <item x="4"/>
        <item x="0"/>
        <item x="8"/>
        <item x="6"/>
        <item x="7"/>
        <item t="default"/>
      </items>
    </pivotField>
    <pivotField showAll="0">
      <items count="15">
        <item x="0"/>
        <item x="1"/>
        <item x="2"/>
        <item x="3"/>
        <item x="4"/>
        <item x="5"/>
        <item x="6"/>
        <item x="7"/>
        <item x="8"/>
        <item x="9"/>
        <item x="10"/>
        <item x="11"/>
        <item x="12"/>
        <item x="13"/>
        <item t="default"/>
      </items>
    </pivotField>
    <pivotField showAll="0">
      <items count="201">
        <item x="4"/>
        <item sd="0" x="198"/>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sd="0" x="199"/>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n="Between 41-81" sd="0" x="0"/>
        <item n="Between 81-121" sd="0" x="1"/>
        <item n="Between 121 -161" sd="0" x="2"/>
        <item n="Above 161" sd="0" x="3"/>
        <item t="default"/>
      </items>
    </pivotField>
  </pivotFields>
  <rowFields count="1">
    <field x="13"/>
  </rowFields>
  <rowItems count="14">
    <i>
      <x v="7"/>
    </i>
    <i>
      <x v="3"/>
    </i>
    <i>
      <x v="5"/>
    </i>
    <i>
      <x v="11"/>
    </i>
    <i>
      <x v="8"/>
    </i>
    <i>
      <x v="12"/>
    </i>
    <i>
      <x v="10"/>
    </i>
    <i>
      <x v="9"/>
    </i>
    <i>
      <x v="6"/>
    </i>
    <i>
      <x v="4"/>
    </i>
    <i>
      <x v="1"/>
    </i>
    <i>
      <x v="2"/>
    </i>
    <i>
      <x/>
    </i>
    <i t="grand">
      <x/>
    </i>
  </rowItems>
  <colItems count="1">
    <i/>
  </colItems>
  <pageFields count="1">
    <pageField fld="15" item="1" hier="-1"/>
  </pageFields>
  <dataFields count="1">
    <dataField name="Count of TX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22150E2-5D63-45D2-BDFA-68A87062D57E}" name="PivotTable11"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60" rowHeaderCaption="Quantity">
  <location ref="R52:R53" firstHeaderRow="1" firstDataRow="1" firstDataCol="0"/>
  <pivotFields count="19">
    <pivotField dataField="1" showAll="0" maxSubtotal="1"/>
    <pivotField showAll="0"/>
    <pivotField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items count="935">
        <item x="178"/>
        <item x="159"/>
        <item x="97"/>
        <item x="441"/>
        <item x="265"/>
        <item x="401"/>
        <item x="0"/>
        <item x="408"/>
        <item x="229"/>
        <item x="370"/>
        <item x="61"/>
        <item x="463"/>
        <item x="860"/>
        <item x="604"/>
        <item x="426"/>
        <item x="608"/>
        <item x="877"/>
        <item x="932"/>
        <item x="822"/>
        <item x="150"/>
        <item x="335"/>
        <item x="885"/>
        <item x="888"/>
        <item x="169"/>
        <item x="609"/>
        <item x="826"/>
        <item x="905"/>
        <item x="862"/>
        <item x="270"/>
        <item x="221"/>
        <item x="503"/>
        <item x="476"/>
        <item x="536"/>
        <item x="388"/>
        <item x="678"/>
        <item x="455"/>
        <item x="83"/>
        <item x="255"/>
        <item x="137"/>
        <item x="35"/>
        <item x="496"/>
        <item x="398"/>
        <item x="342"/>
        <item x="261"/>
        <item x="857"/>
        <item x="655"/>
        <item x="879"/>
        <item x="639"/>
        <item x="569"/>
        <item x="384"/>
        <item x="929"/>
        <item x="771"/>
        <item x="727"/>
        <item x="161"/>
        <item x="893"/>
        <item x="25"/>
        <item x="228"/>
        <item x="130"/>
        <item x="71"/>
        <item x="53"/>
        <item x="606"/>
        <item x="762"/>
        <item x="383"/>
        <item x="856"/>
        <item x="99"/>
        <item x="465"/>
        <item x="585"/>
        <item x="333"/>
        <item x="104"/>
        <item x="129"/>
        <item x="30"/>
        <item x="359"/>
        <item x="55"/>
        <item x="918"/>
        <item x="415"/>
        <item x="266"/>
        <item x="478"/>
        <item x="82"/>
        <item x="157"/>
        <item x="490"/>
        <item x="260"/>
        <item x="736"/>
        <item x="127"/>
        <item x="293"/>
        <item x="580"/>
        <item x="468"/>
        <item x="289"/>
        <item x="390"/>
        <item x="588"/>
        <item x="65"/>
        <item x="438"/>
        <item x="191"/>
        <item x="210"/>
        <item x="302"/>
        <item x="332"/>
        <item x="592"/>
        <item x="33"/>
        <item x="301"/>
        <item x="421"/>
        <item x="595"/>
        <item x="237"/>
        <item x="597"/>
        <item x="208"/>
        <item x="9"/>
        <item x="243"/>
        <item x="351"/>
        <item x="188"/>
        <item x="625"/>
        <item x="409"/>
        <item x="887"/>
        <item x="59"/>
        <item x="372"/>
        <item x="121"/>
        <item x="139"/>
        <item x="234"/>
        <item x="174"/>
        <item x="483"/>
        <item x="273"/>
        <item x="209"/>
        <item x="661"/>
        <item x="512"/>
        <item x="51"/>
        <item x="278"/>
        <item x="249"/>
        <item x="362"/>
        <item x="605"/>
        <item x="486"/>
        <item x="187"/>
        <item x="769"/>
        <item x="403"/>
        <item x="19"/>
        <item x="631"/>
        <item x="855"/>
        <item x="423"/>
        <item x="170"/>
        <item x="679"/>
        <item x="136"/>
        <item x="122"/>
        <item x="269"/>
        <item x="615"/>
        <item x="457"/>
        <item x="133"/>
        <item x="23"/>
        <item x="38"/>
        <item x="439"/>
        <item x="494"/>
        <item x="48"/>
        <item x="436"/>
        <item x="49"/>
        <item x="399"/>
        <item x="295"/>
        <item x="807"/>
        <item x="336"/>
        <item x="231"/>
        <item x="843"/>
        <item x="389"/>
        <item x="646"/>
        <item x="343"/>
        <item x="627"/>
        <item x="257"/>
        <item x="742"/>
        <item x="805"/>
        <item x="70"/>
        <item x="365"/>
        <item x="85"/>
        <item x="167"/>
        <item x="144"/>
        <item x="538"/>
        <item x="690"/>
        <item x="581"/>
        <item x="402"/>
        <item x="143"/>
        <item x="647"/>
        <item x="669"/>
        <item x="686"/>
        <item x="47"/>
        <item x="755"/>
        <item x="32"/>
        <item x="500"/>
        <item x="90"/>
        <item x="224"/>
        <item x="165"/>
        <item x="248"/>
        <item x="162"/>
        <item x="1"/>
        <item x="630"/>
        <item x="607"/>
        <item x="15"/>
        <item x="452"/>
        <item x="16"/>
        <item x="63"/>
        <item x="375"/>
        <item x="541"/>
        <item x="217"/>
        <item x="680"/>
        <item x="132"/>
        <item x="216"/>
        <item x="590"/>
        <item x="34"/>
        <item x="201"/>
        <item x="380"/>
        <item x="240"/>
        <item x="498"/>
        <item x="504"/>
        <item x="101"/>
        <item x="195"/>
        <item x="413"/>
        <item x="619"/>
        <item x="614"/>
        <item x="199"/>
        <item x="846"/>
        <item x="57"/>
        <item x="172"/>
        <item x="232"/>
        <item x="570"/>
        <item x="532"/>
        <item x="601"/>
        <item x="412"/>
        <item x="324"/>
        <item x="268"/>
        <item x="120"/>
        <item x="695"/>
        <item x="766"/>
        <item x="176"/>
        <item x="292"/>
        <item x="267"/>
        <item x="271"/>
        <item x="775"/>
        <item x="334"/>
        <item x="200"/>
        <item x="341"/>
        <item x="908"/>
        <item x="803"/>
        <item x="533"/>
        <item x="8"/>
        <item x="385"/>
        <item x="275"/>
        <item x="307"/>
        <item x="160"/>
        <item x="310"/>
        <item x="791"/>
        <item x="128"/>
        <item x="355"/>
        <item x="17"/>
        <item x="294"/>
        <item x="78"/>
        <item x="711"/>
        <item x="571"/>
        <item x="719"/>
        <item x="790"/>
        <item x="105"/>
        <item x="484"/>
        <item x="151"/>
        <item x="410"/>
        <item x="3"/>
        <item x="256"/>
        <item x="430"/>
        <item x="545"/>
        <item x="202"/>
        <item x="751"/>
        <item x="629"/>
        <item x="153"/>
        <item x="392"/>
        <item x="26"/>
        <item x="665"/>
        <item x="400"/>
        <item x="37"/>
        <item x="644"/>
        <item x="406"/>
        <item x="418"/>
        <item x="632"/>
        <item x="557"/>
        <item x="180"/>
        <item x="138"/>
        <item x="759"/>
        <item x="811"/>
        <item x="152"/>
        <item x="464"/>
        <item x="931"/>
        <item x="7"/>
        <item x="664"/>
        <item x="145"/>
        <item x="722"/>
        <item x="253"/>
        <item x="363"/>
        <item x="446"/>
        <item x="29"/>
        <item x="758"/>
        <item x="387"/>
        <item x="397"/>
        <item x="50"/>
        <item x="329"/>
        <item x="654"/>
        <item x="52"/>
        <item x="80"/>
        <item x="245"/>
        <item x="300"/>
        <item x="624"/>
        <item x="567"/>
        <item x="318"/>
        <item x="394"/>
        <item x="687"/>
        <item x="325"/>
        <item x="272"/>
        <item x="443"/>
        <item x="429"/>
        <item x="280"/>
        <item x="39"/>
        <item x="522"/>
        <item x="705"/>
        <item x="171"/>
        <item x="347"/>
        <item x="458"/>
        <item x="535"/>
        <item x="20"/>
        <item x="910"/>
        <item x="548"/>
        <item x="369"/>
        <item x="236"/>
        <item x="112"/>
        <item x="73"/>
        <item x="239"/>
        <item x="926"/>
        <item x="613"/>
        <item x="788"/>
        <item x="125"/>
        <item x="303"/>
        <item x="226"/>
        <item x="291"/>
        <item x="299"/>
        <item x="102"/>
        <item x="600"/>
        <item x="357"/>
        <item x="108"/>
        <item x="511"/>
        <item x="206"/>
        <item x="544"/>
        <item x="354"/>
        <item x="193"/>
        <item x="425"/>
        <item x="340"/>
        <item x="587"/>
        <item x="594"/>
        <item x="21"/>
        <item x="84"/>
        <item x="528"/>
        <item x="642"/>
        <item x="344"/>
        <item x="550"/>
        <item x="219"/>
        <item x="68"/>
        <item x="356"/>
        <item x="672"/>
        <item x="134"/>
        <item x="367"/>
        <item x="196"/>
        <item x="142"/>
        <item x="297"/>
        <item x="591"/>
        <item x="72"/>
        <item x="286"/>
        <item x="379"/>
        <item x="242"/>
        <item x="126"/>
        <item x="816"/>
        <item x="11"/>
        <item x="182"/>
        <item x="364"/>
        <item x="660"/>
        <item x="183"/>
        <item x="432"/>
        <item x="659"/>
        <item x="235"/>
        <item x="850"/>
        <item x="308"/>
        <item x="869"/>
        <item x="534"/>
        <item x="612"/>
        <item x="88"/>
        <item x="93"/>
        <item x="79"/>
        <item x="155"/>
        <item x="179"/>
        <item x="28"/>
        <item x="707"/>
        <item x="18"/>
        <item x="440"/>
        <item x="353"/>
        <item x="258"/>
        <item x="599"/>
        <item x="728"/>
        <item x="309"/>
        <item x="147"/>
        <item x="424"/>
        <item x="168"/>
        <item x="184"/>
        <item x="793"/>
        <item x="574"/>
        <item x="515"/>
        <item x="166"/>
        <item x="699"/>
        <item x="119"/>
        <item x="434"/>
        <item x="422"/>
        <item x="98"/>
        <item x="213"/>
        <item x="459"/>
        <item x="230"/>
        <item x="789"/>
        <item x="582"/>
        <item x="526"/>
        <item x="589"/>
        <item x="190"/>
        <item x="641"/>
        <item x="715"/>
        <item x="706"/>
        <item x="352"/>
        <item x="10"/>
        <item x="42"/>
        <item x="514"/>
        <item x="86"/>
        <item x="76"/>
        <item x="123"/>
        <item x="173"/>
        <item x="282"/>
        <item x="204"/>
        <item x="6"/>
        <item x="842"/>
        <item x="572"/>
        <item x="495"/>
        <item x="740"/>
        <item x="502"/>
        <item x="218"/>
        <item x="628"/>
        <item x="634"/>
        <item x="623"/>
        <item x="576"/>
        <item x="448"/>
        <item x="472"/>
        <item x="4"/>
        <item x="382"/>
        <item x="881"/>
        <item x="551"/>
        <item x="140"/>
        <item x="27"/>
        <item x="405"/>
        <item x="214"/>
        <item x="884"/>
        <item x="222"/>
        <item x="461"/>
        <item x="211"/>
        <item x="787"/>
        <item x="491"/>
        <item x="215"/>
        <item x="296"/>
        <item x="207"/>
        <item x="277"/>
        <item x="635"/>
        <item x="75"/>
        <item x="785"/>
        <item x="466"/>
        <item x="395"/>
        <item x="721"/>
        <item x="523"/>
        <item x="737"/>
        <item x="542"/>
        <item x="233"/>
        <item x="684"/>
        <item x="115"/>
        <item x="396"/>
        <item x="316"/>
        <item x="841"/>
        <item x="110"/>
        <item x="738"/>
        <item x="322"/>
        <item x="247"/>
        <item x="530"/>
        <item x="701"/>
        <item x="552"/>
        <item x="553"/>
        <item x="156"/>
        <item x="501"/>
        <item x="750"/>
        <item x="148"/>
        <item x="854"/>
        <item x="89"/>
        <item x="480"/>
        <item x="227"/>
        <item x="547"/>
        <item x="205"/>
        <item x="198"/>
        <item x="556"/>
        <item x="470"/>
        <item x="366"/>
        <item x="829"/>
        <item x="407"/>
        <item x="821"/>
        <item x="94"/>
        <item x="56"/>
        <item x="113"/>
        <item x="734"/>
        <item x="427"/>
        <item x="305"/>
        <item x="46"/>
        <item x="259"/>
        <item x="565"/>
        <item x="761"/>
        <item x="444"/>
        <item x="58"/>
        <item x="780"/>
        <item x="281"/>
        <item x="554"/>
        <item x="337"/>
        <item x="497"/>
        <item x="92"/>
        <item x="146"/>
        <item x="203"/>
        <item x="225"/>
        <item x="456"/>
        <item x="313"/>
        <item x="404"/>
        <item x="834"/>
        <item x="244"/>
        <item x="779"/>
        <item x="757"/>
        <item x="667"/>
        <item x="730"/>
        <item x="633"/>
        <item x="563"/>
        <item x="450"/>
        <item x="14"/>
        <item x="114"/>
        <item x="668"/>
        <item x="783"/>
        <item x="618"/>
        <item x="748"/>
        <item x="246"/>
        <item x="212"/>
        <item x="509"/>
        <item x="469"/>
        <item x="666"/>
        <item x="735"/>
        <item x="197"/>
        <item x="704"/>
        <item x="657"/>
        <item x="419"/>
        <item x="43"/>
        <item x="596"/>
        <item x="794"/>
        <item x="725"/>
        <item x="192"/>
        <item x="276"/>
        <item x="62"/>
        <item x="327"/>
        <item x="135"/>
        <item x="181"/>
        <item x="393"/>
        <item x="330"/>
        <item x="579"/>
        <item x="163"/>
        <item x="673"/>
        <item x="451"/>
        <item x="264"/>
        <item x="911"/>
        <item x="431"/>
        <item x="578"/>
        <item x="471"/>
        <item x="45"/>
        <item x="60"/>
        <item x="760"/>
        <item x="254"/>
        <item x="674"/>
        <item x="598"/>
        <item x="925"/>
        <item x="928"/>
        <item x="774"/>
        <item x="866"/>
        <item x="489"/>
        <item x="583"/>
        <item x="462"/>
        <item x="559"/>
        <item x="391"/>
        <item x="524"/>
        <item x="899"/>
        <item x="111"/>
        <item x="378"/>
        <item x="651"/>
        <item x="508"/>
        <item x="773"/>
        <item x="858"/>
        <item x="326"/>
        <item x="746"/>
        <item x="603"/>
        <item x="417"/>
        <item x="752"/>
        <item x="492"/>
        <item x="91"/>
        <item x="285"/>
        <item x="487"/>
        <item x="374"/>
        <item x="913"/>
        <item x="577"/>
        <item x="859"/>
        <item x="124"/>
        <item x="836"/>
        <item x="823"/>
        <item x="164"/>
        <item x="767"/>
        <item x="903"/>
        <item x="107"/>
        <item x="897"/>
        <item x="741"/>
        <item x="828"/>
        <item x="863"/>
        <item x="81"/>
        <item x="693"/>
        <item x="312"/>
        <item x="777"/>
        <item x="710"/>
        <item x="505"/>
        <item x="158"/>
        <item x="473"/>
        <item x="898"/>
        <item x="716"/>
        <item x="685"/>
        <item x="77"/>
        <item x="561"/>
        <item x="414"/>
        <item x="546"/>
        <item x="304"/>
        <item x="22"/>
        <item x="442"/>
        <item x="889"/>
        <item x="454"/>
        <item x="611"/>
        <item x="902"/>
        <item x="697"/>
        <item x="853"/>
        <item x="41"/>
        <item x="827"/>
        <item x="262"/>
        <item x="328"/>
        <item x="830"/>
        <item x="870"/>
        <item x="453"/>
        <item x="521"/>
        <item x="186"/>
        <item x="428"/>
        <item x="844"/>
        <item x="220"/>
        <item x="921"/>
        <item x="682"/>
        <item x="445"/>
        <item x="890"/>
        <item x="321"/>
        <item x="298"/>
        <item x="5"/>
        <item x="331"/>
        <item x="371"/>
        <item x="861"/>
        <item x="922"/>
        <item x="726"/>
        <item x="883"/>
        <item x="636"/>
        <item x="872"/>
        <item x="845"/>
        <item x="100"/>
        <item x="798"/>
        <item x="288"/>
        <item x="564"/>
        <item x="555"/>
        <item x="345"/>
        <item x="874"/>
        <item x="744"/>
        <item x="602"/>
        <item x="376"/>
        <item x="909"/>
        <item x="768"/>
        <item x="753"/>
        <item x="449"/>
        <item x="804"/>
        <item x="797"/>
        <item x="813"/>
        <item x="507"/>
        <item x="154"/>
        <item x="479"/>
        <item x="724"/>
        <item x="808"/>
        <item x="317"/>
        <item x="691"/>
        <item x="241"/>
        <item x="117"/>
        <item x="745"/>
        <item x="13"/>
        <item x="689"/>
        <item x="723"/>
        <item x="24"/>
        <item x="527"/>
        <item x="346"/>
        <item x="66"/>
        <item x="69"/>
        <item x="141"/>
        <item x="314"/>
        <item x="763"/>
        <item x="411"/>
        <item x="238"/>
        <item x="677"/>
        <item x="820"/>
        <item x="54"/>
        <item x="338"/>
        <item x="739"/>
        <item x="116"/>
        <item x="754"/>
        <item x="638"/>
        <item x="520"/>
        <item x="923"/>
        <item x="109"/>
        <item x="306"/>
        <item x="368"/>
        <item x="743"/>
        <item x="283"/>
        <item x="824"/>
        <item x="95"/>
        <item x="895"/>
        <item x="420"/>
        <item x="252"/>
        <item x="482"/>
        <item x="864"/>
        <item x="477"/>
        <item x="568"/>
        <item x="381"/>
        <item x="831"/>
        <item x="263"/>
        <item x="573"/>
        <item x="840"/>
        <item x="549"/>
        <item x="350"/>
        <item x="732"/>
        <item x="558"/>
        <item x="812"/>
        <item x="433"/>
        <item x="900"/>
        <item x="876"/>
        <item x="849"/>
        <item x="194"/>
        <item x="818"/>
        <item x="871"/>
        <item x="67"/>
        <item x="709"/>
        <item x="475"/>
        <item x="729"/>
        <item x="543"/>
        <item x="287"/>
        <item x="539"/>
        <item x="765"/>
        <item x="358"/>
        <item x="279"/>
        <item x="361"/>
        <item x="875"/>
        <item x="620"/>
        <item x="320"/>
        <item x="919"/>
        <item x="435"/>
        <item x="904"/>
        <item x="835"/>
        <item x="540"/>
        <item x="593"/>
        <item x="772"/>
        <item x="386"/>
        <item x="319"/>
        <item x="74"/>
        <item x="175"/>
        <item x="653"/>
        <item x="617"/>
        <item x="852"/>
        <item x="720"/>
        <item x="485"/>
        <item x="882"/>
        <item x="733"/>
        <item x="460"/>
        <item x="339"/>
        <item x="518"/>
        <item x="250"/>
        <item x="901"/>
        <item x="681"/>
        <item x="698"/>
        <item x="649"/>
        <item x="290"/>
        <item x="683"/>
        <item x="892"/>
        <item x="867"/>
        <item x="348"/>
        <item x="782"/>
        <item x="562"/>
        <item x="315"/>
        <item x="586"/>
        <item x="756"/>
        <item x="189"/>
        <item x="920"/>
        <item x="671"/>
        <item x="2"/>
        <item x="506"/>
        <item x="792"/>
        <item x="703"/>
        <item x="643"/>
        <item x="851"/>
        <item x="610"/>
        <item x="349"/>
        <item x="531"/>
        <item x="575"/>
        <item x="251"/>
        <item x="675"/>
        <item x="64"/>
        <item x="377"/>
        <item x="467"/>
        <item x="670"/>
        <item x="560"/>
        <item x="749"/>
        <item x="886"/>
        <item x="814"/>
        <item x="802"/>
        <item x="796"/>
        <item x="566"/>
        <item x="118"/>
        <item x="622"/>
        <item x="658"/>
        <item x="696"/>
        <item x="517"/>
        <item x="933"/>
        <item x="873"/>
        <item x="537"/>
        <item x="800"/>
        <item x="915"/>
        <item x="817"/>
        <item x="12"/>
        <item x="529"/>
        <item x="650"/>
        <item x="106"/>
        <item x="103"/>
        <item x="323"/>
        <item x="776"/>
        <item x="906"/>
        <item x="930"/>
        <item x="801"/>
        <item x="713"/>
        <item x="474"/>
        <item x="149"/>
        <item x="656"/>
        <item x="868"/>
        <item x="799"/>
        <item x="778"/>
        <item x="847"/>
        <item x="274"/>
        <item x="810"/>
        <item x="916"/>
        <item x="809"/>
        <item x="447"/>
        <item x="764"/>
        <item x="360"/>
        <item x="731"/>
        <item x="493"/>
        <item x="795"/>
        <item x="663"/>
        <item x="185"/>
        <item x="87"/>
        <item x="481"/>
        <item x="177"/>
        <item x="784"/>
        <item x="819"/>
        <item x="519"/>
        <item x="584"/>
        <item x="717"/>
        <item x="700"/>
        <item x="637"/>
        <item x="839"/>
        <item x="44"/>
        <item x="837"/>
        <item x="525"/>
        <item x="40"/>
        <item x="652"/>
        <item x="131"/>
        <item x="838"/>
        <item x="692"/>
        <item x="510"/>
        <item x="223"/>
        <item x="825"/>
        <item x="516"/>
        <item x="786"/>
        <item x="513"/>
        <item x="907"/>
        <item x="714"/>
        <item x="662"/>
        <item x="770"/>
        <item x="311"/>
        <item x="878"/>
        <item x="865"/>
        <item x="924"/>
        <item x="927"/>
        <item x="912"/>
        <item x="688"/>
        <item x="891"/>
        <item x="284"/>
        <item x="781"/>
        <item x="676"/>
        <item x="96"/>
        <item x="747"/>
        <item x="373"/>
        <item x="694"/>
        <item x="806"/>
        <item x="31"/>
        <item x="621"/>
        <item x="416"/>
        <item x="616"/>
        <item x="488"/>
        <item x="626"/>
        <item x="832"/>
        <item x="648"/>
        <item x="880"/>
        <item x="815"/>
        <item x="640"/>
        <item x="499"/>
        <item x="917"/>
        <item x="896"/>
        <item x="702"/>
        <item x="712"/>
        <item x="36"/>
        <item x="914"/>
        <item x="645"/>
        <item x="437"/>
        <item x="718"/>
        <item x="848"/>
        <item x="708"/>
        <item x="833"/>
        <item x="894"/>
        <item t="default"/>
      </items>
    </pivotField>
    <pivotField showAll="0"/>
    <pivotField numFmtId="15"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numFmtId="15" showAll="0"/>
    <pivotField showAll="0"/>
    <pivotField showAll="0">
      <items count="6">
        <item x="0"/>
        <item x="3"/>
        <item x="4"/>
        <item x="2"/>
        <item x="1"/>
        <item t="default"/>
      </items>
    </pivotField>
    <pivotField showAll="0"/>
    <pivotField showAll="0"/>
    <pivotField showAll="0"/>
    <pivotField showAll="0">
      <items count="16">
        <item x="7"/>
        <item x="3"/>
        <item x="1"/>
        <item x="2"/>
        <item x="5"/>
        <item x="0"/>
        <item x="4"/>
        <item x="6"/>
        <item x="9"/>
        <item x="8"/>
        <item x="14"/>
        <item x="11"/>
        <item x="13"/>
        <item x="10"/>
        <item x="12"/>
        <item t="default"/>
      </items>
    </pivotField>
    <pivotField showAll="0"/>
    <pivotField showAll="0"/>
    <pivotField showAll="0">
      <items count="8">
        <item sd="0" x="0"/>
        <item sd="0" x="1"/>
        <item sd="0" x="2"/>
        <item sd="0" x="4"/>
        <item sd="0" x="3"/>
        <item x="5"/>
        <item x="6"/>
        <item t="default"/>
      </items>
    </pivotField>
    <pivotField showAll="0">
      <items count="10">
        <item x="5"/>
        <item x="3"/>
        <item x="1"/>
        <item x="2"/>
        <item x="4"/>
        <item x="0"/>
        <item x="8"/>
        <item x="6"/>
        <item x="7"/>
        <item t="default"/>
      </items>
    </pivotField>
    <pivotField showAll="0">
      <items count="15">
        <item x="0"/>
        <item x="1"/>
        <item x="2"/>
        <item x="3"/>
        <item x="4"/>
        <item x="5"/>
        <item x="6"/>
        <item x="7"/>
        <item x="8"/>
        <item x="9"/>
        <item x="10"/>
        <item x="11"/>
        <item x="12"/>
        <item x="13"/>
        <item t="default"/>
      </items>
    </pivotField>
    <pivotField showAll="0">
      <items count="201">
        <item x="4"/>
        <item x="198"/>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199"/>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0"/>
        <item x="1"/>
        <item x="2"/>
        <item x="3"/>
        <item t="default"/>
      </items>
    </pivotField>
  </pivotFields>
  <rowItems count="1">
    <i/>
  </rowItems>
  <colItems count="1">
    <i/>
  </colItems>
  <dataFields count="1">
    <dataField name="Count of TX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CBCF40C-7A23-4E37-A15A-13B9C051D4CD}" name="PvtGender"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60" rowHeaderCaption="Quantity">
  <location ref="H27:I32" firstHeaderRow="1" firstDataRow="1" firstDataCol="1"/>
  <pivotFields count="19">
    <pivotField showAll="0" maxSubtotal="1"/>
    <pivotField showAll="0"/>
    <pivotField dataField="1"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items count="935">
        <item x="178"/>
        <item x="159"/>
        <item x="97"/>
        <item x="441"/>
        <item x="265"/>
        <item x="401"/>
        <item x="0"/>
        <item x="408"/>
        <item x="229"/>
        <item x="370"/>
        <item x="61"/>
        <item x="463"/>
        <item x="860"/>
        <item x="604"/>
        <item x="426"/>
        <item x="608"/>
        <item x="877"/>
        <item x="932"/>
        <item x="822"/>
        <item x="150"/>
        <item x="335"/>
        <item x="885"/>
        <item x="888"/>
        <item x="169"/>
        <item x="609"/>
        <item x="826"/>
        <item x="905"/>
        <item x="862"/>
        <item x="270"/>
        <item x="221"/>
        <item x="503"/>
        <item x="476"/>
        <item x="536"/>
        <item x="388"/>
        <item x="678"/>
        <item x="455"/>
        <item x="83"/>
        <item x="255"/>
        <item x="137"/>
        <item x="35"/>
        <item x="496"/>
        <item x="398"/>
        <item x="342"/>
        <item x="261"/>
        <item x="857"/>
        <item x="655"/>
        <item x="879"/>
        <item x="639"/>
        <item x="569"/>
        <item x="384"/>
        <item x="929"/>
        <item x="771"/>
        <item x="727"/>
        <item x="161"/>
        <item x="893"/>
        <item x="25"/>
        <item x="228"/>
        <item x="130"/>
        <item x="71"/>
        <item x="53"/>
        <item x="606"/>
        <item x="762"/>
        <item x="383"/>
        <item x="856"/>
        <item x="99"/>
        <item x="465"/>
        <item x="585"/>
        <item x="333"/>
        <item x="104"/>
        <item x="129"/>
        <item x="30"/>
        <item x="359"/>
        <item x="55"/>
        <item x="918"/>
        <item x="415"/>
        <item x="266"/>
        <item x="478"/>
        <item x="82"/>
        <item x="157"/>
        <item x="490"/>
        <item x="260"/>
        <item x="736"/>
        <item x="127"/>
        <item x="293"/>
        <item x="580"/>
        <item x="468"/>
        <item x="289"/>
        <item x="390"/>
        <item x="588"/>
        <item x="65"/>
        <item x="438"/>
        <item x="191"/>
        <item x="210"/>
        <item x="302"/>
        <item x="332"/>
        <item x="592"/>
        <item x="33"/>
        <item x="301"/>
        <item x="421"/>
        <item x="595"/>
        <item x="237"/>
        <item x="597"/>
        <item x="208"/>
        <item x="9"/>
        <item x="243"/>
        <item x="351"/>
        <item x="188"/>
        <item x="625"/>
        <item x="409"/>
        <item x="887"/>
        <item x="59"/>
        <item x="372"/>
        <item x="121"/>
        <item x="139"/>
        <item x="234"/>
        <item x="174"/>
        <item x="483"/>
        <item x="273"/>
        <item x="209"/>
        <item x="661"/>
        <item x="512"/>
        <item x="51"/>
        <item x="278"/>
        <item x="249"/>
        <item x="362"/>
        <item x="605"/>
        <item x="486"/>
        <item x="187"/>
        <item x="769"/>
        <item x="403"/>
        <item x="19"/>
        <item x="631"/>
        <item x="855"/>
        <item x="423"/>
        <item x="170"/>
        <item x="679"/>
        <item x="136"/>
        <item x="122"/>
        <item x="269"/>
        <item x="615"/>
        <item x="457"/>
        <item x="133"/>
        <item x="23"/>
        <item x="38"/>
        <item x="439"/>
        <item x="494"/>
        <item x="48"/>
        <item x="436"/>
        <item x="49"/>
        <item x="399"/>
        <item x="295"/>
        <item x="807"/>
        <item x="336"/>
        <item x="231"/>
        <item x="843"/>
        <item x="389"/>
        <item x="646"/>
        <item x="343"/>
        <item x="627"/>
        <item x="257"/>
        <item x="742"/>
        <item x="805"/>
        <item x="70"/>
        <item x="365"/>
        <item x="85"/>
        <item x="167"/>
        <item x="144"/>
        <item x="538"/>
        <item x="690"/>
        <item x="581"/>
        <item x="402"/>
        <item x="143"/>
        <item x="647"/>
        <item x="669"/>
        <item x="686"/>
        <item x="47"/>
        <item x="755"/>
        <item x="32"/>
        <item x="500"/>
        <item x="90"/>
        <item x="224"/>
        <item x="165"/>
        <item x="248"/>
        <item x="162"/>
        <item x="1"/>
        <item x="630"/>
        <item x="607"/>
        <item x="15"/>
        <item x="452"/>
        <item x="16"/>
        <item x="63"/>
        <item x="375"/>
        <item x="541"/>
        <item x="217"/>
        <item x="680"/>
        <item x="132"/>
        <item x="216"/>
        <item x="590"/>
        <item x="34"/>
        <item x="201"/>
        <item x="380"/>
        <item x="240"/>
        <item x="498"/>
        <item x="504"/>
        <item x="101"/>
        <item x="195"/>
        <item x="413"/>
        <item x="619"/>
        <item x="614"/>
        <item x="199"/>
        <item x="846"/>
        <item x="57"/>
        <item x="172"/>
        <item x="232"/>
        <item x="570"/>
        <item x="532"/>
        <item x="601"/>
        <item x="412"/>
        <item x="324"/>
        <item x="268"/>
        <item x="120"/>
        <item x="695"/>
        <item x="766"/>
        <item x="176"/>
        <item x="292"/>
        <item x="267"/>
        <item x="271"/>
        <item x="775"/>
        <item x="334"/>
        <item x="200"/>
        <item x="341"/>
        <item x="908"/>
        <item x="803"/>
        <item x="533"/>
        <item x="8"/>
        <item x="385"/>
        <item x="275"/>
        <item x="307"/>
        <item x="160"/>
        <item x="310"/>
        <item x="791"/>
        <item x="128"/>
        <item x="355"/>
        <item x="17"/>
        <item x="294"/>
        <item x="78"/>
        <item x="711"/>
        <item x="571"/>
        <item x="719"/>
        <item x="790"/>
        <item x="105"/>
        <item x="484"/>
        <item x="151"/>
        <item x="410"/>
        <item x="3"/>
        <item x="256"/>
        <item x="430"/>
        <item x="545"/>
        <item x="202"/>
        <item x="751"/>
        <item x="629"/>
        <item x="153"/>
        <item x="392"/>
        <item x="26"/>
        <item x="665"/>
        <item x="400"/>
        <item x="37"/>
        <item x="644"/>
        <item x="406"/>
        <item x="418"/>
        <item x="632"/>
        <item x="557"/>
        <item x="180"/>
        <item x="138"/>
        <item x="759"/>
        <item x="811"/>
        <item x="152"/>
        <item x="464"/>
        <item x="931"/>
        <item x="7"/>
        <item x="664"/>
        <item x="145"/>
        <item x="722"/>
        <item x="253"/>
        <item x="363"/>
        <item x="446"/>
        <item x="29"/>
        <item x="758"/>
        <item x="387"/>
        <item x="397"/>
        <item x="50"/>
        <item x="329"/>
        <item x="654"/>
        <item x="52"/>
        <item x="80"/>
        <item x="245"/>
        <item x="300"/>
        <item x="624"/>
        <item x="567"/>
        <item x="318"/>
        <item x="394"/>
        <item x="687"/>
        <item x="325"/>
        <item x="272"/>
        <item x="443"/>
        <item x="429"/>
        <item x="280"/>
        <item x="39"/>
        <item x="522"/>
        <item x="705"/>
        <item x="171"/>
        <item x="347"/>
        <item x="458"/>
        <item x="535"/>
        <item x="20"/>
        <item x="910"/>
        <item x="548"/>
        <item x="369"/>
        <item x="236"/>
        <item x="112"/>
        <item x="73"/>
        <item x="239"/>
        <item x="926"/>
        <item x="613"/>
        <item x="788"/>
        <item x="125"/>
        <item x="303"/>
        <item x="226"/>
        <item x="291"/>
        <item x="299"/>
        <item x="102"/>
        <item x="600"/>
        <item x="357"/>
        <item x="108"/>
        <item x="511"/>
        <item x="206"/>
        <item x="544"/>
        <item x="354"/>
        <item x="193"/>
        <item x="425"/>
        <item x="340"/>
        <item x="587"/>
        <item x="594"/>
        <item x="21"/>
        <item x="84"/>
        <item x="528"/>
        <item x="642"/>
        <item x="344"/>
        <item x="550"/>
        <item x="219"/>
        <item x="68"/>
        <item x="356"/>
        <item x="672"/>
        <item x="134"/>
        <item x="367"/>
        <item x="196"/>
        <item x="142"/>
        <item x="297"/>
        <item x="591"/>
        <item x="72"/>
        <item x="286"/>
        <item x="379"/>
        <item x="242"/>
        <item x="126"/>
        <item x="816"/>
        <item x="11"/>
        <item x="182"/>
        <item x="364"/>
        <item x="660"/>
        <item x="183"/>
        <item x="432"/>
        <item x="659"/>
        <item x="235"/>
        <item x="850"/>
        <item x="308"/>
        <item x="869"/>
        <item x="534"/>
        <item x="612"/>
        <item x="88"/>
        <item x="93"/>
        <item x="79"/>
        <item x="155"/>
        <item x="179"/>
        <item x="28"/>
        <item x="707"/>
        <item x="18"/>
        <item x="440"/>
        <item x="353"/>
        <item x="258"/>
        <item x="599"/>
        <item x="728"/>
        <item x="309"/>
        <item x="147"/>
        <item x="424"/>
        <item x="168"/>
        <item x="184"/>
        <item x="793"/>
        <item x="574"/>
        <item x="515"/>
        <item x="166"/>
        <item x="699"/>
        <item x="119"/>
        <item x="434"/>
        <item x="422"/>
        <item x="98"/>
        <item x="213"/>
        <item x="459"/>
        <item x="230"/>
        <item x="789"/>
        <item x="582"/>
        <item x="526"/>
        <item x="589"/>
        <item x="190"/>
        <item x="641"/>
        <item x="715"/>
        <item x="706"/>
        <item x="352"/>
        <item x="10"/>
        <item x="42"/>
        <item x="514"/>
        <item x="86"/>
        <item x="76"/>
        <item x="123"/>
        <item x="173"/>
        <item x="282"/>
        <item x="204"/>
        <item x="6"/>
        <item x="842"/>
        <item x="572"/>
        <item x="495"/>
        <item x="740"/>
        <item x="502"/>
        <item x="218"/>
        <item x="628"/>
        <item x="634"/>
        <item x="623"/>
        <item x="576"/>
        <item x="448"/>
        <item x="472"/>
        <item x="4"/>
        <item x="382"/>
        <item x="881"/>
        <item x="551"/>
        <item x="140"/>
        <item x="27"/>
        <item x="405"/>
        <item x="214"/>
        <item x="884"/>
        <item x="222"/>
        <item x="461"/>
        <item x="211"/>
        <item x="787"/>
        <item x="491"/>
        <item x="215"/>
        <item x="296"/>
        <item x="207"/>
        <item x="277"/>
        <item x="635"/>
        <item x="75"/>
        <item x="785"/>
        <item x="466"/>
        <item x="395"/>
        <item x="721"/>
        <item x="523"/>
        <item x="737"/>
        <item x="542"/>
        <item x="233"/>
        <item x="684"/>
        <item x="115"/>
        <item x="396"/>
        <item x="316"/>
        <item x="841"/>
        <item x="110"/>
        <item x="738"/>
        <item x="322"/>
        <item x="247"/>
        <item x="530"/>
        <item x="701"/>
        <item x="552"/>
        <item x="553"/>
        <item x="156"/>
        <item x="501"/>
        <item x="750"/>
        <item x="148"/>
        <item x="854"/>
        <item x="89"/>
        <item x="480"/>
        <item x="227"/>
        <item x="547"/>
        <item x="205"/>
        <item x="198"/>
        <item x="556"/>
        <item x="470"/>
        <item x="366"/>
        <item x="829"/>
        <item x="407"/>
        <item x="821"/>
        <item x="94"/>
        <item x="56"/>
        <item x="113"/>
        <item x="734"/>
        <item x="427"/>
        <item x="305"/>
        <item x="46"/>
        <item x="259"/>
        <item x="565"/>
        <item x="761"/>
        <item x="444"/>
        <item x="58"/>
        <item x="780"/>
        <item x="281"/>
        <item x="554"/>
        <item x="337"/>
        <item x="497"/>
        <item x="92"/>
        <item x="146"/>
        <item x="203"/>
        <item x="225"/>
        <item x="456"/>
        <item x="313"/>
        <item x="404"/>
        <item x="834"/>
        <item x="244"/>
        <item x="779"/>
        <item x="757"/>
        <item x="667"/>
        <item x="730"/>
        <item x="633"/>
        <item x="563"/>
        <item x="450"/>
        <item x="14"/>
        <item x="114"/>
        <item x="668"/>
        <item x="783"/>
        <item x="618"/>
        <item x="748"/>
        <item x="246"/>
        <item x="212"/>
        <item x="509"/>
        <item x="469"/>
        <item x="666"/>
        <item x="735"/>
        <item x="197"/>
        <item x="704"/>
        <item x="657"/>
        <item x="419"/>
        <item x="43"/>
        <item x="596"/>
        <item x="794"/>
        <item x="725"/>
        <item x="192"/>
        <item x="276"/>
        <item x="62"/>
        <item x="327"/>
        <item x="135"/>
        <item x="181"/>
        <item x="393"/>
        <item x="330"/>
        <item x="579"/>
        <item x="163"/>
        <item x="673"/>
        <item x="451"/>
        <item x="264"/>
        <item x="911"/>
        <item x="431"/>
        <item x="578"/>
        <item x="471"/>
        <item x="45"/>
        <item x="60"/>
        <item x="760"/>
        <item x="254"/>
        <item x="674"/>
        <item x="598"/>
        <item x="925"/>
        <item x="928"/>
        <item x="774"/>
        <item x="866"/>
        <item x="489"/>
        <item x="583"/>
        <item x="462"/>
        <item x="559"/>
        <item x="391"/>
        <item x="524"/>
        <item x="899"/>
        <item x="111"/>
        <item x="378"/>
        <item x="651"/>
        <item x="508"/>
        <item x="773"/>
        <item x="858"/>
        <item x="326"/>
        <item x="746"/>
        <item x="603"/>
        <item x="417"/>
        <item x="752"/>
        <item x="492"/>
        <item x="91"/>
        <item x="285"/>
        <item x="487"/>
        <item x="374"/>
        <item x="913"/>
        <item x="577"/>
        <item x="859"/>
        <item x="124"/>
        <item x="836"/>
        <item x="823"/>
        <item x="164"/>
        <item x="767"/>
        <item x="903"/>
        <item x="107"/>
        <item x="897"/>
        <item x="741"/>
        <item x="828"/>
        <item x="863"/>
        <item x="81"/>
        <item x="693"/>
        <item x="312"/>
        <item x="777"/>
        <item x="710"/>
        <item x="505"/>
        <item x="158"/>
        <item x="473"/>
        <item x="898"/>
        <item x="716"/>
        <item x="685"/>
        <item x="77"/>
        <item x="561"/>
        <item x="414"/>
        <item x="546"/>
        <item x="304"/>
        <item x="22"/>
        <item x="442"/>
        <item x="889"/>
        <item x="454"/>
        <item x="611"/>
        <item x="902"/>
        <item x="697"/>
        <item x="853"/>
        <item x="41"/>
        <item x="827"/>
        <item x="262"/>
        <item x="328"/>
        <item x="830"/>
        <item x="870"/>
        <item x="453"/>
        <item x="521"/>
        <item x="186"/>
        <item x="428"/>
        <item x="844"/>
        <item x="220"/>
        <item x="921"/>
        <item x="682"/>
        <item x="445"/>
        <item x="890"/>
        <item x="321"/>
        <item x="298"/>
        <item x="5"/>
        <item x="331"/>
        <item x="371"/>
        <item x="861"/>
        <item x="922"/>
        <item x="726"/>
        <item x="883"/>
        <item x="636"/>
        <item x="872"/>
        <item x="845"/>
        <item x="100"/>
        <item x="798"/>
        <item x="288"/>
        <item x="564"/>
        <item x="555"/>
        <item x="345"/>
        <item x="874"/>
        <item x="744"/>
        <item x="602"/>
        <item x="376"/>
        <item x="909"/>
        <item x="768"/>
        <item x="753"/>
        <item x="449"/>
        <item x="804"/>
        <item x="797"/>
        <item x="813"/>
        <item x="507"/>
        <item x="154"/>
        <item x="479"/>
        <item x="724"/>
        <item x="808"/>
        <item x="317"/>
        <item x="691"/>
        <item x="241"/>
        <item x="117"/>
        <item x="745"/>
        <item x="13"/>
        <item x="689"/>
        <item x="723"/>
        <item x="24"/>
        <item x="527"/>
        <item x="346"/>
        <item x="66"/>
        <item x="69"/>
        <item x="141"/>
        <item x="314"/>
        <item x="763"/>
        <item x="411"/>
        <item x="238"/>
        <item x="677"/>
        <item x="820"/>
        <item x="54"/>
        <item x="338"/>
        <item x="739"/>
        <item x="116"/>
        <item x="754"/>
        <item x="638"/>
        <item x="520"/>
        <item x="923"/>
        <item x="109"/>
        <item x="306"/>
        <item x="368"/>
        <item x="743"/>
        <item x="283"/>
        <item x="824"/>
        <item x="95"/>
        <item x="895"/>
        <item x="420"/>
        <item x="252"/>
        <item x="482"/>
        <item x="864"/>
        <item x="477"/>
        <item x="568"/>
        <item x="381"/>
        <item x="831"/>
        <item x="263"/>
        <item x="573"/>
        <item x="840"/>
        <item x="549"/>
        <item x="350"/>
        <item x="732"/>
        <item x="558"/>
        <item x="812"/>
        <item x="433"/>
        <item x="900"/>
        <item x="876"/>
        <item x="849"/>
        <item x="194"/>
        <item x="818"/>
        <item x="871"/>
        <item x="67"/>
        <item x="709"/>
        <item x="475"/>
        <item x="729"/>
        <item x="543"/>
        <item x="287"/>
        <item x="539"/>
        <item x="765"/>
        <item x="358"/>
        <item x="279"/>
        <item x="361"/>
        <item x="875"/>
        <item x="620"/>
        <item x="320"/>
        <item x="919"/>
        <item x="435"/>
        <item x="904"/>
        <item x="835"/>
        <item x="540"/>
        <item x="593"/>
        <item x="772"/>
        <item x="386"/>
        <item x="319"/>
        <item x="74"/>
        <item x="175"/>
        <item x="653"/>
        <item x="617"/>
        <item x="852"/>
        <item x="720"/>
        <item x="485"/>
        <item x="882"/>
        <item x="733"/>
        <item x="460"/>
        <item x="339"/>
        <item x="518"/>
        <item x="250"/>
        <item x="901"/>
        <item x="681"/>
        <item x="698"/>
        <item x="649"/>
        <item x="290"/>
        <item x="683"/>
        <item x="892"/>
        <item x="867"/>
        <item x="348"/>
        <item x="782"/>
        <item x="562"/>
        <item x="315"/>
        <item x="586"/>
        <item x="756"/>
        <item x="189"/>
        <item x="920"/>
        <item x="671"/>
        <item x="2"/>
        <item x="506"/>
        <item x="792"/>
        <item x="703"/>
        <item x="643"/>
        <item x="851"/>
        <item x="610"/>
        <item x="349"/>
        <item x="531"/>
        <item x="575"/>
        <item x="251"/>
        <item x="675"/>
        <item x="64"/>
        <item x="377"/>
        <item x="467"/>
        <item x="670"/>
        <item x="560"/>
        <item x="749"/>
        <item x="886"/>
        <item x="814"/>
        <item x="802"/>
        <item x="796"/>
        <item x="566"/>
        <item x="118"/>
        <item x="622"/>
        <item x="658"/>
        <item x="696"/>
        <item x="517"/>
        <item x="933"/>
        <item x="873"/>
        <item x="537"/>
        <item x="800"/>
        <item x="915"/>
        <item x="817"/>
        <item x="12"/>
        <item x="529"/>
        <item x="650"/>
        <item x="106"/>
        <item x="103"/>
        <item x="323"/>
        <item x="776"/>
        <item x="906"/>
        <item x="930"/>
        <item x="801"/>
        <item x="713"/>
        <item x="474"/>
        <item x="149"/>
        <item x="656"/>
        <item x="868"/>
        <item x="799"/>
        <item x="778"/>
        <item x="847"/>
        <item x="274"/>
        <item x="810"/>
        <item x="916"/>
        <item x="809"/>
        <item x="447"/>
        <item x="764"/>
        <item x="360"/>
        <item x="731"/>
        <item x="493"/>
        <item x="795"/>
        <item x="663"/>
        <item x="185"/>
        <item x="87"/>
        <item x="481"/>
        <item x="177"/>
        <item x="784"/>
        <item x="819"/>
        <item x="519"/>
        <item x="584"/>
        <item x="717"/>
        <item x="700"/>
        <item x="637"/>
        <item x="839"/>
        <item x="44"/>
        <item x="837"/>
        <item x="525"/>
        <item x="40"/>
        <item x="652"/>
        <item x="131"/>
        <item x="838"/>
        <item x="692"/>
        <item x="510"/>
        <item x="223"/>
        <item x="825"/>
        <item x="516"/>
        <item x="786"/>
        <item x="513"/>
        <item x="907"/>
        <item x="714"/>
        <item x="662"/>
        <item x="770"/>
        <item x="311"/>
        <item x="878"/>
        <item x="865"/>
        <item x="924"/>
        <item x="927"/>
        <item x="912"/>
        <item x="688"/>
        <item x="891"/>
        <item x="284"/>
        <item x="781"/>
        <item x="676"/>
        <item x="96"/>
        <item x="747"/>
        <item x="373"/>
        <item x="694"/>
        <item x="806"/>
        <item x="31"/>
        <item x="621"/>
        <item x="416"/>
        <item x="616"/>
        <item x="488"/>
        <item x="626"/>
        <item x="832"/>
        <item x="648"/>
        <item x="880"/>
        <item x="815"/>
        <item x="640"/>
        <item x="499"/>
        <item x="917"/>
        <item x="896"/>
        <item x="702"/>
        <item x="712"/>
        <item x="36"/>
        <item x="914"/>
        <item x="645"/>
        <item x="437"/>
        <item x="718"/>
        <item x="848"/>
        <item x="708"/>
        <item x="833"/>
        <item x="894"/>
        <item t="default"/>
      </items>
    </pivotField>
    <pivotField showAll="0"/>
    <pivotField numFmtId="15"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numFmtId="15" showAll="0"/>
    <pivotField showAll="0"/>
    <pivotField showAll="0">
      <items count="6">
        <item x="0"/>
        <item x="3"/>
        <item x="4"/>
        <item x="2"/>
        <item x="1"/>
        <item t="default"/>
      </items>
    </pivotField>
    <pivotField showAll="0"/>
    <pivotField showAll="0"/>
    <pivotField showAll="0"/>
    <pivotField showAll="0">
      <items count="16">
        <item x="7"/>
        <item x="3"/>
        <item x="1"/>
        <item x="2"/>
        <item x="5"/>
        <item x="0"/>
        <item x="4"/>
        <item x="6"/>
        <item x="9"/>
        <item x="8"/>
        <item x="14"/>
        <item x="11"/>
        <item x="13"/>
        <item x="10"/>
        <item x="12"/>
        <item t="default"/>
      </items>
    </pivotField>
    <pivotField showAll="0"/>
    <pivotField axis="axisRow" showAll="0">
      <items count="5">
        <item x="2"/>
        <item x="1"/>
        <item x="3"/>
        <item x="0"/>
        <item t="default"/>
      </items>
    </pivotField>
    <pivotField showAll="0">
      <items count="8">
        <item sd="0" x="0"/>
        <item sd="0" x="1"/>
        <item sd="0" x="2"/>
        <item sd="0" x="4"/>
        <item sd="0" x="3"/>
        <item x="5"/>
        <item x="6"/>
        <item t="default"/>
      </items>
    </pivotField>
    <pivotField showAll="0">
      <items count="10">
        <item x="5"/>
        <item x="3"/>
        <item x="1"/>
        <item x="2"/>
        <item x="4"/>
        <item x="0"/>
        <item x="8"/>
        <item x="6"/>
        <item x="7"/>
        <item t="default"/>
      </items>
    </pivotField>
    <pivotField showAll="0">
      <items count="15">
        <item x="0"/>
        <item x="1"/>
        <item x="2"/>
        <item x="3"/>
        <item x="4"/>
        <item x="5"/>
        <item x="6"/>
        <item x="7"/>
        <item x="8"/>
        <item x="9"/>
        <item x="10"/>
        <item x="11"/>
        <item x="12"/>
        <item x="13"/>
        <item t="default"/>
      </items>
    </pivotField>
    <pivotField showAll="0">
      <items count="201">
        <item x="4"/>
        <item x="198"/>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199"/>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0"/>
        <item x="1"/>
        <item x="2"/>
        <item x="3"/>
        <item t="default"/>
      </items>
    </pivotField>
  </pivotFields>
  <rowFields count="1">
    <field x="14"/>
  </rowFields>
  <rowItems count="5">
    <i>
      <x/>
    </i>
    <i>
      <x v="1"/>
    </i>
    <i>
      <x v="2"/>
    </i>
    <i>
      <x v="3"/>
    </i>
    <i t="grand">
      <x/>
    </i>
  </rowItems>
  <colItems count="1">
    <i/>
  </colItems>
  <dataFields count="1">
    <dataField name="Sum of Quantity" fld="2" baseField="0" baseItem="0"/>
  </dataFields>
  <chartFormats count="20">
    <chartFormat chart="56" format="0" series="1">
      <pivotArea type="data" outline="0" fieldPosition="0">
        <references count="1">
          <reference field="4294967294" count="1" selected="0">
            <x v="0"/>
          </reference>
        </references>
      </pivotArea>
    </chartFormat>
    <chartFormat chart="56" format="1">
      <pivotArea type="data" outline="0" fieldPosition="0">
        <references count="2">
          <reference field="4294967294" count="1" selected="0">
            <x v="0"/>
          </reference>
          <reference field="14" count="1" selected="0">
            <x v="2"/>
          </reference>
        </references>
      </pivotArea>
    </chartFormat>
    <chartFormat chart="56" format="2">
      <pivotArea type="data" outline="0" fieldPosition="0">
        <references count="2">
          <reference field="4294967294" count="1" selected="0">
            <x v="0"/>
          </reference>
          <reference field="14" count="1" selected="0">
            <x v="3"/>
          </reference>
        </references>
      </pivotArea>
    </chartFormat>
    <chartFormat chart="56" format="3">
      <pivotArea type="data" outline="0" fieldPosition="0">
        <references count="2">
          <reference field="4294967294" count="1" selected="0">
            <x v="0"/>
          </reference>
          <reference field="14" count="1" selected="0">
            <x v="1"/>
          </reference>
        </references>
      </pivotArea>
    </chartFormat>
    <chartFormat chart="56" format="4">
      <pivotArea type="data" outline="0" fieldPosition="0">
        <references count="2">
          <reference field="4294967294" count="1" selected="0">
            <x v="0"/>
          </reference>
          <reference field="14" count="1" selected="0">
            <x v="0"/>
          </reference>
        </references>
      </pivotArea>
    </chartFormat>
    <chartFormat chart="57" format="5" series="1">
      <pivotArea type="data" outline="0" fieldPosition="0">
        <references count="1">
          <reference field="4294967294" count="1" selected="0">
            <x v="0"/>
          </reference>
        </references>
      </pivotArea>
    </chartFormat>
    <chartFormat chart="57" format="6">
      <pivotArea type="data" outline="0" fieldPosition="0">
        <references count="2">
          <reference field="4294967294" count="1" selected="0">
            <x v="0"/>
          </reference>
          <reference field="14" count="1" selected="0">
            <x v="0"/>
          </reference>
        </references>
      </pivotArea>
    </chartFormat>
    <chartFormat chart="57" format="7">
      <pivotArea type="data" outline="0" fieldPosition="0">
        <references count="2">
          <reference field="4294967294" count="1" selected="0">
            <x v="0"/>
          </reference>
          <reference field="14" count="1" selected="0">
            <x v="1"/>
          </reference>
        </references>
      </pivotArea>
    </chartFormat>
    <chartFormat chart="57" format="8">
      <pivotArea type="data" outline="0" fieldPosition="0">
        <references count="2">
          <reference field="4294967294" count="1" selected="0">
            <x v="0"/>
          </reference>
          <reference field="14" count="1" selected="0">
            <x v="2"/>
          </reference>
        </references>
      </pivotArea>
    </chartFormat>
    <chartFormat chart="57" format="9">
      <pivotArea type="data" outline="0" fieldPosition="0">
        <references count="2">
          <reference field="4294967294" count="1" selected="0">
            <x v="0"/>
          </reference>
          <reference field="14" count="1" selected="0">
            <x v="3"/>
          </reference>
        </references>
      </pivotArea>
    </chartFormat>
    <chartFormat chart="58" format="10" series="1">
      <pivotArea type="data" outline="0" fieldPosition="0">
        <references count="1">
          <reference field="4294967294" count="1" selected="0">
            <x v="0"/>
          </reference>
        </references>
      </pivotArea>
    </chartFormat>
    <chartFormat chart="58" format="11">
      <pivotArea type="data" outline="0" fieldPosition="0">
        <references count="2">
          <reference field="4294967294" count="1" selected="0">
            <x v="0"/>
          </reference>
          <reference field="14" count="1" selected="0">
            <x v="0"/>
          </reference>
        </references>
      </pivotArea>
    </chartFormat>
    <chartFormat chart="58" format="12">
      <pivotArea type="data" outline="0" fieldPosition="0">
        <references count="2">
          <reference field="4294967294" count="1" selected="0">
            <x v="0"/>
          </reference>
          <reference field="14" count="1" selected="0">
            <x v="1"/>
          </reference>
        </references>
      </pivotArea>
    </chartFormat>
    <chartFormat chart="58" format="13">
      <pivotArea type="data" outline="0" fieldPosition="0">
        <references count="2">
          <reference field="4294967294" count="1" selected="0">
            <x v="0"/>
          </reference>
          <reference field="14" count="1" selected="0">
            <x v="2"/>
          </reference>
        </references>
      </pivotArea>
    </chartFormat>
    <chartFormat chart="58" format="14">
      <pivotArea type="data" outline="0" fieldPosition="0">
        <references count="2">
          <reference field="4294967294" count="1" selected="0">
            <x v="0"/>
          </reference>
          <reference field="14" count="1" selected="0">
            <x v="3"/>
          </reference>
        </references>
      </pivotArea>
    </chartFormat>
    <chartFormat chart="59" format="10" series="1">
      <pivotArea type="data" outline="0" fieldPosition="0">
        <references count="1">
          <reference field="4294967294" count="1" selected="0">
            <x v="0"/>
          </reference>
        </references>
      </pivotArea>
    </chartFormat>
    <chartFormat chart="59" format="11">
      <pivotArea type="data" outline="0" fieldPosition="0">
        <references count="2">
          <reference field="4294967294" count="1" selected="0">
            <x v="0"/>
          </reference>
          <reference field="14" count="1" selected="0">
            <x v="0"/>
          </reference>
        </references>
      </pivotArea>
    </chartFormat>
    <chartFormat chart="59" format="12">
      <pivotArea type="data" outline="0" fieldPosition="0">
        <references count="2">
          <reference field="4294967294" count="1" selected="0">
            <x v="0"/>
          </reference>
          <reference field="14" count="1" selected="0">
            <x v="1"/>
          </reference>
        </references>
      </pivotArea>
    </chartFormat>
    <chartFormat chart="59" format="13">
      <pivotArea type="data" outline="0" fieldPosition="0">
        <references count="2">
          <reference field="4294967294" count="1" selected="0">
            <x v="0"/>
          </reference>
          <reference field="14" count="1" selected="0">
            <x v="2"/>
          </reference>
        </references>
      </pivotArea>
    </chartFormat>
    <chartFormat chart="59" format="14">
      <pivotArea type="data" outline="0" fieldPosition="0">
        <references count="2">
          <reference field="4294967294" count="1" selected="0">
            <x v="0"/>
          </reference>
          <reference field="1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8002E4E-AC9E-4F87-9E89-D905E71D37FB}" name="PvtQuantity"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6" rowHeaderCaption="Quantity">
  <location ref="E8:F16" firstHeaderRow="1" firstDataRow="1" firstDataCol="1"/>
  <pivotFields count="19">
    <pivotField dataField="1" showAll="0" maxSubtotal="1"/>
    <pivotField showAll="0"/>
    <pivotField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items count="935">
        <item x="178"/>
        <item x="159"/>
        <item x="97"/>
        <item x="441"/>
        <item x="265"/>
        <item x="401"/>
        <item x="0"/>
        <item x="408"/>
        <item x="229"/>
        <item x="370"/>
        <item x="61"/>
        <item x="463"/>
        <item x="860"/>
        <item x="604"/>
        <item x="426"/>
        <item x="608"/>
        <item x="877"/>
        <item x="932"/>
        <item x="822"/>
        <item x="150"/>
        <item x="335"/>
        <item x="885"/>
        <item x="888"/>
        <item x="169"/>
        <item x="609"/>
        <item x="826"/>
        <item x="905"/>
        <item x="862"/>
        <item x="270"/>
        <item x="221"/>
        <item x="503"/>
        <item x="476"/>
        <item x="536"/>
        <item x="388"/>
        <item x="678"/>
        <item x="455"/>
        <item x="83"/>
        <item x="255"/>
        <item x="137"/>
        <item x="35"/>
        <item x="496"/>
        <item x="398"/>
        <item x="342"/>
        <item x="261"/>
        <item x="857"/>
        <item x="655"/>
        <item x="879"/>
        <item x="639"/>
        <item x="569"/>
        <item x="384"/>
        <item x="929"/>
        <item x="771"/>
        <item x="727"/>
        <item x="161"/>
        <item x="893"/>
        <item x="25"/>
        <item x="228"/>
        <item x="130"/>
        <item x="71"/>
        <item x="53"/>
        <item x="606"/>
        <item x="762"/>
        <item x="383"/>
        <item x="856"/>
        <item x="99"/>
        <item x="465"/>
        <item x="585"/>
        <item x="333"/>
        <item x="104"/>
        <item x="129"/>
        <item x="30"/>
        <item x="359"/>
        <item x="55"/>
        <item x="918"/>
        <item x="415"/>
        <item x="266"/>
        <item x="478"/>
        <item x="82"/>
        <item x="157"/>
        <item x="490"/>
        <item x="260"/>
        <item x="736"/>
        <item x="127"/>
        <item x="293"/>
        <item x="580"/>
        <item x="468"/>
        <item x="289"/>
        <item x="390"/>
        <item x="588"/>
        <item x="65"/>
        <item x="438"/>
        <item x="191"/>
        <item x="210"/>
        <item x="302"/>
        <item x="332"/>
        <item x="592"/>
        <item x="33"/>
        <item x="301"/>
        <item x="421"/>
        <item x="595"/>
        <item x="237"/>
        <item x="597"/>
        <item x="208"/>
        <item x="9"/>
        <item x="243"/>
        <item x="351"/>
        <item x="188"/>
        <item x="625"/>
        <item x="409"/>
        <item x="887"/>
        <item x="59"/>
        <item x="372"/>
        <item x="121"/>
        <item x="139"/>
        <item x="234"/>
        <item x="174"/>
        <item x="483"/>
        <item x="273"/>
        <item x="209"/>
        <item x="661"/>
        <item x="512"/>
        <item x="51"/>
        <item x="278"/>
        <item x="249"/>
        <item x="362"/>
        <item x="605"/>
        <item x="486"/>
        <item x="187"/>
        <item x="769"/>
        <item x="403"/>
        <item x="19"/>
        <item x="631"/>
        <item x="855"/>
        <item x="423"/>
        <item x="170"/>
        <item x="679"/>
        <item x="136"/>
        <item x="122"/>
        <item x="269"/>
        <item x="615"/>
        <item x="457"/>
        <item x="133"/>
        <item x="23"/>
        <item x="38"/>
        <item x="439"/>
        <item x="494"/>
        <item x="48"/>
        <item x="436"/>
        <item x="49"/>
        <item x="399"/>
        <item x="295"/>
        <item x="807"/>
        <item x="336"/>
        <item x="231"/>
        <item x="843"/>
        <item x="389"/>
        <item x="646"/>
        <item x="343"/>
        <item x="627"/>
        <item x="257"/>
        <item x="742"/>
        <item x="805"/>
        <item x="70"/>
        <item x="365"/>
        <item x="85"/>
        <item x="167"/>
        <item x="144"/>
        <item x="538"/>
        <item x="690"/>
        <item x="581"/>
        <item x="402"/>
        <item x="143"/>
        <item x="647"/>
        <item x="669"/>
        <item x="686"/>
        <item x="47"/>
        <item x="755"/>
        <item x="32"/>
        <item x="500"/>
        <item x="90"/>
        <item x="224"/>
        <item x="165"/>
        <item x="248"/>
        <item x="162"/>
        <item x="1"/>
        <item x="630"/>
        <item x="607"/>
        <item x="15"/>
        <item x="452"/>
        <item x="16"/>
        <item x="63"/>
        <item x="375"/>
        <item x="541"/>
        <item x="217"/>
        <item x="680"/>
        <item x="132"/>
        <item x="216"/>
        <item x="590"/>
        <item x="34"/>
        <item x="201"/>
        <item x="380"/>
        <item x="240"/>
        <item x="498"/>
        <item x="504"/>
        <item x="101"/>
        <item x="195"/>
        <item x="413"/>
        <item x="619"/>
        <item x="614"/>
        <item x="199"/>
        <item x="846"/>
        <item x="57"/>
        <item x="172"/>
        <item x="232"/>
        <item x="570"/>
        <item x="532"/>
        <item x="601"/>
        <item x="412"/>
        <item x="324"/>
        <item x="268"/>
        <item x="120"/>
        <item x="695"/>
        <item x="766"/>
        <item x="176"/>
        <item x="292"/>
        <item x="267"/>
        <item x="271"/>
        <item x="775"/>
        <item x="334"/>
        <item x="200"/>
        <item x="341"/>
        <item x="908"/>
        <item x="803"/>
        <item x="533"/>
        <item x="8"/>
        <item x="385"/>
        <item x="275"/>
        <item x="307"/>
        <item x="160"/>
        <item x="310"/>
        <item x="791"/>
        <item x="128"/>
        <item x="355"/>
        <item x="17"/>
        <item x="294"/>
        <item x="78"/>
        <item x="711"/>
        <item x="571"/>
        <item x="719"/>
        <item x="790"/>
        <item x="105"/>
        <item x="484"/>
        <item x="151"/>
        <item x="410"/>
        <item x="3"/>
        <item x="256"/>
        <item x="430"/>
        <item x="545"/>
        <item x="202"/>
        <item x="751"/>
        <item x="629"/>
        <item x="153"/>
        <item x="392"/>
        <item x="26"/>
        <item x="665"/>
        <item x="400"/>
        <item x="37"/>
        <item x="644"/>
        <item x="406"/>
        <item x="418"/>
        <item x="632"/>
        <item x="557"/>
        <item x="180"/>
        <item x="138"/>
        <item x="759"/>
        <item x="811"/>
        <item x="152"/>
        <item x="464"/>
        <item x="931"/>
        <item x="7"/>
        <item x="664"/>
        <item x="145"/>
        <item x="722"/>
        <item x="253"/>
        <item x="363"/>
        <item x="446"/>
        <item x="29"/>
        <item x="758"/>
        <item x="387"/>
        <item x="397"/>
        <item x="50"/>
        <item x="329"/>
        <item x="654"/>
        <item x="52"/>
        <item x="80"/>
        <item x="245"/>
        <item x="300"/>
        <item x="624"/>
        <item x="567"/>
        <item x="318"/>
        <item x="394"/>
        <item x="687"/>
        <item x="325"/>
        <item x="272"/>
        <item x="443"/>
        <item x="429"/>
        <item x="280"/>
        <item x="39"/>
        <item x="522"/>
        <item x="705"/>
        <item x="171"/>
        <item x="347"/>
        <item x="458"/>
        <item x="535"/>
        <item x="20"/>
        <item x="910"/>
        <item x="548"/>
        <item x="369"/>
        <item x="236"/>
        <item x="112"/>
        <item x="73"/>
        <item x="239"/>
        <item x="926"/>
        <item x="613"/>
        <item x="788"/>
        <item x="125"/>
        <item x="303"/>
        <item x="226"/>
        <item x="291"/>
        <item x="299"/>
        <item x="102"/>
        <item x="600"/>
        <item x="357"/>
        <item x="108"/>
        <item x="511"/>
        <item x="206"/>
        <item x="544"/>
        <item x="354"/>
        <item x="193"/>
        <item x="425"/>
        <item x="340"/>
        <item x="587"/>
        <item x="594"/>
        <item x="21"/>
        <item x="84"/>
        <item x="528"/>
        <item x="642"/>
        <item x="344"/>
        <item x="550"/>
        <item x="219"/>
        <item x="68"/>
        <item x="356"/>
        <item x="672"/>
        <item x="134"/>
        <item x="367"/>
        <item x="196"/>
        <item x="142"/>
        <item x="297"/>
        <item x="591"/>
        <item x="72"/>
        <item x="286"/>
        <item x="379"/>
        <item x="242"/>
        <item x="126"/>
        <item x="816"/>
        <item x="11"/>
        <item x="182"/>
        <item x="364"/>
        <item x="660"/>
        <item x="183"/>
        <item x="432"/>
        <item x="659"/>
        <item x="235"/>
        <item x="850"/>
        <item x="308"/>
        <item x="869"/>
        <item x="534"/>
        <item x="612"/>
        <item x="88"/>
        <item x="93"/>
        <item x="79"/>
        <item x="155"/>
        <item x="179"/>
        <item x="28"/>
        <item x="707"/>
        <item x="18"/>
        <item x="440"/>
        <item x="353"/>
        <item x="258"/>
        <item x="599"/>
        <item x="728"/>
        <item x="309"/>
        <item x="147"/>
        <item x="424"/>
        <item x="168"/>
        <item x="184"/>
        <item x="793"/>
        <item x="574"/>
        <item x="515"/>
        <item x="166"/>
        <item x="699"/>
        <item x="119"/>
        <item x="434"/>
        <item x="422"/>
        <item x="98"/>
        <item x="213"/>
        <item x="459"/>
        <item x="230"/>
        <item x="789"/>
        <item x="582"/>
        <item x="526"/>
        <item x="589"/>
        <item x="190"/>
        <item x="641"/>
        <item x="715"/>
        <item x="706"/>
        <item x="352"/>
        <item x="10"/>
        <item x="42"/>
        <item x="514"/>
        <item x="86"/>
        <item x="76"/>
        <item x="123"/>
        <item x="173"/>
        <item x="282"/>
        <item x="204"/>
        <item x="6"/>
        <item x="842"/>
        <item x="572"/>
        <item x="495"/>
        <item x="740"/>
        <item x="502"/>
        <item x="218"/>
        <item x="628"/>
        <item x="634"/>
        <item x="623"/>
        <item x="576"/>
        <item x="448"/>
        <item x="472"/>
        <item x="4"/>
        <item x="382"/>
        <item x="881"/>
        <item x="551"/>
        <item x="140"/>
        <item x="27"/>
        <item x="405"/>
        <item x="214"/>
        <item x="884"/>
        <item x="222"/>
        <item x="461"/>
        <item x="211"/>
        <item x="787"/>
        <item x="491"/>
        <item x="215"/>
        <item x="296"/>
        <item x="207"/>
        <item x="277"/>
        <item x="635"/>
        <item x="75"/>
        <item x="785"/>
        <item x="466"/>
        <item x="395"/>
        <item x="721"/>
        <item x="523"/>
        <item x="737"/>
        <item x="542"/>
        <item x="233"/>
        <item x="684"/>
        <item x="115"/>
        <item x="396"/>
        <item x="316"/>
        <item x="841"/>
        <item x="110"/>
        <item x="738"/>
        <item x="322"/>
        <item x="247"/>
        <item x="530"/>
        <item x="701"/>
        <item x="552"/>
        <item x="553"/>
        <item x="156"/>
        <item x="501"/>
        <item x="750"/>
        <item x="148"/>
        <item x="854"/>
        <item x="89"/>
        <item x="480"/>
        <item x="227"/>
        <item x="547"/>
        <item x="205"/>
        <item x="198"/>
        <item x="556"/>
        <item x="470"/>
        <item x="366"/>
        <item x="829"/>
        <item x="407"/>
        <item x="821"/>
        <item x="94"/>
        <item x="56"/>
        <item x="113"/>
        <item x="734"/>
        <item x="427"/>
        <item x="305"/>
        <item x="46"/>
        <item x="259"/>
        <item x="565"/>
        <item x="761"/>
        <item x="444"/>
        <item x="58"/>
        <item x="780"/>
        <item x="281"/>
        <item x="554"/>
        <item x="337"/>
        <item x="497"/>
        <item x="92"/>
        <item x="146"/>
        <item x="203"/>
        <item x="225"/>
        <item x="456"/>
        <item x="313"/>
        <item x="404"/>
        <item x="834"/>
        <item x="244"/>
        <item x="779"/>
        <item x="757"/>
        <item x="667"/>
        <item x="730"/>
        <item x="633"/>
        <item x="563"/>
        <item x="450"/>
        <item x="14"/>
        <item x="114"/>
        <item x="668"/>
        <item x="783"/>
        <item x="618"/>
        <item x="748"/>
        <item x="246"/>
        <item x="212"/>
        <item x="509"/>
        <item x="469"/>
        <item x="666"/>
        <item x="735"/>
        <item x="197"/>
        <item x="704"/>
        <item x="657"/>
        <item x="419"/>
        <item x="43"/>
        <item x="596"/>
        <item x="794"/>
        <item x="725"/>
        <item x="192"/>
        <item x="276"/>
        <item x="62"/>
        <item x="327"/>
        <item x="135"/>
        <item x="181"/>
        <item x="393"/>
        <item x="330"/>
        <item x="579"/>
        <item x="163"/>
        <item x="673"/>
        <item x="451"/>
        <item x="264"/>
        <item x="911"/>
        <item x="431"/>
        <item x="578"/>
        <item x="471"/>
        <item x="45"/>
        <item x="60"/>
        <item x="760"/>
        <item x="254"/>
        <item x="674"/>
        <item x="598"/>
        <item x="925"/>
        <item x="928"/>
        <item x="774"/>
        <item x="866"/>
        <item x="489"/>
        <item x="583"/>
        <item x="462"/>
        <item x="559"/>
        <item x="391"/>
        <item x="524"/>
        <item x="899"/>
        <item x="111"/>
        <item x="378"/>
        <item x="651"/>
        <item x="508"/>
        <item x="773"/>
        <item x="858"/>
        <item x="326"/>
        <item x="746"/>
        <item x="603"/>
        <item x="417"/>
        <item x="752"/>
        <item x="492"/>
        <item x="91"/>
        <item x="285"/>
        <item x="487"/>
        <item x="374"/>
        <item x="913"/>
        <item x="577"/>
        <item x="859"/>
        <item x="124"/>
        <item x="836"/>
        <item x="823"/>
        <item x="164"/>
        <item x="767"/>
        <item x="903"/>
        <item x="107"/>
        <item x="897"/>
        <item x="741"/>
        <item x="828"/>
        <item x="863"/>
        <item x="81"/>
        <item x="693"/>
        <item x="312"/>
        <item x="777"/>
        <item x="710"/>
        <item x="505"/>
        <item x="158"/>
        <item x="473"/>
        <item x="898"/>
        <item x="716"/>
        <item x="685"/>
        <item x="77"/>
        <item x="561"/>
        <item x="414"/>
        <item x="546"/>
        <item x="304"/>
        <item x="22"/>
        <item x="442"/>
        <item x="889"/>
        <item x="454"/>
        <item x="611"/>
        <item x="902"/>
        <item x="697"/>
        <item x="853"/>
        <item x="41"/>
        <item x="827"/>
        <item x="262"/>
        <item x="328"/>
        <item x="830"/>
        <item x="870"/>
        <item x="453"/>
        <item x="521"/>
        <item x="186"/>
        <item x="428"/>
        <item x="844"/>
        <item x="220"/>
        <item x="921"/>
        <item x="682"/>
        <item x="445"/>
        <item x="890"/>
        <item x="321"/>
        <item x="298"/>
        <item x="5"/>
        <item x="331"/>
        <item x="371"/>
        <item x="861"/>
        <item x="922"/>
        <item x="726"/>
        <item x="883"/>
        <item x="636"/>
        <item x="872"/>
        <item x="845"/>
        <item x="100"/>
        <item x="798"/>
        <item x="288"/>
        <item x="564"/>
        <item x="555"/>
        <item x="345"/>
        <item x="874"/>
        <item x="744"/>
        <item x="602"/>
        <item x="376"/>
        <item x="909"/>
        <item x="768"/>
        <item x="753"/>
        <item x="449"/>
        <item x="804"/>
        <item x="797"/>
        <item x="813"/>
        <item x="507"/>
        <item x="154"/>
        <item x="479"/>
        <item x="724"/>
        <item x="808"/>
        <item x="317"/>
        <item x="691"/>
        <item x="241"/>
        <item x="117"/>
        <item x="745"/>
        <item x="13"/>
        <item x="689"/>
        <item x="723"/>
        <item x="24"/>
        <item x="527"/>
        <item x="346"/>
        <item x="66"/>
        <item x="69"/>
        <item x="141"/>
        <item x="314"/>
        <item x="763"/>
        <item x="411"/>
        <item x="238"/>
        <item x="677"/>
        <item x="820"/>
        <item x="54"/>
        <item x="338"/>
        <item x="739"/>
        <item x="116"/>
        <item x="754"/>
        <item x="638"/>
        <item x="520"/>
        <item x="923"/>
        <item x="109"/>
        <item x="306"/>
        <item x="368"/>
        <item x="743"/>
        <item x="283"/>
        <item x="824"/>
        <item x="95"/>
        <item x="895"/>
        <item x="420"/>
        <item x="252"/>
        <item x="482"/>
        <item x="864"/>
        <item x="477"/>
        <item x="568"/>
        <item x="381"/>
        <item x="831"/>
        <item x="263"/>
        <item x="573"/>
        <item x="840"/>
        <item x="549"/>
        <item x="350"/>
        <item x="732"/>
        <item x="558"/>
        <item x="812"/>
        <item x="433"/>
        <item x="900"/>
        <item x="876"/>
        <item x="849"/>
        <item x="194"/>
        <item x="818"/>
        <item x="871"/>
        <item x="67"/>
        <item x="709"/>
        <item x="475"/>
        <item x="729"/>
        <item x="543"/>
        <item x="287"/>
        <item x="539"/>
        <item x="765"/>
        <item x="358"/>
        <item x="279"/>
        <item x="361"/>
        <item x="875"/>
        <item x="620"/>
        <item x="320"/>
        <item x="919"/>
        <item x="435"/>
        <item x="904"/>
        <item x="835"/>
        <item x="540"/>
        <item x="593"/>
        <item x="772"/>
        <item x="386"/>
        <item x="319"/>
        <item x="74"/>
        <item x="175"/>
        <item x="653"/>
        <item x="617"/>
        <item x="852"/>
        <item x="720"/>
        <item x="485"/>
        <item x="882"/>
        <item x="733"/>
        <item x="460"/>
        <item x="339"/>
        <item x="518"/>
        <item x="250"/>
        <item x="901"/>
        <item x="681"/>
        <item x="698"/>
        <item x="649"/>
        <item x="290"/>
        <item x="683"/>
        <item x="892"/>
        <item x="867"/>
        <item x="348"/>
        <item x="782"/>
        <item x="562"/>
        <item x="315"/>
        <item x="586"/>
        <item x="756"/>
        <item x="189"/>
        <item x="920"/>
        <item x="671"/>
        <item x="2"/>
        <item x="506"/>
        <item x="792"/>
        <item x="703"/>
        <item x="643"/>
        <item x="851"/>
        <item x="610"/>
        <item x="349"/>
        <item x="531"/>
        <item x="575"/>
        <item x="251"/>
        <item x="675"/>
        <item x="64"/>
        <item x="377"/>
        <item x="467"/>
        <item x="670"/>
        <item x="560"/>
        <item x="749"/>
        <item x="886"/>
        <item x="814"/>
        <item x="802"/>
        <item x="796"/>
        <item x="566"/>
        <item x="118"/>
        <item x="622"/>
        <item x="658"/>
        <item x="696"/>
        <item x="517"/>
        <item x="933"/>
        <item x="873"/>
        <item x="537"/>
        <item x="800"/>
        <item x="915"/>
        <item x="817"/>
        <item x="12"/>
        <item x="529"/>
        <item x="650"/>
        <item x="106"/>
        <item x="103"/>
        <item x="323"/>
        <item x="776"/>
        <item x="906"/>
        <item x="930"/>
        <item x="801"/>
        <item x="713"/>
        <item x="474"/>
        <item x="149"/>
        <item x="656"/>
        <item x="868"/>
        <item x="799"/>
        <item x="778"/>
        <item x="847"/>
        <item x="274"/>
        <item x="810"/>
        <item x="916"/>
        <item x="809"/>
        <item x="447"/>
        <item x="764"/>
        <item x="360"/>
        <item x="731"/>
        <item x="493"/>
        <item x="795"/>
        <item x="663"/>
        <item x="185"/>
        <item x="87"/>
        <item x="481"/>
        <item x="177"/>
        <item x="784"/>
        <item x="819"/>
        <item x="519"/>
        <item x="584"/>
        <item x="717"/>
        <item x="700"/>
        <item x="637"/>
        <item x="839"/>
        <item x="44"/>
        <item x="837"/>
        <item x="525"/>
        <item x="40"/>
        <item x="652"/>
        <item x="131"/>
        <item x="838"/>
        <item x="692"/>
        <item x="510"/>
        <item x="223"/>
        <item x="825"/>
        <item x="516"/>
        <item x="786"/>
        <item x="513"/>
        <item x="907"/>
        <item x="714"/>
        <item x="662"/>
        <item x="770"/>
        <item x="311"/>
        <item x="878"/>
        <item x="865"/>
        <item x="924"/>
        <item x="927"/>
        <item x="912"/>
        <item x="688"/>
        <item x="891"/>
        <item x="284"/>
        <item x="781"/>
        <item x="676"/>
        <item x="96"/>
        <item x="747"/>
        <item x="373"/>
        <item x="694"/>
        <item x="806"/>
        <item x="31"/>
        <item x="621"/>
        <item x="416"/>
        <item x="616"/>
        <item x="488"/>
        <item x="626"/>
        <item x="832"/>
        <item x="648"/>
        <item x="880"/>
        <item x="815"/>
        <item x="640"/>
        <item x="499"/>
        <item x="917"/>
        <item x="896"/>
        <item x="702"/>
        <item x="712"/>
        <item x="36"/>
        <item x="914"/>
        <item x="645"/>
        <item x="437"/>
        <item x="718"/>
        <item x="848"/>
        <item x="708"/>
        <item x="833"/>
        <item x="894"/>
        <item t="default"/>
      </items>
    </pivotField>
    <pivotField showAll="0"/>
    <pivotField numFmtId="15"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numFmtId="15" showAll="0"/>
    <pivotField showAll="0"/>
    <pivotField showAll="0">
      <items count="6">
        <item x="0"/>
        <item x="3"/>
        <item x="4"/>
        <item x="2"/>
        <item x="1"/>
        <item t="default"/>
      </items>
    </pivotField>
    <pivotField showAll="0"/>
    <pivotField showAll="0"/>
    <pivotField showAll="0"/>
    <pivotField showAll="0">
      <items count="16">
        <item x="7"/>
        <item x="3"/>
        <item x="1"/>
        <item x="2"/>
        <item x="5"/>
        <item x="0"/>
        <item x="4"/>
        <item x="6"/>
        <item x="9"/>
        <item x="8"/>
        <item x="14"/>
        <item x="11"/>
        <item x="13"/>
        <item x="10"/>
        <item x="12"/>
        <item t="default"/>
      </items>
    </pivotField>
    <pivotField showAll="0"/>
    <pivotField showAll="0">
      <items count="5">
        <item x="2"/>
        <item x="1"/>
        <item x="3"/>
        <item x="0"/>
        <item t="default"/>
      </items>
    </pivotField>
    <pivotField axis="axisRow" showAll="0">
      <items count="8">
        <item sd="0" x="0"/>
        <item sd="0" x="1"/>
        <item sd="0" x="2"/>
        <item sd="0" x="4"/>
        <item sd="0" x="3"/>
        <item n="6-10" x="5"/>
        <item n="Above 10" x="6"/>
        <item t="default"/>
      </items>
    </pivotField>
    <pivotField showAll="0">
      <items count="10">
        <item x="5"/>
        <item x="3"/>
        <item x="1"/>
        <item x="2"/>
        <item x="4"/>
        <item x="0"/>
        <item x="8"/>
        <item x="6"/>
        <item x="7"/>
        <item t="default"/>
      </items>
    </pivotField>
    <pivotField showAll="0">
      <items count="15">
        <item x="0"/>
        <item x="1"/>
        <item x="2"/>
        <item x="3"/>
        <item x="4"/>
        <item x="5"/>
        <item x="6"/>
        <item x="7"/>
        <item x="8"/>
        <item x="9"/>
        <item x="10"/>
        <item x="11"/>
        <item x="12"/>
        <item x="13"/>
        <item t="default"/>
      </items>
    </pivotField>
    <pivotField showAll="0">
      <items count="201">
        <item x="4"/>
        <item x="198"/>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199"/>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0"/>
        <item x="1"/>
        <item x="2"/>
        <item x="3"/>
        <item t="default"/>
      </items>
    </pivotField>
  </pivotFields>
  <rowFields count="1">
    <field x="15"/>
  </rowFields>
  <rowItems count="8">
    <i>
      <x/>
    </i>
    <i>
      <x v="1"/>
    </i>
    <i>
      <x v="2"/>
    </i>
    <i>
      <x v="3"/>
    </i>
    <i>
      <x v="4"/>
    </i>
    <i>
      <x v="5"/>
    </i>
    <i>
      <x v="6"/>
    </i>
    <i t="grand">
      <x/>
    </i>
  </rowItems>
  <colItems count="1">
    <i/>
  </colItems>
  <dataFields count="1">
    <dataField name="Count of TX ID" fld="0" subtotal="count" baseField="0" baseItem="0"/>
  </dataFields>
  <chartFormats count="1">
    <chartFormat chart="3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7200FEC-B637-4E2C-95F6-E65C58B96B53}" name="PvtCheck"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C131:G132" firstHeaderRow="0" firstDataRow="1" firstDataCol="0" rowPageCount="2" colPageCount="1"/>
  <pivotFields count="19">
    <pivotField dataField="1" showAll="0"/>
    <pivotField showAll="0"/>
    <pivotField dataField="1"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items count="935">
        <item x="178"/>
        <item x="159"/>
        <item x="97"/>
        <item x="441"/>
        <item x="265"/>
        <item x="401"/>
        <item x="0"/>
        <item x="408"/>
        <item x="229"/>
        <item x="370"/>
        <item x="61"/>
        <item x="463"/>
        <item x="860"/>
        <item x="604"/>
        <item x="426"/>
        <item x="608"/>
        <item x="877"/>
        <item x="932"/>
        <item x="822"/>
        <item x="150"/>
        <item x="335"/>
        <item x="885"/>
        <item x="888"/>
        <item x="169"/>
        <item x="609"/>
        <item x="826"/>
        <item x="905"/>
        <item x="862"/>
        <item x="270"/>
        <item x="221"/>
        <item x="503"/>
        <item x="476"/>
        <item x="536"/>
        <item x="388"/>
        <item x="678"/>
        <item x="455"/>
        <item x="83"/>
        <item x="255"/>
        <item x="137"/>
        <item x="35"/>
        <item x="496"/>
        <item x="398"/>
        <item x="342"/>
        <item x="261"/>
        <item x="857"/>
        <item x="655"/>
        <item x="879"/>
        <item x="639"/>
        <item x="569"/>
        <item x="384"/>
        <item x="929"/>
        <item x="771"/>
        <item x="727"/>
        <item x="161"/>
        <item x="893"/>
        <item x="25"/>
        <item x="228"/>
        <item x="130"/>
        <item x="71"/>
        <item x="53"/>
        <item x="606"/>
        <item x="762"/>
        <item x="383"/>
        <item x="856"/>
        <item x="99"/>
        <item x="465"/>
        <item x="585"/>
        <item x="333"/>
        <item x="104"/>
        <item x="129"/>
        <item x="30"/>
        <item x="359"/>
        <item x="55"/>
        <item x="918"/>
        <item x="415"/>
        <item x="266"/>
        <item x="478"/>
        <item x="82"/>
        <item x="157"/>
        <item x="490"/>
        <item x="260"/>
        <item x="736"/>
        <item x="127"/>
        <item x="293"/>
        <item x="580"/>
        <item x="468"/>
        <item x="289"/>
        <item x="390"/>
        <item x="588"/>
        <item x="65"/>
        <item x="438"/>
        <item x="191"/>
        <item x="210"/>
        <item x="302"/>
        <item x="332"/>
        <item x="592"/>
        <item x="33"/>
        <item x="301"/>
        <item x="421"/>
        <item x="595"/>
        <item x="237"/>
        <item x="597"/>
        <item x="208"/>
        <item x="9"/>
        <item x="243"/>
        <item x="351"/>
        <item x="188"/>
        <item x="625"/>
        <item x="409"/>
        <item x="887"/>
        <item x="59"/>
        <item x="372"/>
        <item x="121"/>
        <item x="139"/>
        <item x="234"/>
        <item x="174"/>
        <item x="483"/>
        <item x="273"/>
        <item x="209"/>
        <item x="661"/>
        <item x="512"/>
        <item x="51"/>
        <item x="278"/>
        <item x="249"/>
        <item x="362"/>
        <item x="605"/>
        <item x="486"/>
        <item x="187"/>
        <item x="769"/>
        <item x="403"/>
        <item x="19"/>
        <item x="631"/>
        <item x="855"/>
        <item x="423"/>
        <item x="170"/>
        <item x="679"/>
        <item x="136"/>
        <item x="122"/>
        <item x="269"/>
        <item x="615"/>
        <item x="457"/>
        <item x="133"/>
        <item x="23"/>
        <item x="38"/>
        <item x="439"/>
        <item x="494"/>
        <item x="48"/>
        <item x="436"/>
        <item x="49"/>
        <item x="399"/>
        <item x="295"/>
        <item x="807"/>
        <item x="336"/>
        <item x="231"/>
        <item x="843"/>
        <item x="389"/>
        <item x="646"/>
        <item x="343"/>
        <item x="627"/>
        <item x="257"/>
        <item x="742"/>
        <item x="805"/>
        <item x="70"/>
        <item x="365"/>
        <item x="85"/>
        <item x="167"/>
        <item x="144"/>
        <item x="538"/>
        <item x="690"/>
        <item x="581"/>
        <item x="402"/>
        <item x="143"/>
        <item x="647"/>
        <item x="669"/>
        <item x="686"/>
        <item x="47"/>
        <item x="755"/>
        <item x="32"/>
        <item x="500"/>
        <item x="90"/>
        <item x="224"/>
        <item x="165"/>
        <item x="248"/>
        <item x="162"/>
        <item x="1"/>
        <item x="630"/>
        <item x="607"/>
        <item x="15"/>
        <item x="452"/>
        <item x="16"/>
        <item x="63"/>
        <item x="375"/>
        <item x="541"/>
        <item x="217"/>
        <item x="680"/>
        <item x="132"/>
        <item x="216"/>
        <item x="590"/>
        <item x="34"/>
        <item x="201"/>
        <item x="380"/>
        <item x="240"/>
        <item x="498"/>
        <item x="504"/>
        <item x="101"/>
        <item x="195"/>
        <item x="413"/>
        <item x="619"/>
        <item x="614"/>
        <item x="199"/>
        <item x="846"/>
        <item x="57"/>
        <item x="172"/>
        <item x="232"/>
        <item x="570"/>
        <item x="532"/>
        <item x="601"/>
        <item x="412"/>
        <item x="324"/>
        <item x="268"/>
        <item x="120"/>
        <item x="695"/>
        <item x="766"/>
        <item x="176"/>
        <item x="292"/>
        <item x="267"/>
        <item x="271"/>
        <item x="775"/>
        <item x="334"/>
        <item x="200"/>
        <item x="341"/>
        <item x="908"/>
        <item x="803"/>
        <item x="533"/>
        <item x="8"/>
        <item x="385"/>
        <item x="275"/>
        <item x="307"/>
        <item x="160"/>
        <item x="310"/>
        <item x="791"/>
        <item x="128"/>
        <item x="355"/>
        <item x="17"/>
        <item x="294"/>
        <item x="78"/>
        <item x="711"/>
        <item x="571"/>
        <item x="719"/>
        <item x="790"/>
        <item x="105"/>
        <item x="484"/>
        <item x="151"/>
        <item x="410"/>
        <item x="3"/>
        <item x="256"/>
        <item x="430"/>
        <item x="545"/>
        <item x="202"/>
        <item x="751"/>
        <item x="629"/>
        <item x="153"/>
        <item x="392"/>
        <item x="26"/>
        <item x="665"/>
        <item x="400"/>
        <item x="37"/>
        <item x="644"/>
        <item x="406"/>
        <item x="418"/>
        <item x="632"/>
        <item x="557"/>
        <item x="180"/>
        <item x="138"/>
        <item x="759"/>
        <item x="811"/>
        <item x="152"/>
        <item x="464"/>
        <item x="931"/>
        <item x="7"/>
        <item x="664"/>
        <item x="145"/>
        <item x="722"/>
        <item x="253"/>
        <item x="363"/>
        <item x="446"/>
        <item x="29"/>
        <item x="758"/>
        <item x="387"/>
        <item x="397"/>
        <item x="50"/>
        <item x="329"/>
        <item x="654"/>
        <item x="52"/>
        <item x="80"/>
        <item x="245"/>
        <item x="300"/>
        <item x="624"/>
        <item x="567"/>
        <item x="318"/>
        <item x="394"/>
        <item x="687"/>
        <item x="325"/>
        <item x="272"/>
        <item x="443"/>
        <item x="429"/>
        <item x="280"/>
        <item x="39"/>
        <item x="522"/>
        <item x="705"/>
        <item x="171"/>
        <item x="347"/>
        <item x="458"/>
        <item x="535"/>
        <item x="20"/>
        <item x="910"/>
        <item x="548"/>
        <item x="369"/>
        <item x="236"/>
        <item x="112"/>
        <item x="73"/>
        <item x="239"/>
        <item x="926"/>
        <item x="613"/>
        <item x="788"/>
        <item x="125"/>
        <item x="303"/>
        <item x="226"/>
        <item x="291"/>
        <item x="299"/>
        <item x="102"/>
        <item x="600"/>
        <item x="357"/>
        <item x="108"/>
        <item x="511"/>
        <item x="206"/>
        <item x="544"/>
        <item x="354"/>
        <item x="193"/>
        <item x="425"/>
        <item x="340"/>
        <item x="587"/>
        <item x="594"/>
        <item x="21"/>
        <item x="84"/>
        <item x="528"/>
        <item x="642"/>
        <item x="344"/>
        <item x="550"/>
        <item x="219"/>
        <item x="68"/>
        <item x="356"/>
        <item x="672"/>
        <item x="134"/>
        <item x="367"/>
        <item x="196"/>
        <item x="142"/>
        <item x="297"/>
        <item x="591"/>
        <item x="72"/>
        <item x="286"/>
        <item x="379"/>
        <item x="242"/>
        <item x="126"/>
        <item x="816"/>
        <item x="11"/>
        <item x="182"/>
        <item x="364"/>
        <item x="660"/>
        <item x="183"/>
        <item x="432"/>
        <item x="659"/>
        <item x="235"/>
        <item x="850"/>
        <item x="308"/>
        <item x="869"/>
        <item x="534"/>
        <item x="612"/>
        <item x="88"/>
        <item x="93"/>
        <item x="79"/>
        <item x="155"/>
        <item x="179"/>
        <item x="28"/>
        <item x="707"/>
        <item x="18"/>
        <item x="440"/>
        <item x="353"/>
        <item x="258"/>
        <item x="599"/>
        <item x="728"/>
        <item x="309"/>
        <item x="147"/>
        <item x="424"/>
        <item x="168"/>
        <item x="184"/>
        <item x="793"/>
        <item x="574"/>
        <item x="515"/>
        <item x="166"/>
        <item x="699"/>
        <item x="119"/>
        <item x="434"/>
        <item x="422"/>
        <item x="98"/>
        <item x="213"/>
        <item x="459"/>
        <item x="230"/>
        <item x="789"/>
        <item x="582"/>
        <item x="526"/>
        <item x="589"/>
        <item x="190"/>
        <item x="641"/>
        <item x="715"/>
        <item x="706"/>
        <item x="352"/>
        <item x="10"/>
        <item x="42"/>
        <item x="514"/>
        <item x="86"/>
        <item x="76"/>
        <item x="123"/>
        <item x="173"/>
        <item x="282"/>
        <item x="204"/>
        <item x="6"/>
        <item x="842"/>
        <item x="572"/>
        <item x="495"/>
        <item x="740"/>
        <item x="502"/>
        <item x="218"/>
        <item x="628"/>
        <item x="634"/>
        <item x="623"/>
        <item x="576"/>
        <item x="448"/>
        <item x="472"/>
        <item x="4"/>
        <item x="382"/>
        <item x="881"/>
        <item x="551"/>
        <item x="140"/>
        <item x="27"/>
        <item x="405"/>
        <item x="214"/>
        <item x="884"/>
        <item x="222"/>
        <item x="461"/>
        <item x="211"/>
        <item x="787"/>
        <item x="491"/>
        <item x="215"/>
        <item x="296"/>
        <item x="207"/>
        <item x="277"/>
        <item x="635"/>
        <item x="75"/>
        <item x="785"/>
        <item x="466"/>
        <item x="395"/>
        <item x="721"/>
        <item x="523"/>
        <item x="737"/>
        <item x="542"/>
        <item x="233"/>
        <item x="684"/>
        <item x="115"/>
        <item x="396"/>
        <item x="316"/>
        <item x="841"/>
        <item x="110"/>
        <item x="738"/>
        <item x="322"/>
        <item x="247"/>
        <item x="530"/>
        <item x="701"/>
        <item x="552"/>
        <item x="553"/>
        <item x="156"/>
        <item x="501"/>
        <item x="750"/>
        <item x="148"/>
        <item x="854"/>
        <item x="89"/>
        <item x="480"/>
        <item x="227"/>
        <item x="547"/>
        <item x="205"/>
        <item x="198"/>
        <item x="556"/>
        <item x="470"/>
        <item x="366"/>
        <item x="829"/>
        <item x="407"/>
        <item x="821"/>
        <item x="94"/>
        <item x="56"/>
        <item x="113"/>
        <item x="734"/>
        <item x="427"/>
        <item x="305"/>
        <item x="46"/>
        <item x="259"/>
        <item x="565"/>
        <item x="761"/>
        <item x="444"/>
        <item x="58"/>
        <item x="780"/>
        <item x="281"/>
        <item x="554"/>
        <item x="337"/>
        <item x="497"/>
        <item x="92"/>
        <item x="146"/>
        <item x="203"/>
        <item x="225"/>
        <item x="456"/>
        <item x="313"/>
        <item x="404"/>
        <item x="834"/>
        <item x="244"/>
        <item x="779"/>
        <item x="757"/>
        <item x="667"/>
        <item x="730"/>
        <item x="633"/>
        <item x="563"/>
        <item x="450"/>
        <item x="14"/>
        <item x="114"/>
        <item x="668"/>
        <item x="783"/>
        <item x="618"/>
        <item x="748"/>
        <item x="246"/>
        <item x="212"/>
        <item x="509"/>
        <item x="469"/>
        <item x="666"/>
        <item x="735"/>
        <item x="197"/>
        <item x="704"/>
        <item x="657"/>
        <item x="419"/>
        <item x="43"/>
        <item x="596"/>
        <item x="794"/>
        <item x="725"/>
        <item x="192"/>
        <item x="276"/>
        <item x="62"/>
        <item x="327"/>
        <item x="135"/>
        <item x="181"/>
        <item x="393"/>
        <item x="330"/>
        <item x="579"/>
        <item x="163"/>
        <item x="673"/>
        <item x="451"/>
        <item x="264"/>
        <item x="911"/>
        <item x="431"/>
        <item x="578"/>
        <item x="471"/>
        <item x="45"/>
        <item x="60"/>
        <item x="760"/>
        <item x="254"/>
        <item x="674"/>
        <item x="598"/>
        <item x="925"/>
        <item x="928"/>
        <item x="774"/>
        <item x="866"/>
        <item x="489"/>
        <item x="583"/>
        <item x="462"/>
        <item x="559"/>
        <item x="391"/>
        <item x="524"/>
        <item x="899"/>
        <item x="111"/>
        <item x="378"/>
        <item x="651"/>
        <item x="508"/>
        <item x="773"/>
        <item x="858"/>
        <item x="326"/>
        <item x="746"/>
        <item x="603"/>
        <item x="417"/>
        <item x="752"/>
        <item x="492"/>
        <item x="91"/>
        <item x="285"/>
        <item x="487"/>
        <item x="374"/>
        <item x="913"/>
        <item x="577"/>
        <item x="859"/>
        <item x="124"/>
        <item x="836"/>
        <item x="823"/>
        <item x="164"/>
        <item x="767"/>
        <item x="903"/>
        <item x="107"/>
        <item x="897"/>
        <item x="741"/>
        <item x="828"/>
        <item x="863"/>
        <item x="81"/>
        <item x="693"/>
        <item x="312"/>
        <item x="777"/>
        <item x="710"/>
        <item x="505"/>
        <item x="158"/>
        <item x="473"/>
        <item x="898"/>
        <item x="716"/>
        <item x="685"/>
        <item x="77"/>
        <item x="561"/>
        <item x="414"/>
        <item x="546"/>
        <item x="304"/>
        <item x="22"/>
        <item x="442"/>
        <item x="889"/>
        <item x="454"/>
        <item x="611"/>
        <item x="902"/>
        <item x="697"/>
        <item x="853"/>
        <item x="41"/>
        <item x="827"/>
        <item x="262"/>
        <item x="328"/>
        <item x="830"/>
        <item x="870"/>
        <item x="453"/>
        <item x="521"/>
        <item x="186"/>
        <item x="428"/>
        <item x="844"/>
        <item x="220"/>
        <item x="921"/>
        <item x="682"/>
        <item x="445"/>
        <item x="890"/>
        <item x="321"/>
        <item x="298"/>
        <item x="5"/>
        <item x="331"/>
        <item x="371"/>
        <item x="861"/>
        <item x="922"/>
        <item x="726"/>
        <item x="883"/>
        <item x="636"/>
        <item x="872"/>
        <item x="845"/>
        <item x="100"/>
        <item x="798"/>
        <item x="288"/>
        <item x="564"/>
        <item x="555"/>
        <item x="345"/>
        <item x="874"/>
        <item x="744"/>
        <item x="602"/>
        <item x="376"/>
        <item x="909"/>
        <item x="768"/>
        <item x="753"/>
        <item x="449"/>
        <item x="804"/>
        <item x="797"/>
        <item x="813"/>
        <item x="507"/>
        <item x="154"/>
        <item x="479"/>
        <item x="724"/>
        <item x="808"/>
        <item x="317"/>
        <item x="691"/>
        <item x="241"/>
        <item x="117"/>
        <item x="745"/>
        <item x="13"/>
        <item x="689"/>
        <item x="723"/>
        <item x="24"/>
        <item x="527"/>
        <item x="346"/>
        <item x="66"/>
        <item x="69"/>
        <item x="141"/>
        <item x="314"/>
        <item x="763"/>
        <item x="411"/>
        <item x="238"/>
        <item x="677"/>
        <item x="820"/>
        <item x="54"/>
        <item x="338"/>
        <item x="739"/>
        <item x="116"/>
        <item x="754"/>
        <item x="638"/>
        <item x="520"/>
        <item x="923"/>
        <item x="109"/>
        <item x="306"/>
        <item x="368"/>
        <item x="743"/>
        <item x="283"/>
        <item x="824"/>
        <item x="95"/>
        <item x="895"/>
        <item x="420"/>
        <item x="252"/>
        <item x="482"/>
        <item x="864"/>
        <item x="477"/>
        <item x="568"/>
        <item x="381"/>
        <item x="831"/>
        <item x="263"/>
        <item x="573"/>
        <item x="840"/>
        <item x="549"/>
        <item x="350"/>
        <item x="732"/>
        <item x="558"/>
        <item x="812"/>
        <item x="433"/>
        <item x="900"/>
        <item x="876"/>
        <item x="849"/>
        <item x="194"/>
        <item x="818"/>
        <item x="871"/>
        <item x="67"/>
        <item x="709"/>
        <item x="475"/>
        <item x="729"/>
        <item x="543"/>
        <item x="287"/>
        <item x="539"/>
        <item x="765"/>
        <item x="358"/>
        <item x="279"/>
        <item x="361"/>
        <item x="875"/>
        <item x="620"/>
        <item x="320"/>
        <item x="919"/>
        <item x="435"/>
        <item x="904"/>
        <item x="835"/>
        <item x="540"/>
        <item x="593"/>
        <item x="772"/>
        <item x="386"/>
        <item x="319"/>
        <item x="74"/>
        <item x="175"/>
        <item x="653"/>
        <item x="617"/>
        <item x="852"/>
        <item x="720"/>
        <item x="485"/>
        <item x="882"/>
        <item x="733"/>
        <item x="460"/>
        <item x="339"/>
        <item x="518"/>
        <item x="250"/>
        <item x="901"/>
        <item x="681"/>
        <item x="698"/>
        <item x="649"/>
        <item x="290"/>
        <item x="683"/>
        <item x="892"/>
        <item x="867"/>
        <item x="348"/>
        <item x="782"/>
        <item x="562"/>
        <item x="315"/>
        <item x="586"/>
        <item x="756"/>
        <item x="189"/>
        <item x="920"/>
        <item x="671"/>
        <item x="2"/>
        <item x="506"/>
        <item x="792"/>
        <item x="703"/>
        <item x="643"/>
        <item x="851"/>
        <item x="610"/>
        <item x="349"/>
        <item x="531"/>
        <item x="575"/>
        <item x="251"/>
        <item x="675"/>
        <item x="64"/>
        <item x="377"/>
        <item x="467"/>
        <item x="670"/>
        <item x="560"/>
        <item x="749"/>
        <item x="886"/>
        <item x="814"/>
        <item x="802"/>
        <item x="796"/>
        <item x="566"/>
        <item x="118"/>
        <item x="622"/>
        <item x="658"/>
        <item x="696"/>
        <item x="517"/>
        <item x="933"/>
        <item x="873"/>
        <item x="537"/>
        <item x="800"/>
        <item x="915"/>
        <item x="817"/>
        <item x="12"/>
        <item x="529"/>
        <item x="650"/>
        <item x="106"/>
        <item x="103"/>
        <item x="323"/>
        <item x="776"/>
        <item x="906"/>
        <item x="930"/>
        <item x="801"/>
        <item x="713"/>
        <item x="474"/>
        <item x="149"/>
        <item x="656"/>
        <item x="868"/>
        <item x="799"/>
        <item x="778"/>
        <item x="847"/>
        <item x="274"/>
        <item x="810"/>
        <item x="916"/>
        <item x="809"/>
        <item x="447"/>
        <item x="764"/>
        <item x="360"/>
        <item x="731"/>
        <item x="493"/>
        <item x="795"/>
        <item x="663"/>
        <item x="185"/>
        <item x="87"/>
        <item x="481"/>
        <item x="177"/>
        <item x="784"/>
        <item x="819"/>
        <item x="519"/>
        <item x="584"/>
        <item x="717"/>
        <item x="700"/>
        <item x="637"/>
        <item x="839"/>
        <item x="44"/>
        <item x="837"/>
        <item x="525"/>
        <item x="40"/>
        <item x="652"/>
        <item x="131"/>
        <item x="838"/>
        <item x="692"/>
        <item x="510"/>
        <item x="223"/>
        <item x="825"/>
        <item x="516"/>
        <item x="786"/>
        <item x="513"/>
        <item x="907"/>
        <item x="714"/>
        <item x="662"/>
        <item x="770"/>
        <item x="311"/>
        <item x="878"/>
        <item x="865"/>
        <item x="924"/>
        <item x="927"/>
        <item x="912"/>
        <item x="688"/>
        <item x="891"/>
        <item x="284"/>
        <item x="781"/>
        <item x="676"/>
        <item x="96"/>
        <item x="747"/>
        <item x="373"/>
        <item x="694"/>
        <item x="806"/>
        <item x="31"/>
        <item x="621"/>
        <item x="416"/>
        <item x="616"/>
        <item x="488"/>
        <item x="626"/>
        <item x="832"/>
        <item x="648"/>
        <item x="880"/>
        <item x="815"/>
        <item x="640"/>
        <item x="499"/>
        <item x="917"/>
        <item x="896"/>
        <item x="702"/>
        <item x="712"/>
        <item x="36"/>
        <item x="914"/>
        <item x="645"/>
        <item x="437"/>
        <item x="718"/>
        <item x="848"/>
        <item x="708"/>
        <item x="833"/>
        <item x="894"/>
        <item t="default"/>
      </items>
    </pivotField>
    <pivotField dataField="1" showAll="0"/>
    <pivotField numFmtId="15"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numFmtId="15" showAll="0"/>
    <pivotField showAll="0"/>
    <pivotField axis="axisPage" showAll="0">
      <items count="6">
        <item x="0"/>
        <item x="3"/>
        <item x="4"/>
        <item x="2"/>
        <item x="1"/>
        <item t="default"/>
      </items>
    </pivotField>
    <pivotField dataField="1" showAll="0"/>
    <pivotField showAll="0"/>
    <pivotField showAll="0"/>
    <pivotField dataField="1" showAll="0">
      <items count="16">
        <item x="7"/>
        <item x="3"/>
        <item x="1"/>
        <item x="2"/>
        <item x="5"/>
        <item x="0"/>
        <item x="4"/>
        <item x="6"/>
        <item x="9"/>
        <item x="8"/>
        <item x="14"/>
        <item x="11"/>
        <item x="13"/>
        <item x="10"/>
        <item x="12"/>
        <item t="default"/>
      </items>
    </pivotField>
    <pivotField showAll="0"/>
    <pivotField axis="axisPage" showAll="0">
      <items count="5">
        <item x="2"/>
        <item x="1"/>
        <item x="3"/>
        <item x="0"/>
        <item t="default"/>
      </items>
    </pivotField>
    <pivotField showAll="0">
      <items count="8">
        <item x="0"/>
        <item x="1"/>
        <item x="2"/>
        <item x="4"/>
        <item x="3"/>
        <item x="5"/>
        <item x="6"/>
        <item t="default"/>
      </items>
    </pivotField>
    <pivotField showAll="0">
      <items count="10">
        <item x="5"/>
        <item x="3"/>
        <item x="1"/>
        <item x="2"/>
        <item x="4"/>
        <item x="0"/>
        <item x="8"/>
        <item x="6"/>
        <item x="7"/>
        <item t="default"/>
      </items>
    </pivotField>
    <pivotField showAll="0">
      <items count="15">
        <item x="0"/>
        <item x="1"/>
        <item x="2"/>
        <item x="3"/>
        <item x="4"/>
        <item x="5"/>
        <item x="6"/>
        <item x="7"/>
        <item x="8"/>
        <item x="9"/>
        <item x="10"/>
        <item x="11"/>
        <item x="12"/>
        <item x="13"/>
        <item t="default"/>
      </items>
    </pivotField>
    <pivotField showAll="0">
      <items count="201">
        <item x="4"/>
        <item x="198"/>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199"/>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0"/>
        <item x="1"/>
        <item x="2"/>
        <item x="3"/>
        <item t="default"/>
      </items>
    </pivotField>
  </pivotFields>
  <rowItems count="1">
    <i/>
  </rowItems>
  <colFields count="1">
    <field x="-2"/>
  </colFields>
  <colItems count="5">
    <i>
      <x/>
    </i>
    <i i="1">
      <x v="1"/>
    </i>
    <i i="2">
      <x v="2"/>
    </i>
    <i i="3">
      <x v="3"/>
    </i>
    <i i="4">
      <x v="4"/>
    </i>
  </colItems>
  <pageFields count="2">
    <pageField fld="8" hier="-1"/>
    <pageField fld="14" hier="-1"/>
  </pageFields>
  <dataFields count="5">
    <dataField name="Count of TX ID" fld="0" subtotal="count" baseField="0" baseItem="0"/>
    <dataField name="Sum of Quantity" fld="2" baseField="0" baseItem="0"/>
    <dataField name="Sum of Amount" fld="4" baseField="0" baseItem="2"/>
    <dataField name="Average of Rating C" fld="9" subtotal="average" baseField="0" baseItem="3"/>
    <dataField name="Average of Days to Deliver" fld="12" subtotal="average" baseField="0" baseItem="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8B09D87-4C0A-4483-B709-98319119B6F1}" name="PvtRating"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74" rowHeaderCaption="Quantity">
  <location ref="F113:L118" firstHeaderRow="1" firstDataRow="2" firstDataCol="1"/>
  <pivotFields count="19">
    <pivotField dataField="1" showAll="0" maxSubtotal="1"/>
    <pivotField showAll="0"/>
    <pivotField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items count="935">
        <item x="178"/>
        <item x="159"/>
        <item x="97"/>
        <item x="441"/>
        <item x="265"/>
        <item x="401"/>
        <item x="0"/>
        <item x="408"/>
        <item x="229"/>
        <item x="370"/>
        <item x="61"/>
        <item x="463"/>
        <item x="860"/>
        <item x="604"/>
        <item x="426"/>
        <item x="608"/>
        <item x="877"/>
        <item x="932"/>
        <item x="822"/>
        <item x="150"/>
        <item x="335"/>
        <item x="885"/>
        <item x="888"/>
        <item x="169"/>
        <item x="609"/>
        <item x="826"/>
        <item x="905"/>
        <item x="862"/>
        <item x="270"/>
        <item x="221"/>
        <item x="503"/>
        <item x="476"/>
        <item x="536"/>
        <item x="388"/>
        <item x="678"/>
        <item x="455"/>
        <item x="83"/>
        <item x="255"/>
        <item x="137"/>
        <item x="35"/>
        <item x="496"/>
        <item x="398"/>
        <item x="342"/>
        <item x="261"/>
        <item x="857"/>
        <item x="655"/>
        <item x="879"/>
        <item x="639"/>
        <item x="569"/>
        <item x="384"/>
        <item x="929"/>
        <item x="771"/>
        <item x="727"/>
        <item x="161"/>
        <item x="893"/>
        <item x="25"/>
        <item x="228"/>
        <item x="130"/>
        <item x="71"/>
        <item x="53"/>
        <item x="606"/>
        <item x="762"/>
        <item x="383"/>
        <item x="856"/>
        <item x="99"/>
        <item x="465"/>
        <item x="585"/>
        <item x="333"/>
        <item x="104"/>
        <item x="129"/>
        <item x="30"/>
        <item x="359"/>
        <item x="55"/>
        <item x="918"/>
        <item x="415"/>
        <item x="266"/>
        <item x="478"/>
        <item x="82"/>
        <item x="157"/>
        <item x="490"/>
        <item x="260"/>
        <item x="736"/>
        <item x="127"/>
        <item x="293"/>
        <item x="580"/>
        <item x="468"/>
        <item x="289"/>
        <item x="390"/>
        <item x="588"/>
        <item x="65"/>
        <item x="438"/>
        <item x="191"/>
        <item x="210"/>
        <item x="302"/>
        <item x="332"/>
        <item x="592"/>
        <item x="33"/>
        <item x="301"/>
        <item x="421"/>
        <item x="595"/>
        <item x="237"/>
        <item x="597"/>
        <item x="208"/>
        <item x="9"/>
        <item x="243"/>
        <item x="351"/>
        <item x="188"/>
        <item x="625"/>
        <item x="409"/>
        <item x="887"/>
        <item x="59"/>
        <item x="372"/>
        <item x="121"/>
        <item x="139"/>
        <item x="234"/>
        <item x="174"/>
        <item x="483"/>
        <item x="273"/>
        <item x="209"/>
        <item x="661"/>
        <item x="512"/>
        <item x="51"/>
        <item x="278"/>
        <item x="249"/>
        <item x="362"/>
        <item x="605"/>
        <item x="486"/>
        <item x="187"/>
        <item x="769"/>
        <item x="403"/>
        <item x="19"/>
        <item x="631"/>
        <item x="855"/>
        <item x="423"/>
        <item x="170"/>
        <item x="679"/>
        <item x="136"/>
        <item x="122"/>
        <item x="269"/>
        <item x="615"/>
        <item x="457"/>
        <item x="133"/>
        <item x="23"/>
        <item x="38"/>
        <item x="439"/>
        <item x="494"/>
        <item x="48"/>
        <item x="436"/>
        <item x="49"/>
        <item x="399"/>
        <item x="295"/>
        <item x="807"/>
        <item x="336"/>
        <item x="231"/>
        <item x="843"/>
        <item x="389"/>
        <item x="646"/>
        <item x="343"/>
        <item x="627"/>
        <item x="257"/>
        <item x="742"/>
        <item x="805"/>
        <item x="70"/>
        <item x="365"/>
        <item x="85"/>
        <item x="167"/>
        <item x="144"/>
        <item x="538"/>
        <item x="690"/>
        <item x="581"/>
        <item x="402"/>
        <item x="143"/>
        <item x="647"/>
        <item x="669"/>
        <item x="686"/>
        <item x="47"/>
        <item x="755"/>
        <item x="32"/>
        <item x="500"/>
        <item x="90"/>
        <item x="224"/>
        <item x="165"/>
        <item x="248"/>
        <item x="162"/>
        <item x="1"/>
        <item x="630"/>
        <item x="607"/>
        <item x="15"/>
        <item x="452"/>
        <item x="16"/>
        <item x="63"/>
        <item x="375"/>
        <item x="541"/>
        <item x="217"/>
        <item x="680"/>
        <item x="132"/>
        <item x="216"/>
        <item x="590"/>
        <item x="34"/>
        <item x="201"/>
        <item x="380"/>
        <item x="240"/>
        <item x="498"/>
        <item x="504"/>
        <item x="101"/>
        <item x="195"/>
        <item x="413"/>
        <item x="619"/>
        <item x="614"/>
        <item x="199"/>
        <item x="846"/>
        <item x="57"/>
        <item x="172"/>
        <item x="232"/>
        <item x="570"/>
        <item x="532"/>
        <item x="601"/>
        <item x="412"/>
        <item x="324"/>
        <item x="268"/>
        <item x="120"/>
        <item x="695"/>
        <item x="766"/>
        <item x="176"/>
        <item x="292"/>
        <item x="267"/>
        <item x="271"/>
        <item x="775"/>
        <item x="334"/>
        <item x="200"/>
        <item x="341"/>
        <item x="908"/>
        <item x="803"/>
        <item x="533"/>
        <item x="8"/>
        <item x="385"/>
        <item x="275"/>
        <item x="307"/>
        <item x="160"/>
        <item x="310"/>
        <item x="791"/>
        <item x="128"/>
        <item x="355"/>
        <item x="17"/>
        <item x="294"/>
        <item x="78"/>
        <item x="711"/>
        <item x="571"/>
        <item x="719"/>
        <item x="790"/>
        <item x="105"/>
        <item x="484"/>
        <item x="151"/>
        <item x="410"/>
        <item x="3"/>
        <item x="256"/>
        <item x="430"/>
        <item x="545"/>
        <item x="202"/>
        <item x="751"/>
        <item x="629"/>
        <item x="153"/>
        <item x="392"/>
        <item x="26"/>
        <item x="665"/>
        <item x="400"/>
        <item x="37"/>
        <item x="644"/>
        <item x="406"/>
        <item x="418"/>
        <item x="632"/>
        <item x="557"/>
        <item x="180"/>
        <item x="138"/>
        <item x="759"/>
        <item x="811"/>
        <item x="152"/>
        <item x="464"/>
        <item x="931"/>
        <item x="7"/>
        <item x="664"/>
        <item x="145"/>
        <item x="722"/>
        <item x="253"/>
        <item x="363"/>
        <item x="446"/>
        <item x="29"/>
        <item x="758"/>
        <item x="387"/>
        <item x="397"/>
        <item x="50"/>
        <item x="329"/>
        <item x="654"/>
        <item x="52"/>
        <item x="80"/>
        <item x="245"/>
        <item x="300"/>
        <item x="624"/>
        <item x="567"/>
        <item x="318"/>
        <item x="394"/>
        <item x="687"/>
        <item x="325"/>
        <item x="272"/>
        <item x="443"/>
        <item x="429"/>
        <item x="280"/>
        <item x="39"/>
        <item x="522"/>
        <item x="705"/>
        <item x="171"/>
        <item x="347"/>
        <item x="458"/>
        <item x="535"/>
        <item x="20"/>
        <item x="910"/>
        <item x="548"/>
        <item x="369"/>
        <item x="236"/>
        <item x="112"/>
        <item x="73"/>
        <item x="239"/>
        <item x="926"/>
        <item x="613"/>
        <item x="788"/>
        <item x="125"/>
        <item x="303"/>
        <item x="226"/>
        <item x="291"/>
        <item x="299"/>
        <item x="102"/>
        <item x="600"/>
        <item x="357"/>
        <item x="108"/>
        <item x="511"/>
        <item x="206"/>
        <item x="544"/>
        <item x="354"/>
        <item x="193"/>
        <item x="425"/>
        <item x="340"/>
        <item x="587"/>
        <item x="594"/>
        <item x="21"/>
        <item x="84"/>
        <item x="528"/>
        <item x="642"/>
        <item x="344"/>
        <item x="550"/>
        <item x="219"/>
        <item x="68"/>
        <item x="356"/>
        <item x="672"/>
        <item x="134"/>
        <item x="367"/>
        <item x="196"/>
        <item x="142"/>
        <item x="297"/>
        <item x="591"/>
        <item x="72"/>
        <item x="286"/>
        <item x="379"/>
        <item x="242"/>
        <item x="126"/>
        <item x="816"/>
        <item x="11"/>
        <item x="182"/>
        <item x="364"/>
        <item x="660"/>
        <item x="183"/>
        <item x="432"/>
        <item x="659"/>
        <item x="235"/>
        <item x="850"/>
        <item x="308"/>
        <item x="869"/>
        <item x="534"/>
        <item x="612"/>
        <item x="88"/>
        <item x="93"/>
        <item x="79"/>
        <item x="155"/>
        <item x="179"/>
        <item x="28"/>
        <item x="707"/>
        <item x="18"/>
        <item x="440"/>
        <item x="353"/>
        <item x="258"/>
        <item x="599"/>
        <item x="728"/>
        <item x="309"/>
        <item x="147"/>
        <item x="424"/>
        <item x="168"/>
        <item x="184"/>
        <item x="793"/>
        <item x="574"/>
        <item x="515"/>
        <item x="166"/>
        <item x="699"/>
        <item x="119"/>
        <item x="434"/>
        <item x="422"/>
        <item x="98"/>
        <item x="213"/>
        <item x="459"/>
        <item x="230"/>
        <item x="789"/>
        <item x="582"/>
        <item x="526"/>
        <item x="589"/>
        <item x="190"/>
        <item x="641"/>
        <item x="715"/>
        <item x="706"/>
        <item x="352"/>
        <item x="10"/>
        <item x="42"/>
        <item x="514"/>
        <item x="86"/>
        <item x="76"/>
        <item x="123"/>
        <item x="173"/>
        <item x="282"/>
        <item x="204"/>
        <item x="6"/>
        <item x="842"/>
        <item x="572"/>
        <item x="495"/>
        <item x="740"/>
        <item x="502"/>
        <item x="218"/>
        <item x="628"/>
        <item x="634"/>
        <item x="623"/>
        <item x="576"/>
        <item x="448"/>
        <item x="472"/>
        <item x="4"/>
        <item x="382"/>
        <item x="881"/>
        <item x="551"/>
        <item x="140"/>
        <item x="27"/>
        <item x="405"/>
        <item x="214"/>
        <item x="884"/>
        <item x="222"/>
        <item x="461"/>
        <item x="211"/>
        <item x="787"/>
        <item x="491"/>
        <item x="215"/>
        <item x="296"/>
        <item x="207"/>
        <item x="277"/>
        <item x="635"/>
        <item x="75"/>
        <item x="785"/>
        <item x="466"/>
        <item x="395"/>
        <item x="721"/>
        <item x="523"/>
        <item x="737"/>
        <item x="542"/>
        <item x="233"/>
        <item x="684"/>
        <item x="115"/>
        <item x="396"/>
        <item x="316"/>
        <item x="841"/>
        <item x="110"/>
        <item x="738"/>
        <item x="322"/>
        <item x="247"/>
        <item x="530"/>
        <item x="701"/>
        <item x="552"/>
        <item x="553"/>
        <item x="156"/>
        <item x="501"/>
        <item x="750"/>
        <item x="148"/>
        <item x="854"/>
        <item x="89"/>
        <item x="480"/>
        <item x="227"/>
        <item x="547"/>
        <item x="205"/>
        <item x="198"/>
        <item x="556"/>
        <item x="470"/>
        <item x="366"/>
        <item x="829"/>
        <item x="407"/>
        <item x="821"/>
        <item x="94"/>
        <item x="56"/>
        <item x="113"/>
        <item x="734"/>
        <item x="427"/>
        <item x="305"/>
        <item x="46"/>
        <item x="259"/>
        <item x="565"/>
        <item x="761"/>
        <item x="444"/>
        <item x="58"/>
        <item x="780"/>
        <item x="281"/>
        <item x="554"/>
        <item x="337"/>
        <item x="497"/>
        <item x="92"/>
        <item x="146"/>
        <item x="203"/>
        <item x="225"/>
        <item x="456"/>
        <item x="313"/>
        <item x="404"/>
        <item x="834"/>
        <item x="244"/>
        <item x="779"/>
        <item x="757"/>
        <item x="667"/>
        <item x="730"/>
        <item x="633"/>
        <item x="563"/>
        <item x="450"/>
        <item x="14"/>
        <item x="114"/>
        <item x="668"/>
        <item x="783"/>
        <item x="618"/>
        <item x="748"/>
        <item x="246"/>
        <item x="212"/>
        <item x="509"/>
        <item x="469"/>
        <item x="666"/>
        <item x="735"/>
        <item x="197"/>
        <item x="704"/>
        <item x="657"/>
        <item x="419"/>
        <item x="43"/>
        <item x="596"/>
        <item x="794"/>
        <item x="725"/>
        <item x="192"/>
        <item x="276"/>
        <item x="62"/>
        <item x="327"/>
        <item x="135"/>
        <item x="181"/>
        <item x="393"/>
        <item x="330"/>
        <item x="579"/>
        <item x="163"/>
        <item x="673"/>
        <item x="451"/>
        <item x="264"/>
        <item x="911"/>
        <item x="431"/>
        <item x="578"/>
        <item x="471"/>
        <item x="45"/>
        <item x="60"/>
        <item x="760"/>
        <item x="254"/>
        <item x="674"/>
        <item x="598"/>
        <item x="925"/>
        <item x="928"/>
        <item x="774"/>
        <item x="866"/>
        <item x="489"/>
        <item x="583"/>
        <item x="462"/>
        <item x="559"/>
        <item x="391"/>
        <item x="524"/>
        <item x="899"/>
        <item x="111"/>
        <item x="378"/>
        <item x="651"/>
        <item x="508"/>
        <item x="773"/>
        <item x="858"/>
        <item x="326"/>
        <item x="746"/>
        <item x="603"/>
        <item x="417"/>
        <item x="752"/>
        <item x="492"/>
        <item x="91"/>
        <item x="285"/>
        <item x="487"/>
        <item x="374"/>
        <item x="913"/>
        <item x="577"/>
        <item x="859"/>
        <item x="124"/>
        <item x="836"/>
        <item x="823"/>
        <item x="164"/>
        <item x="767"/>
        <item x="903"/>
        <item x="107"/>
        <item x="897"/>
        <item x="741"/>
        <item x="828"/>
        <item x="863"/>
        <item x="81"/>
        <item x="693"/>
        <item x="312"/>
        <item x="777"/>
        <item x="710"/>
        <item x="505"/>
        <item x="158"/>
        <item x="473"/>
        <item x="898"/>
        <item x="716"/>
        <item x="685"/>
        <item x="77"/>
        <item x="561"/>
        <item x="414"/>
        <item x="546"/>
        <item x="304"/>
        <item x="22"/>
        <item x="442"/>
        <item x="889"/>
        <item x="454"/>
        <item x="611"/>
        <item x="902"/>
        <item x="697"/>
        <item x="853"/>
        <item x="41"/>
        <item x="827"/>
        <item x="262"/>
        <item x="328"/>
        <item x="830"/>
        <item x="870"/>
        <item x="453"/>
        <item x="521"/>
        <item x="186"/>
        <item x="428"/>
        <item x="844"/>
        <item x="220"/>
        <item x="921"/>
        <item x="682"/>
        <item x="445"/>
        <item x="890"/>
        <item x="321"/>
        <item x="298"/>
        <item x="5"/>
        <item x="331"/>
        <item x="371"/>
        <item x="861"/>
        <item x="922"/>
        <item x="726"/>
        <item x="883"/>
        <item x="636"/>
        <item x="872"/>
        <item x="845"/>
        <item x="100"/>
        <item x="798"/>
        <item x="288"/>
        <item x="564"/>
        <item x="555"/>
        <item x="345"/>
        <item x="874"/>
        <item x="744"/>
        <item x="602"/>
        <item x="376"/>
        <item x="909"/>
        <item x="768"/>
        <item x="753"/>
        <item x="449"/>
        <item x="804"/>
        <item x="797"/>
        <item x="813"/>
        <item x="507"/>
        <item x="154"/>
        <item x="479"/>
        <item x="724"/>
        <item x="808"/>
        <item x="317"/>
        <item x="691"/>
        <item x="241"/>
        <item x="117"/>
        <item x="745"/>
        <item x="13"/>
        <item x="689"/>
        <item x="723"/>
        <item x="24"/>
        <item x="527"/>
        <item x="346"/>
        <item x="66"/>
        <item x="69"/>
        <item x="141"/>
        <item x="314"/>
        <item x="763"/>
        <item x="411"/>
        <item x="238"/>
        <item x="677"/>
        <item x="820"/>
        <item x="54"/>
        <item x="338"/>
        <item x="739"/>
        <item x="116"/>
        <item x="754"/>
        <item x="638"/>
        <item x="520"/>
        <item x="923"/>
        <item x="109"/>
        <item x="306"/>
        <item x="368"/>
        <item x="743"/>
        <item x="283"/>
        <item x="824"/>
        <item x="95"/>
        <item x="895"/>
        <item x="420"/>
        <item x="252"/>
        <item x="482"/>
        <item x="864"/>
        <item x="477"/>
        <item x="568"/>
        <item x="381"/>
        <item x="831"/>
        <item x="263"/>
        <item x="573"/>
        <item x="840"/>
        <item x="549"/>
        <item x="350"/>
        <item x="732"/>
        <item x="558"/>
        <item x="812"/>
        <item x="433"/>
        <item x="900"/>
        <item x="876"/>
        <item x="849"/>
        <item x="194"/>
        <item x="818"/>
        <item x="871"/>
        <item x="67"/>
        <item x="709"/>
        <item x="475"/>
        <item x="729"/>
        <item x="543"/>
        <item x="287"/>
        <item x="539"/>
        <item x="765"/>
        <item x="358"/>
        <item x="279"/>
        <item x="361"/>
        <item x="875"/>
        <item x="620"/>
        <item x="320"/>
        <item x="919"/>
        <item x="435"/>
        <item x="904"/>
        <item x="835"/>
        <item x="540"/>
        <item x="593"/>
        <item x="772"/>
        <item x="386"/>
        <item x="319"/>
        <item x="74"/>
        <item x="175"/>
        <item x="653"/>
        <item x="617"/>
        <item x="852"/>
        <item x="720"/>
        <item x="485"/>
        <item x="882"/>
        <item x="733"/>
        <item x="460"/>
        <item x="339"/>
        <item x="518"/>
        <item x="250"/>
        <item x="901"/>
        <item x="681"/>
        <item x="698"/>
        <item x="649"/>
        <item x="290"/>
        <item x="683"/>
        <item x="892"/>
        <item x="867"/>
        <item x="348"/>
        <item x="782"/>
        <item x="562"/>
        <item x="315"/>
        <item x="586"/>
        <item x="756"/>
        <item x="189"/>
        <item x="920"/>
        <item x="671"/>
        <item x="2"/>
        <item x="506"/>
        <item x="792"/>
        <item x="703"/>
        <item x="643"/>
        <item x="851"/>
        <item x="610"/>
        <item x="349"/>
        <item x="531"/>
        <item x="575"/>
        <item x="251"/>
        <item x="675"/>
        <item x="64"/>
        <item x="377"/>
        <item x="467"/>
        <item x="670"/>
        <item x="560"/>
        <item x="749"/>
        <item x="886"/>
        <item x="814"/>
        <item x="802"/>
        <item x="796"/>
        <item x="566"/>
        <item x="118"/>
        <item x="622"/>
        <item x="658"/>
        <item x="696"/>
        <item x="517"/>
        <item x="933"/>
        <item x="873"/>
        <item x="537"/>
        <item x="800"/>
        <item x="915"/>
        <item x="817"/>
        <item x="12"/>
        <item x="529"/>
        <item x="650"/>
        <item x="106"/>
        <item x="103"/>
        <item x="323"/>
        <item x="776"/>
        <item x="906"/>
        <item x="930"/>
        <item x="801"/>
        <item x="713"/>
        <item x="474"/>
        <item x="149"/>
        <item x="656"/>
        <item x="868"/>
        <item x="799"/>
        <item x="778"/>
        <item x="847"/>
        <item x="274"/>
        <item x="810"/>
        <item x="916"/>
        <item x="809"/>
        <item x="447"/>
        <item x="764"/>
        <item x="360"/>
        <item x="731"/>
        <item x="493"/>
        <item x="795"/>
        <item x="663"/>
        <item x="185"/>
        <item x="87"/>
        <item x="481"/>
        <item x="177"/>
        <item x="784"/>
        <item x="819"/>
        <item x="519"/>
        <item x="584"/>
        <item x="717"/>
        <item x="700"/>
        <item x="637"/>
        <item x="839"/>
        <item x="44"/>
        <item x="837"/>
        <item x="525"/>
        <item x="40"/>
        <item x="652"/>
        <item x="131"/>
        <item x="838"/>
        <item x="692"/>
        <item x="510"/>
        <item x="223"/>
        <item x="825"/>
        <item x="516"/>
        <item x="786"/>
        <item x="513"/>
        <item x="907"/>
        <item x="714"/>
        <item x="662"/>
        <item x="770"/>
        <item x="311"/>
        <item x="878"/>
        <item x="865"/>
        <item x="924"/>
        <item x="927"/>
        <item x="912"/>
        <item x="688"/>
        <item x="891"/>
        <item x="284"/>
        <item x="781"/>
        <item x="676"/>
        <item x="96"/>
        <item x="747"/>
        <item x="373"/>
        <item x="694"/>
        <item x="806"/>
        <item x="31"/>
        <item x="621"/>
        <item x="416"/>
        <item x="616"/>
        <item x="488"/>
        <item x="626"/>
        <item x="832"/>
        <item x="648"/>
        <item x="880"/>
        <item x="815"/>
        <item x="640"/>
        <item x="499"/>
        <item x="917"/>
        <item x="896"/>
        <item x="702"/>
        <item x="712"/>
        <item x="36"/>
        <item x="914"/>
        <item x="645"/>
        <item x="437"/>
        <item x="718"/>
        <item x="848"/>
        <item x="708"/>
        <item x="833"/>
        <item x="894"/>
        <item t="default"/>
      </items>
    </pivotField>
    <pivotField showAll="0"/>
    <pivotField numFmtId="15"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numFmtId="15" showAll="0"/>
    <pivotField showAll="0"/>
    <pivotField showAll="0">
      <items count="6">
        <item x="0"/>
        <item x="3"/>
        <item x="4"/>
        <item x="2"/>
        <item x="1"/>
        <item t="default"/>
      </items>
    </pivotField>
    <pivotField axis="axisCol" showAll="0">
      <items count="6">
        <item x="3"/>
        <item x="4"/>
        <item x="1"/>
        <item x="0"/>
        <item x="2"/>
        <item t="default"/>
      </items>
    </pivotField>
    <pivotField showAll="0"/>
    <pivotField showAll="0"/>
    <pivotField showAll="0">
      <items count="16">
        <item x="7"/>
        <item x="3"/>
        <item x="1"/>
        <item x="2"/>
        <item x="5"/>
        <item x="0"/>
        <item x="4"/>
        <item x="6"/>
        <item x="9"/>
        <item x="8"/>
        <item x="14"/>
        <item x="11"/>
        <item x="13"/>
        <item x="10"/>
        <item x="12"/>
        <item t="default"/>
      </items>
    </pivotField>
    <pivotField showAll="0"/>
    <pivotField showAll="0">
      <items count="5">
        <item x="2"/>
        <item x="1"/>
        <item x="3"/>
        <item x="0"/>
        <item t="default"/>
      </items>
    </pivotField>
    <pivotField showAll="0">
      <items count="8">
        <item sd="0" x="0"/>
        <item sd="0" x="1"/>
        <item sd="0" x="2"/>
        <item sd="0" x="4"/>
        <item sd="0" x="3"/>
        <item x="5"/>
        <item x="6"/>
        <item t="default"/>
      </items>
    </pivotField>
    <pivotField showAll="0">
      <items count="10">
        <item sd="0" x="5"/>
        <item sd="0" x="3"/>
        <item sd="0" x="1"/>
        <item sd="0" x="2"/>
        <item sd="0" x="4"/>
        <item sd="0" x="0"/>
        <item x="8"/>
        <item n="8-10 D" sd="0" x="6"/>
        <item n="11-15 D" sd="0" x="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201">
        <item x="4"/>
        <item x="198"/>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199"/>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0"/>
        <item x="1"/>
        <item x="2"/>
        <item x="3"/>
        <item t="default"/>
      </items>
    </pivotField>
  </pivotFields>
  <rowFields count="1">
    <field x="17"/>
  </rowFields>
  <rowItems count="4">
    <i>
      <x v="1"/>
    </i>
    <i>
      <x v="2"/>
    </i>
    <i>
      <x v="3"/>
    </i>
    <i t="grand">
      <x/>
    </i>
  </rowItems>
  <colFields count="1">
    <field x="9"/>
  </colFields>
  <colItems count="6">
    <i>
      <x/>
    </i>
    <i>
      <x v="1"/>
    </i>
    <i>
      <x v="2"/>
    </i>
    <i>
      <x v="3"/>
    </i>
    <i>
      <x v="4"/>
    </i>
    <i t="grand">
      <x/>
    </i>
  </colItems>
  <dataFields count="1">
    <dataField name="Count of TX ID" fld="0" subtotal="count" baseField="0" baseItem="0"/>
  </dataFields>
  <chartFormats count="5">
    <chartFormat chart="73" format="10" series="1">
      <pivotArea type="data" outline="0" fieldPosition="0">
        <references count="2">
          <reference field="4294967294" count="1" selected="0">
            <x v="0"/>
          </reference>
          <reference field="9" count="1" selected="0">
            <x v="0"/>
          </reference>
        </references>
      </pivotArea>
    </chartFormat>
    <chartFormat chart="73" format="11" series="1">
      <pivotArea type="data" outline="0" fieldPosition="0">
        <references count="2">
          <reference field="4294967294" count="1" selected="0">
            <x v="0"/>
          </reference>
          <reference field="9" count="1" selected="0">
            <x v="1"/>
          </reference>
        </references>
      </pivotArea>
    </chartFormat>
    <chartFormat chart="73" format="12" series="1">
      <pivotArea type="data" outline="0" fieldPosition="0">
        <references count="2">
          <reference field="4294967294" count="1" selected="0">
            <x v="0"/>
          </reference>
          <reference field="9" count="1" selected="0">
            <x v="2"/>
          </reference>
        </references>
      </pivotArea>
    </chartFormat>
    <chartFormat chart="73" format="13" series="1">
      <pivotArea type="data" outline="0" fieldPosition="0">
        <references count="2">
          <reference field="4294967294" count="1" selected="0">
            <x v="0"/>
          </reference>
          <reference field="9" count="1" selected="0">
            <x v="3"/>
          </reference>
        </references>
      </pivotArea>
    </chartFormat>
    <chartFormat chart="73" format="14" series="1">
      <pivotArea type="data" outline="0" fieldPosition="0">
        <references count="2">
          <reference field="4294967294" count="1" selected="0">
            <x v="0"/>
          </reference>
          <reference field="9"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FA8BFA9-CDA0-4DDB-A7D6-5A62B7DE5ED5}" name="PvtCounty" cacheId="0" applyNumberFormats="0" applyBorderFormats="0" applyFontFormats="0" applyPatternFormats="0" applyAlignmentFormats="0" applyWidthHeightFormats="1" dataCaption="Values" updatedVersion="7" minRefreshableVersion="3" useAutoFormatting="1" rowGrandTotals="0" colGrandTotals="0" itemPrintTitles="1" createdVersion="7" indent="0" compact="0" compactData="0" multipleFieldFilters="0" chartFormat="60" rowHeaderCaption="Quantity">
  <location ref="C52:F110" firstHeaderRow="0" firstDataRow="1" firstDataCol="2"/>
  <pivotFields count="19">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dataField="1" compact="0" outline="0" showAll="0" defaultSubtotal="0">
      <items count="48">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s>
      <extLst>
        <ext xmlns:x14="http://schemas.microsoft.com/office/spreadsheetml/2009/9/main" uri="{2946ED86-A175-432a-8AC1-64E0C546D7DE}">
          <x14:pivotField fillDownLabels="1"/>
        </ext>
      </extLst>
    </pivotField>
    <pivotField compact="0" outline="0" showAll="0" defaultSubtotal="0">
      <items count="934">
        <item x="178"/>
        <item x="159"/>
        <item x="97"/>
        <item x="441"/>
        <item x="265"/>
        <item x="401"/>
        <item x="0"/>
        <item x="408"/>
        <item x="229"/>
        <item x="370"/>
        <item x="61"/>
        <item x="463"/>
        <item x="860"/>
        <item x="604"/>
        <item x="426"/>
        <item x="608"/>
        <item x="877"/>
        <item x="932"/>
        <item x="822"/>
        <item x="150"/>
        <item x="335"/>
        <item x="885"/>
        <item x="888"/>
        <item x="169"/>
        <item x="609"/>
        <item x="826"/>
        <item x="905"/>
        <item x="862"/>
        <item x="270"/>
        <item x="221"/>
        <item x="503"/>
        <item x="476"/>
        <item x="536"/>
        <item x="388"/>
        <item x="678"/>
        <item x="455"/>
        <item x="83"/>
        <item x="255"/>
        <item x="137"/>
        <item x="35"/>
        <item x="496"/>
        <item x="398"/>
        <item x="342"/>
        <item x="261"/>
        <item x="857"/>
        <item x="655"/>
        <item x="879"/>
        <item x="639"/>
        <item x="569"/>
        <item x="384"/>
        <item x="929"/>
        <item x="771"/>
        <item x="727"/>
        <item x="161"/>
        <item x="893"/>
        <item x="25"/>
        <item x="228"/>
        <item x="130"/>
        <item x="71"/>
        <item x="53"/>
        <item x="606"/>
        <item x="762"/>
        <item x="383"/>
        <item x="856"/>
        <item x="99"/>
        <item x="465"/>
        <item x="585"/>
        <item x="333"/>
        <item x="104"/>
        <item x="129"/>
        <item x="30"/>
        <item x="359"/>
        <item x="55"/>
        <item x="918"/>
        <item x="415"/>
        <item x="266"/>
        <item x="478"/>
        <item x="82"/>
        <item x="157"/>
        <item x="490"/>
        <item x="260"/>
        <item x="736"/>
        <item x="127"/>
        <item x="293"/>
        <item x="580"/>
        <item x="468"/>
        <item x="289"/>
        <item x="390"/>
        <item x="588"/>
        <item x="65"/>
        <item x="438"/>
        <item x="191"/>
        <item x="210"/>
        <item x="302"/>
        <item x="332"/>
        <item x="592"/>
        <item x="33"/>
        <item x="301"/>
        <item x="421"/>
        <item x="595"/>
        <item x="237"/>
        <item x="597"/>
        <item x="208"/>
        <item x="9"/>
        <item x="243"/>
        <item x="351"/>
        <item x="188"/>
        <item x="625"/>
        <item x="409"/>
        <item x="887"/>
        <item x="59"/>
        <item x="372"/>
        <item x="121"/>
        <item x="139"/>
        <item x="234"/>
        <item x="174"/>
        <item x="483"/>
        <item x="273"/>
        <item x="209"/>
        <item x="661"/>
        <item x="512"/>
        <item x="51"/>
        <item x="278"/>
        <item x="249"/>
        <item x="362"/>
        <item x="605"/>
        <item x="486"/>
        <item x="187"/>
        <item x="769"/>
        <item x="403"/>
        <item x="19"/>
        <item x="631"/>
        <item x="855"/>
        <item x="423"/>
        <item x="170"/>
        <item x="679"/>
        <item x="136"/>
        <item x="122"/>
        <item x="269"/>
        <item x="615"/>
        <item x="457"/>
        <item x="133"/>
        <item x="23"/>
        <item x="38"/>
        <item x="439"/>
        <item x="494"/>
        <item x="48"/>
        <item x="436"/>
        <item x="49"/>
        <item x="399"/>
        <item x="295"/>
        <item x="807"/>
        <item x="336"/>
        <item x="231"/>
        <item x="843"/>
        <item x="389"/>
        <item x="646"/>
        <item x="343"/>
        <item x="627"/>
        <item x="257"/>
        <item x="742"/>
        <item x="805"/>
        <item x="70"/>
        <item x="365"/>
        <item x="85"/>
        <item x="167"/>
        <item x="144"/>
        <item x="538"/>
        <item x="690"/>
        <item x="581"/>
        <item x="402"/>
        <item x="143"/>
        <item x="647"/>
        <item x="669"/>
        <item x="686"/>
        <item x="47"/>
        <item x="755"/>
        <item x="32"/>
        <item x="500"/>
        <item x="90"/>
        <item x="224"/>
        <item x="165"/>
        <item x="248"/>
        <item x="162"/>
        <item x="1"/>
        <item x="630"/>
        <item x="607"/>
        <item x="15"/>
        <item x="452"/>
        <item x="16"/>
        <item x="63"/>
        <item x="375"/>
        <item x="541"/>
        <item x="217"/>
        <item x="680"/>
        <item x="132"/>
        <item x="216"/>
        <item x="590"/>
        <item x="34"/>
        <item x="201"/>
        <item x="380"/>
        <item x="240"/>
        <item x="498"/>
        <item x="504"/>
        <item x="101"/>
        <item x="195"/>
        <item x="413"/>
        <item x="619"/>
        <item x="614"/>
        <item x="199"/>
        <item x="846"/>
        <item x="57"/>
        <item x="172"/>
        <item x="232"/>
        <item x="570"/>
        <item x="532"/>
        <item x="601"/>
        <item x="412"/>
        <item x="324"/>
        <item x="268"/>
        <item x="120"/>
        <item x="695"/>
        <item x="766"/>
        <item x="176"/>
        <item x="292"/>
        <item x="267"/>
        <item x="271"/>
        <item x="775"/>
        <item x="334"/>
        <item x="200"/>
        <item x="341"/>
        <item x="908"/>
        <item x="803"/>
        <item x="533"/>
        <item x="8"/>
        <item x="385"/>
        <item x="275"/>
        <item x="307"/>
        <item x="160"/>
        <item x="310"/>
        <item x="791"/>
        <item x="128"/>
        <item x="355"/>
        <item x="17"/>
        <item x="294"/>
        <item x="78"/>
        <item x="711"/>
        <item x="571"/>
        <item x="719"/>
        <item x="790"/>
        <item x="105"/>
        <item x="484"/>
        <item x="151"/>
        <item x="410"/>
        <item x="3"/>
        <item x="256"/>
        <item x="430"/>
        <item x="545"/>
        <item x="202"/>
        <item x="751"/>
        <item x="629"/>
        <item x="153"/>
        <item x="392"/>
        <item x="26"/>
        <item x="665"/>
        <item x="400"/>
        <item x="37"/>
        <item x="644"/>
        <item x="406"/>
        <item x="418"/>
        <item x="632"/>
        <item x="557"/>
        <item x="180"/>
        <item x="138"/>
        <item x="759"/>
        <item x="811"/>
        <item x="152"/>
        <item x="464"/>
        <item x="931"/>
        <item x="7"/>
        <item x="664"/>
        <item x="145"/>
        <item x="722"/>
        <item x="253"/>
        <item x="363"/>
        <item x="446"/>
        <item x="29"/>
        <item x="758"/>
        <item x="387"/>
        <item x="397"/>
        <item x="50"/>
        <item x="329"/>
        <item x="654"/>
        <item x="52"/>
        <item x="80"/>
        <item x="245"/>
        <item x="300"/>
        <item x="624"/>
        <item x="567"/>
        <item x="318"/>
        <item x="394"/>
        <item x="687"/>
        <item x="325"/>
        <item x="272"/>
        <item x="443"/>
        <item x="429"/>
        <item x="280"/>
        <item x="39"/>
        <item x="522"/>
        <item x="705"/>
        <item x="171"/>
        <item x="347"/>
        <item x="458"/>
        <item x="535"/>
        <item x="20"/>
        <item x="910"/>
        <item x="548"/>
        <item x="369"/>
        <item x="236"/>
        <item x="112"/>
        <item x="73"/>
        <item x="239"/>
        <item x="926"/>
        <item x="613"/>
        <item x="788"/>
        <item x="125"/>
        <item x="303"/>
        <item x="226"/>
        <item x="291"/>
        <item x="299"/>
        <item x="102"/>
        <item x="600"/>
        <item x="357"/>
        <item x="108"/>
        <item x="511"/>
        <item x="206"/>
        <item x="544"/>
        <item x="354"/>
        <item x="193"/>
        <item x="425"/>
        <item x="340"/>
        <item x="587"/>
        <item x="594"/>
        <item x="21"/>
        <item x="84"/>
        <item x="528"/>
        <item x="642"/>
        <item x="344"/>
        <item x="550"/>
        <item x="219"/>
        <item x="68"/>
        <item x="356"/>
        <item x="672"/>
        <item x="134"/>
        <item x="367"/>
        <item x="196"/>
        <item x="142"/>
        <item x="297"/>
        <item x="591"/>
        <item x="72"/>
        <item x="286"/>
        <item x="379"/>
        <item x="242"/>
        <item x="126"/>
        <item x="816"/>
        <item x="11"/>
        <item x="182"/>
        <item x="364"/>
        <item x="660"/>
        <item x="183"/>
        <item x="432"/>
        <item x="659"/>
        <item x="235"/>
        <item x="850"/>
        <item x="308"/>
        <item x="869"/>
        <item x="534"/>
        <item x="612"/>
        <item x="88"/>
        <item x="93"/>
        <item x="79"/>
        <item x="155"/>
        <item x="179"/>
        <item x="28"/>
        <item x="707"/>
        <item x="18"/>
        <item x="440"/>
        <item x="353"/>
        <item x="258"/>
        <item x="599"/>
        <item x="728"/>
        <item x="309"/>
        <item x="147"/>
        <item x="424"/>
        <item x="168"/>
        <item x="184"/>
        <item x="793"/>
        <item x="574"/>
        <item x="515"/>
        <item x="166"/>
        <item x="699"/>
        <item x="119"/>
        <item x="434"/>
        <item x="422"/>
        <item x="98"/>
        <item x="213"/>
        <item x="459"/>
        <item x="230"/>
        <item x="789"/>
        <item x="582"/>
        <item x="526"/>
        <item x="589"/>
        <item x="190"/>
        <item x="641"/>
        <item x="715"/>
        <item x="706"/>
        <item x="352"/>
        <item x="10"/>
        <item x="42"/>
        <item x="514"/>
        <item x="86"/>
        <item x="76"/>
        <item x="123"/>
        <item x="173"/>
        <item x="282"/>
        <item x="204"/>
        <item x="6"/>
        <item x="842"/>
        <item x="572"/>
        <item x="495"/>
        <item x="740"/>
        <item x="502"/>
        <item x="218"/>
        <item x="628"/>
        <item x="634"/>
        <item x="623"/>
        <item x="576"/>
        <item x="448"/>
        <item x="472"/>
        <item x="4"/>
        <item x="382"/>
        <item x="881"/>
        <item x="551"/>
        <item x="140"/>
        <item x="27"/>
        <item x="405"/>
        <item x="214"/>
        <item x="884"/>
        <item x="222"/>
        <item x="461"/>
        <item x="211"/>
        <item x="787"/>
        <item x="491"/>
        <item x="215"/>
        <item x="296"/>
        <item x="207"/>
        <item x="277"/>
        <item x="635"/>
        <item x="75"/>
        <item x="785"/>
        <item x="466"/>
        <item x="395"/>
        <item x="721"/>
        <item x="523"/>
        <item x="737"/>
        <item x="542"/>
        <item x="233"/>
        <item x="684"/>
        <item x="115"/>
        <item x="396"/>
        <item x="316"/>
        <item x="841"/>
        <item x="110"/>
        <item x="738"/>
        <item x="322"/>
        <item x="247"/>
        <item x="530"/>
        <item x="701"/>
        <item x="552"/>
        <item x="553"/>
        <item x="156"/>
        <item x="501"/>
        <item x="750"/>
        <item x="148"/>
        <item x="854"/>
        <item x="89"/>
        <item x="480"/>
        <item x="227"/>
        <item x="547"/>
        <item x="205"/>
        <item x="198"/>
        <item x="556"/>
        <item x="470"/>
        <item x="366"/>
        <item x="829"/>
        <item x="407"/>
        <item x="821"/>
        <item x="94"/>
        <item x="56"/>
        <item x="113"/>
        <item x="734"/>
        <item x="427"/>
        <item x="305"/>
        <item x="46"/>
        <item x="259"/>
        <item x="565"/>
        <item x="761"/>
        <item x="444"/>
        <item x="58"/>
        <item x="780"/>
        <item x="281"/>
        <item x="554"/>
        <item x="337"/>
        <item x="497"/>
        <item x="92"/>
        <item x="146"/>
        <item x="203"/>
        <item x="225"/>
        <item x="456"/>
        <item x="313"/>
        <item x="404"/>
        <item x="834"/>
        <item x="244"/>
        <item x="779"/>
        <item x="757"/>
        <item x="667"/>
        <item x="730"/>
        <item x="633"/>
        <item x="563"/>
        <item x="450"/>
        <item x="14"/>
        <item x="114"/>
        <item x="668"/>
        <item x="783"/>
        <item x="618"/>
        <item x="748"/>
        <item x="246"/>
        <item x="212"/>
        <item x="509"/>
        <item x="469"/>
        <item x="666"/>
        <item x="735"/>
        <item x="197"/>
        <item x="704"/>
        <item x="657"/>
        <item x="419"/>
        <item x="43"/>
        <item x="596"/>
        <item x="794"/>
        <item x="725"/>
        <item x="192"/>
        <item x="276"/>
        <item x="62"/>
        <item x="327"/>
        <item x="135"/>
        <item x="181"/>
        <item x="393"/>
        <item x="330"/>
        <item x="579"/>
        <item x="163"/>
        <item x="673"/>
        <item x="451"/>
        <item x="264"/>
        <item x="911"/>
        <item x="431"/>
        <item x="578"/>
        <item x="471"/>
        <item x="45"/>
        <item x="60"/>
        <item x="760"/>
        <item x="254"/>
        <item x="674"/>
        <item x="598"/>
        <item x="925"/>
        <item x="928"/>
        <item x="774"/>
        <item x="866"/>
        <item x="489"/>
        <item x="583"/>
        <item x="462"/>
        <item x="559"/>
        <item x="391"/>
        <item x="524"/>
        <item x="899"/>
        <item x="111"/>
        <item x="378"/>
        <item x="651"/>
        <item x="508"/>
        <item x="773"/>
        <item x="858"/>
        <item x="326"/>
        <item x="746"/>
        <item x="603"/>
        <item x="417"/>
        <item x="752"/>
        <item x="492"/>
        <item x="91"/>
        <item x="285"/>
        <item x="487"/>
        <item x="374"/>
        <item x="913"/>
        <item x="577"/>
        <item x="859"/>
        <item x="124"/>
        <item x="836"/>
        <item x="823"/>
        <item x="164"/>
        <item x="767"/>
        <item x="903"/>
        <item x="107"/>
        <item x="897"/>
        <item x="741"/>
        <item x="828"/>
        <item x="863"/>
        <item x="81"/>
        <item x="693"/>
        <item x="312"/>
        <item x="777"/>
        <item x="710"/>
        <item x="505"/>
        <item x="158"/>
        <item x="473"/>
        <item x="898"/>
        <item x="716"/>
        <item x="685"/>
        <item x="77"/>
        <item x="561"/>
        <item x="414"/>
        <item x="546"/>
        <item x="304"/>
        <item x="22"/>
        <item x="442"/>
        <item x="889"/>
        <item x="454"/>
        <item x="611"/>
        <item x="902"/>
        <item x="697"/>
        <item x="853"/>
        <item x="41"/>
        <item x="827"/>
        <item x="262"/>
        <item x="328"/>
        <item x="830"/>
        <item x="870"/>
        <item x="453"/>
        <item x="521"/>
        <item x="186"/>
        <item x="428"/>
        <item x="844"/>
        <item x="220"/>
        <item x="921"/>
        <item x="682"/>
        <item x="445"/>
        <item x="890"/>
        <item x="321"/>
        <item x="298"/>
        <item x="5"/>
        <item x="331"/>
        <item x="371"/>
        <item x="861"/>
        <item x="922"/>
        <item x="726"/>
        <item x="883"/>
        <item x="636"/>
        <item x="872"/>
        <item x="845"/>
        <item x="100"/>
        <item x="798"/>
        <item x="288"/>
        <item x="564"/>
        <item x="555"/>
        <item x="345"/>
        <item x="874"/>
        <item x="744"/>
        <item x="602"/>
        <item x="376"/>
        <item x="909"/>
        <item x="768"/>
        <item x="753"/>
        <item x="449"/>
        <item x="804"/>
        <item x="797"/>
        <item x="813"/>
        <item x="507"/>
        <item x="154"/>
        <item x="479"/>
        <item x="724"/>
        <item x="808"/>
        <item x="317"/>
        <item x="691"/>
        <item x="241"/>
        <item x="117"/>
        <item x="745"/>
        <item x="13"/>
        <item x="689"/>
        <item x="723"/>
        <item x="24"/>
        <item x="527"/>
        <item x="346"/>
        <item x="66"/>
        <item x="69"/>
        <item x="141"/>
        <item x="314"/>
        <item x="763"/>
        <item x="411"/>
        <item x="238"/>
        <item x="677"/>
        <item x="820"/>
        <item x="54"/>
        <item x="338"/>
        <item x="739"/>
        <item x="116"/>
        <item x="754"/>
        <item x="638"/>
        <item x="520"/>
        <item x="923"/>
        <item x="109"/>
        <item x="306"/>
        <item x="368"/>
        <item x="743"/>
        <item x="283"/>
        <item x="824"/>
        <item x="95"/>
        <item x="895"/>
        <item x="420"/>
        <item x="252"/>
        <item x="482"/>
        <item x="864"/>
        <item x="477"/>
        <item x="568"/>
        <item x="381"/>
        <item x="831"/>
        <item x="263"/>
        <item x="573"/>
        <item x="840"/>
        <item x="549"/>
        <item x="350"/>
        <item x="732"/>
        <item x="558"/>
        <item x="812"/>
        <item x="433"/>
        <item x="900"/>
        <item x="876"/>
        <item x="849"/>
        <item x="194"/>
        <item x="818"/>
        <item x="871"/>
        <item x="67"/>
        <item x="709"/>
        <item x="475"/>
        <item x="729"/>
        <item x="543"/>
        <item x="287"/>
        <item x="539"/>
        <item x="765"/>
        <item x="358"/>
        <item x="279"/>
        <item x="361"/>
        <item x="875"/>
        <item x="620"/>
        <item x="320"/>
        <item x="919"/>
        <item x="435"/>
        <item x="904"/>
        <item x="835"/>
        <item x="540"/>
        <item x="593"/>
        <item x="772"/>
        <item x="386"/>
        <item x="319"/>
        <item x="74"/>
        <item x="175"/>
        <item x="653"/>
        <item x="617"/>
        <item x="852"/>
        <item x="720"/>
        <item x="485"/>
        <item x="882"/>
        <item x="733"/>
        <item x="460"/>
        <item x="339"/>
        <item x="518"/>
        <item x="250"/>
        <item x="901"/>
        <item x="681"/>
        <item x="698"/>
        <item x="649"/>
        <item x="290"/>
        <item x="683"/>
        <item x="892"/>
        <item x="867"/>
        <item x="348"/>
        <item x="782"/>
        <item x="562"/>
        <item x="315"/>
        <item x="586"/>
        <item x="756"/>
        <item x="189"/>
        <item x="920"/>
        <item x="671"/>
        <item x="2"/>
        <item x="506"/>
        <item x="792"/>
        <item x="703"/>
        <item x="643"/>
        <item x="851"/>
        <item x="610"/>
        <item x="349"/>
        <item x="531"/>
        <item x="575"/>
        <item x="251"/>
        <item x="675"/>
        <item x="64"/>
        <item x="377"/>
        <item x="467"/>
        <item x="670"/>
        <item x="560"/>
        <item x="749"/>
        <item x="886"/>
        <item x="814"/>
        <item x="802"/>
        <item x="796"/>
        <item x="566"/>
        <item x="118"/>
        <item x="622"/>
        <item x="658"/>
        <item x="696"/>
        <item x="517"/>
        <item x="933"/>
        <item x="873"/>
        <item x="537"/>
        <item x="800"/>
        <item x="915"/>
        <item x="817"/>
        <item x="12"/>
        <item x="529"/>
        <item x="650"/>
        <item x="106"/>
        <item x="103"/>
        <item x="323"/>
        <item x="776"/>
        <item x="906"/>
        <item x="930"/>
        <item x="801"/>
        <item x="713"/>
        <item x="474"/>
        <item x="149"/>
        <item x="656"/>
        <item x="868"/>
        <item x="799"/>
        <item x="778"/>
        <item x="847"/>
        <item x="274"/>
        <item x="810"/>
        <item x="916"/>
        <item x="809"/>
        <item x="447"/>
        <item x="764"/>
        <item x="360"/>
        <item x="731"/>
        <item x="493"/>
        <item x="795"/>
        <item x="663"/>
        <item x="185"/>
        <item x="87"/>
        <item x="481"/>
        <item x="177"/>
        <item x="784"/>
        <item x="819"/>
        <item x="519"/>
        <item x="584"/>
        <item x="717"/>
        <item x="700"/>
        <item x="637"/>
        <item x="839"/>
        <item x="44"/>
        <item x="837"/>
        <item x="525"/>
        <item x="40"/>
        <item x="652"/>
        <item x="131"/>
        <item x="838"/>
        <item x="692"/>
        <item x="510"/>
        <item x="223"/>
        <item x="825"/>
        <item x="516"/>
        <item x="786"/>
        <item x="513"/>
        <item x="907"/>
        <item x="714"/>
        <item x="662"/>
        <item x="770"/>
        <item x="311"/>
        <item x="878"/>
        <item x="865"/>
        <item x="924"/>
        <item x="927"/>
        <item x="912"/>
        <item x="688"/>
        <item x="891"/>
        <item x="284"/>
        <item x="781"/>
        <item x="676"/>
        <item x="96"/>
        <item x="747"/>
        <item x="373"/>
        <item x="694"/>
        <item x="806"/>
        <item x="31"/>
        <item x="621"/>
        <item x="416"/>
        <item x="616"/>
        <item x="488"/>
        <item x="626"/>
        <item x="832"/>
        <item x="648"/>
        <item x="880"/>
        <item x="815"/>
        <item x="640"/>
        <item x="499"/>
        <item x="917"/>
        <item x="896"/>
        <item x="702"/>
        <item x="712"/>
        <item x="36"/>
        <item x="914"/>
        <item x="645"/>
        <item x="437"/>
        <item x="718"/>
        <item x="848"/>
        <item x="708"/>
        <item x="833"/>
        <item x="894"/>
      </items>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compact="0" numFmtId="15" outline="0" showAll="0" defaultSubtotal="0">
      <items count="36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s>
      <extLst>
        <ext xmlns:x14="http://schemas.microsoft.com/office/spreadsheetml/2009/9/main" uri="{2946ED86-A175-432a-8AC1-64E0C546D7DE}">
          <x14:pivotField fillDownLabels="1"/>
        </ext>
      </extLst>
    </pivotField>
    <pivotField compact="0" numFmtId="15"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5">
        <item x="0"/>
        <item x="3"/>
        <item x="4"/>
        <item x="2"/>
        <item x="1"/>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outline="0" showAll="0" defaultSubtotal="0">
      <items count="1">
        <item x="0"/>
      </items>
      <extLst>
        <ext xmlns:x14="http://schemas.microsoft.com/office/spreadsheetml/2009/9/main" uri="{2946ED86-A175-432a-8AC1-64E0C546D7DE}">
          <x14:pivotField fillDownLabels="1"/>
        </ext>
      </extLst>
    </pivotField>
    <pivotField axis="axisRow" compact="0" outline="0" showAll="0" defaultSubtotal="0">
      <items count="58">
        <item x="21"/>
        <item x="0"/>
        <item x="46"/>
        <item x="51"/>
        <item x="14"/>
        <item x="54"/>
        <item x="1"/>
        <item x="57"/>
        <item x="42"/>
        <item x="2"/>
        <item x="27"/>
        <item x="44"/>
        <item x="33"/>
        <item x="15"/>
        <item x="22"/>
        <item x="34"/>
        <item x="50"/>
        <item x="55"/>
        <item x="3"/>
        <item x="37"/>
        <item x="43"/>
        <item x="40"/>
        <item x="29"/>
        <item x="24"/>
        <item x="39"/>
        <item x="47"/>
        <item x="49"/>
        <item x="16"/>
        <item x="4"/>
        <item x="25"/>
        <item x="5"/>
        <item x="35"/>
        <item x="23"/>
        <item x="6"/>
        <item x="36"/>
        <item x="7"/>
        <item x="8"/>
        <item x="17"/>
        <item x="26"/>
        <item x="41"/>
        <item x="9"/>
        <item x="10"/>
        <item x="11"/>
        <item x="32"/>
        <item x="53"/>
        <item x="48"/>
        <item x="30"/>
        <item x="38"/>
        <item x="18"/>
        <item x="19"/>
        <item x="31"/>
        <item x="12"/>
        <item x="45"/>
        <item x="20"/>
        <item x="52"/>
        <item x="13"/>
        <item x="28"/>
        <item x="56"/>
      </items>
      <extLst>
        <ext xmlns:x14="http://schemas.microsoft.com/office/spreadsheetml/2009/9/main" uri="{2946ED86-A175-432a-8AC1-64E0C546D7DE}">
          <x14:pivotField fillDownLabels="1"/>
        </ext>
      </extLst>
    </pivotField>
    <pivotField compact="0" outline="0" showAll="0" defaultSubtotal="0">
      <items count="15">
        <item x="7"/>
        <item x="3"/>
        <item x="1"/>
        <item x="2"/>
        <item x="5"/>
        <item x="0"/>
        <item x="4"/>
        <item x="6"/>
        <item x="9"/>
        <item x="8"/>
        <item x="14"/>
        <item x="11"/>
        <item x="13"/>
        <item x="10"/>
        <item x="12"/>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4">
        <item x="2"/>
        <item x="1"/>
        <item x="3"/>
        <item x="0"/>
      </items>
      <extLst>
        <ext xmlns:x14="http://schemas.microsoft.com/office/spreadsheetml/2009/9/main" uri="{2946ED86-A175-432a-8AC1-64E0C546D7DE}">
          <x14:pivotField fillDownLabels="1"/>
        </ext>
      </extLst>
    </pivotField>
    <pivotField compact="0" outline="0" showAll="0" defaultSubtotal="0">
      <items count="7">
        <item sd="0" x="0"/>
        <item sd="0" x="1"/>
        <item sd="0" x="2"/>
        <item sd="0" x="4"/>
        <item sd="0" x="3"/>
        <item x="5"/>
        <item x="6"/>
      </items>
      <extLst>
        <ext xmlns:x14="http://schemas.microsoft.com/office/spreadsheetml/2009/9/main" uri="{2946ED86-A175-432a-8AC1-64E0C546D7DE}">
          <x14:pivotField fillDownLabels="1"/>
        </ext>
      </extLst>
    </pivotField>
    <pivotField compact="0" outline="0" subtotalTop="0" showAll="0" defaultSubtotal="0">
      <items count="9">
        <item x="5"/>
        <item x="3"/>
        <item x="1"/>
        <item x="2"/>
        <item x="4"/>
        <item x="0"/>
        <item x="8"/>
        <item x="6"/>
        <item x="7"/>
      </items>
      <extLst>
        <ext xmlns:x14="http://schemas.microsoft.com/office/spreadsheetml/2009/9/main" uri="{2946ED86-A175-432a-8AC1-64E0C546D7DE}">
          <x14:pivotField fillDownLabels="1"/>
        </ext>
      </extLst>
    </pivotField>
    <pivotField compact="0" outline="0" subtotalTop="0" showAll="0" defaultSubtotal="0">
      <items count="14">
        <item x="0"/>
        <item x="1"/>
        <item x="2"/>
        <item x="3"/>
        <item x="4"/>
        <item x="5"/>
        <item x="6"/>
        <item x="7"/>
        <item x="8"/>
        <item x="9"/>
        <item x="10"/>
        <item x="11"/>
        <item x="12"/>
        <item x="13"/>
      </items>
      <extLst>
        <ext xmlns:x14="http://schemas.microsoft.com/office/spreadsheetml/2009/9/main" uri="{2946ED86-A175-432a-8AC1-64E0C546D7DE}">
          <x14:pivotField fillDownLabels="1"/>
        </ext>
      </extLst>
    </pivotField>
    <pivotField compact="0" outline="0" subtotalTop="0" showAll="0" defaultSubtotal="0">
      <items count="200">
        <item x="4"/>
        <item x="198"/>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199"/>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0"/>
        <item x="1"/>
        <item x="2"/>
        <item x="3"/>
      </items>
      <extLst>
        <ext xmlns:x14="http://schemas.microsoft.com/office/spreadsheetml/2009/9/main" uri="{2946ED86-A175-432a-8AC1-64E0C546D7DE}">
          <x14:pivotField fillDownLabels="1"/>
        </ext>
      </extLst>
    </pivotField>
  </pivotFields>
  <rowFields count="2">
    <field x="10"/>
    <field x="11"/>
  </rowFields>
  <rowItems count="58">
    <i>
      <x/>
      <x/>
    </i>
    <i r="1">
      <x v="1"/>
    </i>
    <i r="1">
      <x v="2"/>
    </i>
    <i r="1">
      <x v="3"/>
    </i>
    <i r="1">
      <x v="4"/>
    </i>
    <i r="1">
      <x v="5"/>
    </i>
    <i r="1">
      <x v="6"/>
    </i>
    <i r="1">
      <x v="7"/>
    </i>
    <i r="1">
      <x v="8"/>
    </i>
    <i r="1">
      <x v="9"/>
    </i>
    <i r="1">
      <x v="10"/>
    </i>
    <i r="1">
      <x v="11"/>
    </i>
    <i r="1">
      <x v="12"/>
    </i>
    <i r="1">
      <x v="13"/>
    </i>
    <i r="1">
      <x v="14"/>
    </i>
    <i r="1">
      <x v="15"/>
    </i>
    <i r="1">
      <x v="16"/>
    </i>
    <i r="1">
      <x v="17"/>
    </i>
    <i r="1">
      <x v="18"/>
    </i>
    <i r="1">
      <x v="19"/>
    </i>
    <i r="1">
      <x v="20"/>
    </i>
    <i r="1">
      <x v="21"/>
    </i>
    <i r="1">
      <x v="22"/>
    </i>
    <i r="1">
      <x v="23"/>
    </i>
    <i r="1">
      <x v="24"/>
    </i>
    <i r="1">
      <x v="25"/>
    </i>
    <i r="1">
      <x v="26"/>
    </i>
    <i r="1">
      <x v="27"/>
    </i>
    <i r="1">
      <x v="28"/>
    </i>
    <i r="1">
      <x v="29"/>
    </i>
    <i r="1">
      <x v="30"/>
    </i>
    <i r="1">
      <x v="31"/>
    </i>
    <i r="1">
      <x v="32"/>
    </i>
    <i r="1">
      <x v="33"/>
    </i>
    <i r="1">
      <x v="34"/>
    </i>
    <i r="1">
      <x v="35"/>
    </i>
    <i r="1">
      <x v="36"/>
    </i>
    <i r="1">
      <x v="37"/>
    </i>
    <i r="1">
      <x v="38"/>
    </i>
    <i r="1">
      <x v="39"/>
    </i>
    <i r="1">
      <x v="40"/>
    </i>
    <i r="1">
      <x v="41"/>
    </i>
    <i r="1">
      <x v="42"/>
    </i>
    <i r="1">
      <x v="43"/>
    </i>
    <i r="1">
      <x v="44"/>
    </i>
    <i r="1">
      <x v="45"/>
    </i>
    <i r="1">
      <x v="46"/>
    </i>
    <i r="1">
      <x v="47"/>
    </i>
    <i r="1">
      <x v="48"/>
    </i>
    <i r="1">
      <x v="49"/>
    </i>
    <i r="1">
      <x v="50"/>
    </i>
    <i r="1">
      <x v="51"/>
    </i>
    <i r="1">
      <x v="52"/>
    </i>
    <i r="1">
      <x v="53"/>
    </i>
    <i r="1">
      <x v="54"/>
    </i>
    <i r="1">
      <x v="55"/>
    </i>
    <i r="1">
      <x v="56"/>
    </i>
    <i r="1">
      <x v="57"/>
    </i>
  </rowItems>
  <colFields count="1">
    <field x="-2"/>
  </colFields>
  <colItems count="2">
    <i>
      <x/>
    </i>
    <i i="1">
      <x v="1"/>
    </i>
  </colItems>
  <dataFields count="2">
    <dataField name="Sum of Quantity" fld="2" baseField="0" baseItem="0"/>
    <dataField name="Sum of Amount"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7F67475A-9B21-44DF-BF0E-1516196FA4DC}" name="PvtWeek"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6" rowHeaderCaption="Week">
  <location ref="A8:C22" firstHeaderRow="0" firstDataRow="1" firstDataCol="1"/>
  <pivotFields count="19">
    <pivotField dataField="1" showAll="0"/>
    <pivotField showAll="0"/>
    <pivotField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items count="935">
        <item x="178"/>
        <item x="159"/>
        <item x="97"/>
        <item x="441"/>
        <item x="265"/>
        <item x="401"/>
        <item x="0"/>
        <item x="408"/>
        <item x="229"/>
        <item x="370"/>
        <item x="61"/>
        <item x="463"/>
        <item x="860"/>
        <item x="604"/>
        <item x="426"/>
        <item x="608"/>
        <item x="877"/>
        <item x="932"/>
        <item x="822"/>
        <item x="150"/>
        <item x="335"/>
        <item x="885"/>
        <item x="888"/>
        <item x="169"/>
        <item x="609"/>
        <item x="826"/>
        <item x="905"/>
        <item x="862"/>
        <item x="270"/>
        <item x="221"/>
        <item x="503"/>
        <item x="476"/>
        <item x="536"/>
        <item x="388"/>
        <item x="678"/>
        <item x="455"/>
        <item x="83"/>
        <item x="255"/>
        <item x="137"/>
        <item x="35"/>
        <item x="496"/>
        <item x="398"/>
        <item x="342"/>
        <item x="261"/>
        <item x="857"/>
        <item x="655"/>
        <item x="879"/>
        <item x="639"/>
        <item x="569"/>
        <item x="384"/>
        <item x="929"/>
        <item x="771"/>
        <item x="727"/>
        <item x="161"/>
        <item x="893"/>
        <item x="25"/>
        <item x="228"/>
        <item x="130"/>
        <item x="71"/>
        <item x="53"/>
        <item x="606"/>
        <item x="762"/>
        <item x="383"/>
        <item x="856"/>
        <item x="99"/>
        <item x="465"/>
        <item x="585"/>
        <item x="333"/>
        <item x="104"/>
        <item x="129"/>
        <item x="30"/>
        <item x="359"/>
        <item x="55"/>
        <item x="918"/>
        <item x="415"/>
        <item x="266"/>
        <item x="478"/>
        <item x="82"/>
        <item x="157"/>
        <item x="490"/>
        <item x="260"/>
        <item x="736"/>
        <item x="127"/>
        <item x="293"/>
        <item x="580"/>
        <item x="468"/>
        <item x="289"/>
        <item x="390"/>
        <item x="588"/>
        <item x="65"/>
        <item x="438"/>
        <item x="191"/>
        <item x="210"/>
        <item x="302"/>
        <item x="332"/>
        <item x="592"/>
        <item x="33"/>
        <item x="301"/>
        <item x="421"/>
        <item x="595"/>
        <item x="237"/>
        <item x="597"/>
        <item x="208"/>
        <item x="9"/>
        <item x="243"/>
        <item x="351"/>
        <item x="188"/>
        <item x="625"/>
        <item x="409"/>
        <item x="887"/>
        <item x="59"/>
        <item x="372"/>
        <item x="121"/>
        <item x="139"/>
        <item x="234"/>
        <item x="174"/>
        <item x="483"/>
        <item x="273"/>
        <item x="209"/>
        <item x="661"/>
        <item x="512"/>
        <item x="51"/>
        <item x="278"/>
        <item x="249"/>
        <item x="362"/>
        <item x="605"/>
        <item x="486"/>
        <item x="187"/>
        <item x="769"/>
        <item x="403"/>
        <item x="19"/>
        <item x="631"/>
        <item x="855"/>
        <item x="423"/>
        <item x="170"/>
        <item x="679"/>
        <item x="136"/>
        <item x="122"/>
        <item x="269"/>
        <item x="615"/>
        <item x="457"/>
        <item x="133"/>
        <item x="23"/>
        <item x="38"/>
        <item x="439"/>
        <item x="494"/>
        <item x="48"/>
        <item x="436"/>
        <item x="49"/>
        <item x="399"/>
        <item x="295"/>
        <item x="807"/>
        <item x="336"/>
        <item x="231"/>
        <item x="843"/>
        <item x="389"/>
        <item x="646"/>
        <item x="343"/>
        <item x="627"/>
        <item x="257"/>
        <item x="742"/>
        <item x="805"/>
        <item x="70"/>
        <item x="365"/>
        <item x="85"/>
        <item x="167"/>
        <item x="144"/>
        <item x="538"/>
        <item x="690"/>
        <item x="581"/>
        <item x="402"/>
        <item x="143"/>
        <item x="647"/>
        <item x="669"/>
        <item x="686"/>
        <item x="47"/>
        <item x="755"/>
        <item x="32"/>
        <item x="500"/>
        <item x="90"/>
        <item x="224"/>
        <item x="165"/>
        <item x="248"/>
        <item x="162"/>
        <item x="1"/>
        <item x="630"/>
        <item x="607"/>
        <item x="15"/>
        <item x="452"/>
        <item x="16"/>
        <item x="63"/>
        <item x="375"/>
        <item x="541"/>
        <item x="217"/>
        <item x="680"/>
        <item x="132"/>
        <item x="216"/>
        <item x="590"/>
        <item x="34"/>
        <item x="201"/>
        <item x="380"/>
        <item x="240"/>
        <item x="498"/>
        <item x="504"/>
        <item x="101"/>
        <item x="195"/>
        <item x="413"/>
        <item x="619"/>
        <item x="614"/>
        <item x="199"/>
        <item x="846"/>
        <item x="57"/>
        <item x="172"/>
        <item x="232"/>
        <item x="570"/>
        <item x="532"/>
        <item x="601"/>
        <item x="412"/>
        <item x="324"/>
        <item x="268"/>
        <item x="120"/>
        <item x="695"/>
        <item x="766"/>
        <item x="176"/>
        <item x="292"/>
        <item x="267"/>
        <item x="271"/>
        <item x="775"/>
        <item x="334"/>
        <item x="200"/>
        <item x="341"/>
        <item x="908"/>
        <item x="803"/>
        <item x="533"/>
        <item x="8"/>
        <item x="385"/>
        <item x="275"/>
        <item x="307"/>
        <item x="160"/>
        <item x="310"/>
        <item x="791"/>
        <item x="128"/>
        <item x="355"/>
        <item x="17"/>
        <item x="294"/>
        <item x="78"/>
        <item x="711"/>
        <item x="571"/>
        <item x="719"/>
        <item x="790"/>
        <item x="105"/>
        <item x="484"/>
        <item x="151"/>
        <item x="410"/>
        <item x="3"/>
        <item x="256"/>
        <item x="430"/>
        <item x="545"/>
        <item x="202"/>
        <item x="751"/>
        <item x="629"/>
        <item x="153"/>
        <item x="392"/>
        <item x="26"/>
        <item x="665"/>
        <item x="400"/>
        <item x="37"/>
        <item x="644"/>
        <item x="406"/>
        <item x="418"/>
        <item x="632"/>
        <item x="557"/>
        <item x="180"/>
        <item x="138"/>
        <item x="759"/>
        <item x="811"/>
        <item x="152"/>
        <item x="464"/>
        <item x="931"/>
        <item x="7"/>
        <item x="664"/>
        <item x="145"/>
        <item x="722"/>
        <item x="253"/>
        <item x="363"/>
        <item x="446"/>
        <item x="29"/>
        <item x="758"/>
        <item x="387"/>
        <item x="397"/>
        <item x="50"/>
        <item x="329"/>
        <item x="654"/>
        <item x="52"/>
        <item x="80"/>
        <item x="245"/>
        <item x="300"/>
        <item x="624"/>
        <item x="567"/>
        <item x="318"/>
        <item x="394"/>
        <item x="687"/>
        <item x="325"/>
        <item x="272"/>
        <item x="443"/>
        <item x="429"/>
        <item x="280"/>
        <item x="39"/>
        <item x="522"/>
        <item x="705"/>
        <item x="171"/>
        <item x="347"/>
        <item x="458"/>
        <item x="535"/>
        <item x="20"/>
        <item x="910"/>
        <item x="548"/>
        <item x="369"/>
        <item x="236"/>
        <item x="112"/>
        <item x="73"/>
        <item x="239"/>
        <item x="926"/>
        <item x="613"/>
        <item x="788"/>
        <item x="125"/>
        <item x="303"/>
        <item x="226"/>
        <item x="291"/>
        <item x="299"/>
        <item x="102"/>
        <item x="600"/>
        <item x="357"/>
        <item x="108"/>
        <item x="511"/>
        <item x="206"/>
        <item x="544"/>
        <item x="354"/>
        <item x="193"/>
        <item x="425"/>
        <item x="340"/>
        <item x="587"/>
        <item x="594"/>
        <item x="21"/>
        <item x="84"/>
        <item x="528"/>
        <item x="642"/>
        <item x="344"/>
        <item x="550"/>
        <item x="219"/>
        <item x="68"/>
        <item x="356"/>
        <item x="672"/>
        <item x="134"/>
        <item x="367"/>
        <item x="196"/>
        <item x="142"/>
        <item x="297"/>
        <item x="591"/>
        <item x="72"/>
        <item x="286"/>
        <item x="379"/>
        <item x="242"/>
        <item x="126"/>
        <item x="816"/>
        <item x="11"/>
        <item x="182"/>
        <item x="364"/>
        <item x="660"/>
        <item x="183"/>
        <item x="432"/>
        <item x="659"/>
        <item x="235"/>
        <item x="850"/>
        <item x="308"/>
        <item x="869"/>
        <item x="534"/>
        <item x="612"/>
        <item x="88"/>
        <item x="93"/>
        <item x="79"/>
        <item x="155"/>
        <item x="179"/>
        <item x="28"/>
        <item x="707"/>
        <item x="18"/>
        <item x="440"/>
        <item x="353"/>
        <item x="258"/>
        <item x="599"/>
        <item x="728"/>
        <item x="309"/>
        <item x="147"/>
        <item x="424"/>
        <item x="168"/>
        <item x="184"/>
        <item x="793"/>
        <item x="574"/>
        <item x="515"/>
        <item x="166"/>
        <item x="699"/>
        <item x="119"/>
        <item x="434"/>
        <item x="422"/>
        <item x="98"/>
        <item x="213"/>
        <item x="459"/>
        <item x="230"/>
        <item x="789"/>
        <item x="582"/>
        <item x="526"/>
        <item x="589"/>
        <item x="190"/>
        <item x="641"/>
        <item x="715"/>
        <item x="706"/>
        <item x="352"/>
        <item x="10"/>
        <item x="42"/>
        <item x="514"/>
        <item x="86"/>
        <item x="76"/>
        <item x="123"/>
        <item x="173"/>
        <item x="282"/>
        <item x="204"/>
        <item x="6"/>
        <item x="842"/>
        <item x="572"/>
        <item x="495"/>
        <item x="740"/>
        <item x="502"/>
        <item x="218"/>
        <item x="628"/>
        <item x="634"/>
        <item x="623"/>
        <item x="576"/>
        <item x="448"/>
        <item x="472"/>
        <item x="4"/>
        <item x="382"/>
        <item x="881"/>
        <item x="551"/>
        <item x="140"/>
        <item x="27"/>
        <item x="405"/>
        <item x="214"/>
        <item x="884"/>
        <item x="222"/>
        <item x="461"/>
        <item x="211"/>
        <item x="787"/>
        <item x="491"/>
        <item x="215"/>
        <item x="296"/>
        <item x="207"/>
        <item x="277"/>
        <item x="635"/>
        <item x="75"/>
        <item x="785"/>
        <item x="466"/>
        <item x="395"/>
        <item x="721"/>
        <item x="523"/>
        <item x="737"/>
        <item x="542"/>
        <item x="233"/>
        <item x="684"/>
        <item x="115"/>
        <item x="396"/>
        <item x="316"/>
        <item x="841"/>
        <item x="110"/>
        <item x="738"/>
        <item x="322"/>
        <item x="247"/>
        <item x="530"/>
        <item x="701"/>
        <item x="552"/>
        <item x="553"/>
        <item x="156"/>
        <item x="501"/>
        <item x="750"/>
        <item x="148"/>
        <item x="854"/>
        <item x="89"/>
        <item x="480"/>
        <item x="227"/>
        <item x="547"/>
        <item x="205"/>
        <item x="198"/>
        <item x="556"/>
        <item x="470"/>
        <item x="366"/>
        <item x="829"/>
        <item x="407"/>
        <item x="821"/>
        <item x="94"/>
        <item x="56"/>
        <item x="113"/>
        <item x="734"/>
        <item x="427"/>
        <item x="305"/>
        <item x="46"/>
        <item x="259"/>
        <item x="565"/>
        <item x="761"/>
        <item x="444"/>
        <item x="58"/>
        <item x="780"/>
        <item x="281"/>
        <item x="554"/>
        <item x="337"/>
        <item x="497"/>
        <item x="92"/>
        <item x="146"/>
        <item x="203"/>
        <item x="225"/>
        <item x="456"/>
        <item x="313"/>
        <item x="404"/>
        <item x="834"/>
        <item x="244"/>
        <item x="779"/>
        <item x="757"/>
        <item x="667"/>
        <item x="730"/>
        <item x="633"/>
        <item x="563"/>
        <item x="450"/>
        <item x="14"/>
        <item x="114"/>
        <item x="668"/>
        <item x="783"/>
        <item x="618"/>
        <item x="748"/>
        <item x="246"/>
        <item x="212"/>
        <item x="509"/>
        <item x="469"/>
        <item x="666"/>
        <item x="735"/>
        <item x="197"/>
        <item x="704"/>
        <item x="657"/>
        <item x="419"/>
        <item x="43"/>
        <item x="596"/>
        <item x="794"/>
        <item x="725"/>
        <item x="192"/>
        <item x="276"/>
        <item x="62"/>
        <item x="327"/>
        <item x="135"/>
        <item x="181"/>
        <item x="393"/>
        <item x="330"/>
        <item x="579"/>
        <item x="163"/>
        <item x="673"/>
        <item x="451"/>
        <item x="264"/>
        <item x="911"/>
        <item x="431"/>
        <item x="578"/>
        <item x="471"/>
        <item x="45"/>
        <item x="60"/>
        <item x="760"/>
        <item x="254"/>
        <item x="674"/>
        <item x="598"/>
        <item x="925"/>
        <item x="928"/>
        <item x="774"/>
        <item x="866"/>
        <item x="489"/>
        <item x="583"/>
        <item x="462"/>
        <item x="559"/>
        <item x="391"/>
        <item x="524"/>
        <item x="899"/>
        <item x="111"/>
        <item x="378"/>
        <item x="651"/>
        <item x="508"/>
        <item x="773"/>
        <item x="858"/>
        <item x="326"/>
        <item x="746"/>
        <item x="603"/>
        <item x="417"/>
        <item x="752"/>
        <item x="492"/>
        <item x="91"/>
        <item x="285"/>
        <item x="487"/>
        <item x="374"/>
        <item x="913"/>
        <item x="577"/>
        <item x="859"/>
        <item x="124"/>
        <item x="836"/>
        <item x="823"/>
        <item x="164"/>
        <item x="767"/>
        <item x="903"/>
        <item x="107"/>
        <item x="897"/>
        <item x="741"/>
        <item x="828"/>
        <item x="863"/>
        <item x="81"/>
        <item x="693"/>
        <item x="312"/>
        <item x="777"/>
        <item x="710"/>
        <item x="505"/>
        <item x="158"/>
        <item x="473"/>
        <item x="898"/>
        <item x="716"/>
        <item x="685"/>
        <item x="77"/>
        <item x="561"/>
        <item x="414"/>
        <item x="546"/>
        <item x="304"/>
        <item x="22"/>
        <item x="442"/>
        <item x="889"/>
        <item x="454"/>
        <item x="611"/>
        <item x="902"/>
        <item x="697"/>
        <item x="853"/>
        <item x="41"/>
        <item x="827"/>
        <item x="262"/>
        <item x="328"/>
        <item x="830"/>
        <item x="870"/>
        <item x="453"/>
        <item x="521"/>
        <item x="186"/>
        <item x="428"/>
        <item x="844"/>
        <item x="220"/>
        <item x="921"/>
        <item x="682"/>
        <item x="445"/>
        <item x="890"/>
        <item x="321"/>
        <item x="298"/>
        <item x="5"/>
        <item x="331"/>
        <item x="371"/>
        <item x="861"/>
        <item x="922"/>
        <item x="726"/>
        <item x="883"/>
        <item x="636"/>
        <item x="872"/>
        <item x="845"/>
        <item x="100"/>
        <item x="798"/>
        <item x="288"/>
        <item x="564"/>
        <item x="555"/>
        <item x="345"/>
        <item x="874"/>
        <item x="744"/>
        <item x="602"/>
        <item x="376"/>
        <item x="909"/>
        <item x="768"/>
        <item x="753"/>
        <item x="449"/>
        <item x="804"/>
        <item x="797"/>
        <item x="813"/>
        <item x="507"/>
        <item x="154"/>
        <item x="479"/>
        <item x="724"/>
        <item x="808"/>
        <item x="317"/>
        <item x="691"/>
        <item x="241"/>
        <item x="117"/>
        <item x="745"/>
        <item x="13"/>
        <item x="689"/>
        <item x="723"/>
        <item x="24"/>
        <item x="527"/>
        <item x="346"/>
        <item x="66"/>
        <item x="69"/>
        <item x="141"/>
        <item x="314"/>
        <item x="763"/>
        <item x="411"/>
        <item x="238"/>
        <item x="677"/>
        <item x="820"/>
        <item x="54"/>
        <item x="338"/>
        <item x="739"/>
        <item x="116"/>
        <item x="754"/>
        <item x="638"/>
        <item x="520"/>
        <item x="923"/>
        <item x="109"/>
        <item x="306"/>
        <item x="368"/>
        <item x="743"/>
        <item x="283"/>
        <item x="824"/>
        <item x="95"/>
        <item x="895"/>
        <item x="420"/>
        <item x="252"/>
        <item x="482"/>
        <item x="864"/>
        <item x="477"/>
        <item x="568"/>
        <item x="381"/>
        <item x="831"/>
        <item x="263"/>
        <item x="573"/>
        <item x="840"/>
        <item x="549"/>
        <item x="350"/>
        <item x="732"/>
        <item x="558"/>
        <item x="812"/>
        <item x="433"/>
        <item x="900"/>
        <item x="876"/>
        <item x="849"/>
        <item x="194"/>
        <item x="818"/>
        <item x="871"/>
        <item x="67"/>
        <item x="709"/>
        <item x="475"/>
        <item x="729"/>
        <item x="543"/>
        <item x="287"/>
        <item x="539"/>
        <item x="765"/>
        <item x="358"/>
        <item x="279"/>
        <item x="361"/>
        <item x="875"/>
        <item x="620"/>
        <item x="320"/>
        <item x="919"/>
        <item x="435"/>
        <item x="904"/>
        <item x="835"/>
        <item x="540"/>
        <item x="593"/>
        <item x="772"/>
        <item x="386"/>
        <item x="319"/>
        <item x="74"/>
        <item x="175"/>
        <item x="653"/>
        <item x="617"/>
        <item x="852"/>
        <item x="720"/>
        <item x="485"/>
        <item x="882"/>
        <item x="733"/>
        <item x="460"/>
        <item x="339"/>
        <item x="518"/>
        <item x="250"/>
        <item x="901"/>
        <item x="681"/>
        <item x="698"/>
        <item x="649"/>
        <item x="290"/>
        <item x="683"/>
        <item x="892"/>
        <item x="867"/>
        <item x="348"/>
        <item x="782"/>
        <item x="562"/>
        <item x="315"/>
        <item x="586"/>
        <item x="756"/>
        <item x="189"/>
        <item x="920"/>
        <item x="671"/>
        <item x="2"/>
        <item x="506"/>
        <item x="792"/>
        <item x="703"/>
        <item x="643"/>
        <item x="851"/>
        <item x="610"/>
        <item x="349"/>
        <item x="531"/>
        <item x="575"/>
        <item x="251"/>
        <item x="675"/>
        <item x="64"/>
        <item x="377"/>
        <item x="467"/>
        <item x="670"/>
        <item x="560"/>
        <item x="749"/>
        <item x="886"/>
        <item x="814"/>
        <item x="802"/>
        <item x="796"/>
        <item x="566"/>
        <item x="118"/>
        <item x="622"/>
        <item x="658"/>
        <item x="696"/>
        <item x="517"/>
        <item x="933"/>
        <item x="873"/>
        <item x="537"/>
        <item x="800"/>
        <item x="915"/>
        <item x="817"/>
        <item x="12"/>
        <item x="529"/>
        <item x="650"/>
        <item x="106"/>
        <item x="103"/>
        <item x="323"/>
        <item x="776"/>
        <item x="906"/>
        <item x="930"/>
        <item x="801"/>
        <item x="713"/>
        <item x="474"/>
        <item x="149"/>
        <item x="656"/>
        <item x="868"/>
        <item x="799"/>
        <item x="778"/>
        <item x="847"/>
        <item x="274"/>
        <item x="810"/>
        <item x="916"/>
        <item x="809"/>
        <item x="447"/>
        <item x="764"/>
        <item x="360"/>
        <item x="731"/>
        <item x="493"/>
        <item x="795"/>
        <item x="663"/>
        <item x="185"/>
        <item x="87"/>
        <item x="481"/>
        <item x="177"/>
        <item x="784"/>
        <item x="819"/>
        <item x="519"/>
        <item x="584"/>
        <item x="717"/>
        <item x="700"/>
        <item x="637"/>
        <item x="839"/>
        <item x="44"/>
        <item x="837"/>
        <item x="525"/>
        <item x="40"/>
        <item x="652"/>
        <item x="131"/>
        <item x="838"/>
        <item x="692"/>
        <item x="510"/>
        <item x="223"/>
        <item x="825"/>
        <item x="516"/>
        <item x="786"/>
        <item x="513"/>
        <item x="907"/>
        <item x="714"/>
        <item x="662"/>
        <item x="770"/>
        <item x="311"/>
        <item x="878"/>
        <item x="865"/>
        <item x="924"/>
        <item x="927"/>
        <item x="912"/>
        <item x="688"/>
        <item x="891"/>
        <item x="284"/>
        <item x="781"/>
        <item x="676"/>
        <item x="96"/>
        <item x="747"/>
        <item x="373"/>
        <item x="694"/>
        <item x="806"/>
        <item x="31"/>
        <item x="621"/>
        <item x="416"/>
        <item x="616"/>
        <item x="488"/>
        <item x="626"/>
        <item x="832"/>
        <item x="648"/>
        <item x="880"/>
        <item x="815"/>
        <item x="640"/>
        <item x="499"/>
        <item x="917"/>
        <item x="896"/>
        <item x="702"/>
        <item x="712"/>
        <item x="36"/>
        <item x="914"/>
        <item x="645"/>
        <item x="437"/>
        <item x="718"/>
        <item x="848"/>
        <item x="708"/>
        <item x="833"/>
        <item x="894"/>
        <item t="default"/>
      </items>
    </pivotField>
    <pivotField dataField="1" showAll="0"/>
    <pivotField numFmtId="15"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numFmtId="15" showAll="0"/>
    <pivotField showAll="0"/>
    <pivotField showAll="0">
      <items count="6">
        <item x="0"/>
        <item x="3"/>
        <item x="4"/>
        <item x="2"/>
        <item x="1"/>
        <item t="default"/>
      </items>
    </pivotField>
    <pivotField showAll="0"/>
    <pivotField showAll="0"/>
    <pivotField showAll="0"/>
    <pivotField showAll="0">
      <items count="16">
        <item x="7"/>
        <item x="3"/>
        <item x="1"/>
        <item x="2"/>
        <item x="5"/>
        <item x="0"/>
        <item x="4"/>
        <item x="6"/>
        <item x="9"/>
        <item x="8"/>
        <item x="14"/>
        <item x="11"/>
        <item x="13"/>
        <item x="10"/>
        <item x="12"/>
        <item t="default"/>
      </items>
    </pivotField>
    <pivotField axis="axisRow" showAll="0">
      <items count="14">
        <item x="0"/>
        <item x="1"/>
        <item x="2"/>
        <item x="3"/>
        <item x="4"/>
        <item x="5"/>
        <item x="6"/>
        <item x="7"/>
        <item x="8"/>
        <item x="9"/>
        <item x="10"/>
        <item x="11"/>
        <item x="12"/>
        <item t="default"/>
      </items>
    </pivotField>
    <pivotField showAll="0">
      <items count="5">
        <item x="2"/>
        <item x="1"/>
        <item x="3"/>
        <item x="0"/>
        <item t="default"/>
      </items>
    </pivotField>
    <pivotField showAll="0">
      <items count="8">
        <item x="0"/>
        <item x="1"/>
        <item x="2"/>
        <item x="4"/>
        <item x="3"/>
        <item x="5"/>
        <item x="6"/>
        <item t="default"/>
      </items>
    </pivotField>
    <pivotField showAll="0">
      <items count="10">
        <item x="5"/>
        <item x="3"/>
        <item x="1"/>
        <item x="2"/>
        <item x="4"/>
        <item x="0"/>
        <item x="8"/>
        <item x="6"/>
        <item x="7"/>
        <item t="default"/>
      </items>
    </pivotField>
    <pivotField showAll="0">
      <items count="15">
        <item x="0"/>
        <item x="1"/>
        <item x="2"/>
        <item x="3"/>
        <item x="4"/>
        <item x="5"/>
        <item x="6"/>
        <item x="7"/>
        <item x="8"/>
        <item x="9"/>
        <item x="10"/>
        <item x="11"/>
        <item x="12"/>
        <item x="13"/>
        <item t="default"/>
      </items>
    </pivotField>
    <pivotField showAll="0">
      <items count="201">
        <item x="4"/>
        <item x="198"/>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199"/>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0"/>
        <item x="1"/>
        <item x="2"/>
        <item x="3"/>
        <item t="default"/>
      </items>
    </pivotField>
  </pivotFields>
  <rowFields count="1">
    <field x="13"/>
  </rowFields>
  <rowItems count="14">
    <i>
      <x/>
    </i>
    <i>
      <x v="1"/>
    </i>
    <i>
      <x v="2"/>
    </i>
    <i>
      <x v="3"/>
    </i>
    <i>
      <x v="4"/>
    </i>
    <i>
      <x v="5"/>
    </i>
    <i>
      <x v="6"/>
    </i>
    <i>
      <x v="7"/>
    </i>
    <i>
      <x v="8"/>
    </i>
    <i>
      <x v="9"/>
    </i>
    <i>
      <x v="10"/>
    </i>
    <i>
      <x v="11"/>
    </i>
    <i>
      <x v="12"/>
    </i>
    <i t="grand">
      <x/>
    </i>
  </rowItems>
  <colFields count="1">
    <field x="-2"/>
  </colFields>
  <colItems count="2">
    <i>
      <x/>
    </i>
    <i i="1">
      <x v="1"/>
    </i>
  </colItems>
  <dataFields count="2">
    <dataField name="Total Orders" fld="0" subtotal="count" baseField="0" baseItem="0"/>
    <dataField name="Total Amount" fld="4" baseField="13" baseItem="0" numFmtId="164"/>
  </dataFields>
  <chartFormats count="2">
    <chartFormat chart="15" format="4" series="1">
      <pivotArea type="data" outline="0" fieldPosition="0">
        <references count="1">
          <reference field="4294967294" count="1" selected="0">
            <x v="0"/>
          </reference>
        </references>
      </pivotArea>
    </chartFormat>
    <chartFormat chart="15"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F1C17889-E47A-4161-AF21-C9004C8AEFAA}" name="PvtSummary"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3:E4" firstHeaderRow="0" firstDataRow="1" firstDataCol="0"/>
  <pivotFields count="19">
    <pivotField dataField="1" showAll="0"/>
    <pivotField showAll="0"/>
    <pivotField dataField="1"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items count="935">
        <item x="178"/>
        <item x="159"/>
        <item x="97"/>
        <item x="441"/>
        <item x="265"/>
        <item x="401"/>
        <item x="0"/>
        <item x="408"/>
        <item x="229"/>
        <item x="370"/>
        <item x="61"/>
        <item x="463"/>
        <item x="860"/>
        <item x="604"/>
        <item x="426"/>
        <item x="608"/>
        <item x="877"/>
        <item x="932"/>
        <item x="822"/>
        <item x="150"/>
        <item x="335"/>
        <item x="885"/>
        <item x="888"/>
        <item x="169"/>
        <item x="609"/>
        <item x="826"/>
        <item x="905"/>
        <item x="862"/>
        <item x="270"/>
        <item x="221"/>
        <item x="503"/>
        <item x="476"/>
        <item x="536"/>
        <item x="388"/>
        <item x="678"/>
        <item x="455"/>
        <item x="83"/>
        <item x="255"/>
        <item x="137"/>
        <item x="35"/>
        <item x="496"/>
        <item x="398"/>
        <item x="342"/>
        <item x="261"/>
        <item x="857"/>
        <item x="655"/>
        <item x="879"/>
        <item x="639"/>
        <item x="569"/>
        <item x="384"/>
        <item x="929"/>
        <item x="771"/>
        <item x="727"/>
        <item x="161"/>
        <item x="893"/>
        <item x="25"/>
        <item x="228"/>
        <item x="130"/>
        <item x="71"/>
        <item x="53"/>
        <item x="606"/>
        <item x="762"/>
        <item x="383"/>
        <item x="856"/>
        <item x="99"/>
        <item x="465"/>
        <item x="585"/>
        <item x="333"/>
        <item x="104"/>
        <item x="129"/>
        <item x="30"/>
        <item x="359"/>
        <item x="55"/>
        <item x="918"/>
        <item x="415"/>
        <item x="266"/>
        <item x="478"/>
        <item x="82"/>
        <item x="157"/>
        <item x="490"/>
        <item x="260"/>
        <item x="736"/>
        <item x="127"/>
        <item x="293"/>
        <item x="580"/>
        <item x="468"/>
        <item x="289"/>
        <item x="390"/>
        <item x="588"/>
        <item x="65"/>
        <item x="438"/>
        <item x="191"/>
        <item x="210"/>
        <item x="302"/>
        <item x="332"/>
        <item x="592"/>
        <item x="33"/>
        <item x="301"/>
        <item x="421"/>
        <item x="595"/>
        <item x="237"/>
        <item x="597"/>
        <item x="208"/>
        <item x="9"/>
        <item x="243"/>
        <item x="351"/>
        <item x="188"/>
        <item x="625"/>
        <item x="409"/>
        <item x="887"/>
        <item x="59"/>
        <item x="372"/>
        <item x="121"/>
        <item x="139"/>
        <item x="234"/>
        <item x="174"/>
        <item x="483"/>
        <item x="273"/>
        <item x="209"/>
        <item x="661"/>
        <item x="512"/>
        <item x="51"/>
        <item x="278"/>
        <item x="249"/>
        <item x="362"/>
        <item x="605"/>
        <item x="486"/>
        <item x="187"/>
        <item x="769"/>
        <item x="403"/>
        <item x="19"/>
        <item x="631"/>
        <item x="855"/>
        <item x="423"/>
        <item x="170"/>
        <item x="679"/>
        <item x="136"/>
        <item x="122"/>
        <item x="269"/>
        <item x="615"/>
        <item x="457"/>
        <item x="133"/>
        <item x="23"/>
        <item x="38"/>
        <item x="439"/>
        <item x="494"/>
        <item x="48"/>
        <item x="436"/>
        <item x="49"/>
        <item x="399"/>
        <item x="295"/>
        <item x="807"/>
        <item x="336"/>
        <item x="231"/>
        <item x="843"/>
        <item x="389"/>
        <item x="646"/>
        <item x="343"/>
        <item x="627"/>
        <item x="257"/>
        <item x="742"/>
        <item x="805"/>
        <item x="70"/>
        <item x="365"/>
        <item x="85"/>
        <item x="167"/>
        <item x="144"/>
        <item x="538"/>
        <item x="690"/>
        <item x="581"/>
        <item x="402"/>
        <item x="143"/>
        <item x="647"/>
        <item x="669"/>
        <item x="686"/>
        <item x="47"/>
        <item x="755"/>
        <item x="32"/>
        <item x="500"/>
        <item x="90"/>
        <item x="224"/>
        <item x="165"/>
        <item x="248"/>
        <item x="162"/>
        <item x="1"/>
        <item x="630"/>
        <item x="607"/>
        <item x="15"/>
        <item x="452"/>
        <item x="16"/>
        <item x="63"/>
        <item x="375"/>
        <item x="541"/>
        <item x="217"/>
        <item x="680"/>
        <item x="132"/>
        <item x="216"/>
        <item x="590"/>
        <item x="34"/>
        <item x="201"/>
        <item x="380"/>
        <item x="240"/>
        <item x="498"/>
        <item x="504"/>
        <item x="101"/>
        <item x="195"/>
        <item x="413"/>
        <item x="619"/>
        <item x="614"/>
        <item x="199"/>
        <item x="846"/>
        <item x="57"/>
        <item x="172"/>
        <item x="232"/>
        <item x="570"/>
        <item x="532"/>
        <item x="601"/>
        <item x="412"/>
        <item x="324"/>
        <item x="268"/>
        <item x="120"/>
        <item x="695"/>
        <item x="766"/>
        <item x="176"/>
        <item x="292"/>
        <item x="267"/>
        <item x="271"/>
        <item x="775"/>
        <item x="334"/>
        <item x="200"/>
        <item x="341"/>
        <item x="908"/>
        <item x="803"/>
        <item x="533"/>
        <item x="8"/>
        <item x="385"/>
        <item x="275"/>
        <item x="307"/>
        <item x="160"/>
        <item x="310"/>
        <item x="791"/>
        <item x="128"/>
        <item x="355"/>
        <item x="17"/>
        <item x="294"/>
        <item x="78"/>
        <item x="711"/>
        <item x="571"/>
        <item x="719"/>
        <item x="790"/>
        <item x="105"/>
        <item x="484"/>
        <item x="151"/>
        <item x="410"/>
        <item x="3"/>
        <item x="256"/>
        <item x="430"/>
        <item x="545"/>
        <item x="202"/>
        <item x="751"/>
        <item x="629"/>
        <item x="153"/>
        <item x="392"/>
        <item x="26"/>
        <item x="665"/>
        <item x="400"/>
        <item x="37"/>
        <item x="644"/>
        <item x="406"/>
        <item x="418"/>
        <item x="632"/>
        <item x="557"/>
        <item x="180"/>
        <item x="138"/>
        <item x="759"/>
        <item x="811"/>
        <item x="152"/>
        <item x="464"/>
        <item x="931"/>
        <item x="7"/>
        <item x="664"/>
        <item x="145"/>
        <item x="722"/>
        <item x="253"/>
        <item x="363"/>
        <item x="446"/>
        <item x="29"/>
        <item x="758"/>
        <item x="387"/>
        <item x="397"/>
        <item x="50"/>
        <item x="329"/>
        <item x="654"/>
        <item x="52"/>
        <item x="80"/>
        <item x="245"/>
        <item x="300"/>
        <item x="624"/>
        <item x="567"/>
        <item x="318"/>
        <item x="394"/>
        <item x="687"/>
        <item x="325"/>
        <item x="272"/>
        <item x="443"/>
        <item x="429"/>
        <item x="280"/>
        <item x="39"/>
        <item x="522"/>
        <item x="705"/>
        <item x="171"/>
        <item x="347"/>
        <item x="458"/>
        <item x="535"/>
        <item x="20"/>
        <item x="910"/>
        <item x="548"/>
        <item x="369"/>
        <item x="236"/>
        <item x="112"/>
        <item x="73"/>
        <item x="239"/>
        <item x="926"/>
        <item x="613"/>
        <item x="788"/>
        <item x="125"/>
        <item x="303"/>
        <item x="226"/>
        <item x="291"/>
        <item x="299"/>
        <item x="102"/>
        <item x="600"/>
        <item x="357"/>
        <item x="108"/>
        <item x="511"/>
        <item x="206"/>
        <item x="544"/>
        <item x="354"/>
        <item x="193"/>
        <item x="425"/>
        <item x="340"/>
        <item x="587"/>
        <item x="594"/>
        <item x="21"/>
        <item x="84"/>
        <item x="528"/>
        <item x="642"/>
        <item x="344"/>
        <item x="550"/>
        <item x="219"/>
        <item x="68"/>
        <item x="356"/>
        <item x="672"/>
        <item x="134"/>
        <item x="367"/>
        <item x="196"/>
        <item x="142"/>
        <item x="297"/>
        <item x="591"/>
        <item x="72"/>
        <item x="286"/>
        <item x="379"/>
        <item x="242"/>
        <item x="126"/>
        <item x="816"/>
        <item x="11"/>
        <item x="182"/>
        <item x="364"/>
        <item x="660"/>
        <item x="183"/>
        <item x="432"/>
        <item x="659"/>
        <item x="235"/>
        <item x="850"/>
        <item x="308"/>
        <item x="869"/>
        <item x="534"/>
        <item x="612"/>
        <item x="88"/>
        <item x="93"/>
        <item x="79"/>
        <item x="155"/>
        <item x="179"/>
        <item x="28"/>
        <item x="707"/>
        <item x="18"/>
        <item x="440"/>
        <item x="353"/>
        <item x="258"/>
        <item x="599"/>
        <item x="728"/>
        <item x="309"/>
        <item x="147"/>
        <item x="424"/>
        <item x="168"/>
        <item x="184"/>
        <item x="793"/>
        <item x="574"/>
        <item x="515"/>
        <item x="166"/>
        <item x="699"/>
        <item x="119"/>
        <item x="434"/>
        <item x="422"/>
        <item x="98"/>
        <item x="213"/>
        <item x="459"/>
        <item x="230"/>
        <item x="789"/>
        <item x="582"/>
        <item x="526"/>
        <item x="589"/>
        <item x="190"/>
        <item x="641"/>
        <item x="715"/>
        <item x="706"/>
        <item x="352"/>
        <item x="10"/>
        <item x="42"/>
        <item x="514"/>
        <item x="86"/>
        <item x="76"/>
        <item x="123"/>
        <item x="173"/>
        <item x="282"/>
        <item x="204"/>
        <item x="6"/>
        <item x="842"/>
        <item x="572"/>
        <item x="495"/>
        <item x="740"/>
        <item x="502"/>
        <item x="218"/>
        <item x="628"/>
        <item x="634"/>
        <item x="623"/>
        <item x="576"/>
        <item x="448"/>
        <item x="472"/>
        <item x="4"/>
        <item x="382"/>
        <item x="881"/>
        <item x="551"/>
        <item x="140"/>
        <item x="27"/>
        <item x="405"/>
        <item x="214"/>
        <item x="884"/>
        <item x="222"/>
        <item x="461"/>
        <item x="211"/>
        <item x="787"/>
        <item x="491"/>
        <item x="215"/>
        <item x="296"/>
        <item x="207"/>
        <item x="277"/>
        <item x="635"/>
        <item x="75"/>
        <item x="785"/>
        <item x="466"/>
        <item x="395"/>
        <item x="721"/>
        <item x="523"/>
        <item x="737"/>
        <item x="542"/>
        <item x="233"/>
        <item x="684"/>
        <item x="115"/>
        <item x="396"/>
        <item x="316"/>
        <item x="841"/>
        <item x="110"/>
        <item x="738"/>
        <item x="322"/>
        <item x="247"/>
        <item x="530"/>
        <item x="701"/>
        <item x="552"/>
        <item x="553"/>
        <item x="156"/>
        <item x="501"/>
        <item x="750"/>
        <item x="148"/>
        <item x="854"/>
        <item x="89"/>
        <item x="480"/>
        <item x="227"/>
        <item x="547"/>
        <item x="205"/>
        <item x="198"/>
        <item x="556"/>
        <item x="470"/>
        <item x="366"/>
        <item x="829"/>
        <item x="407"/>
        <item x="821"/>
        <item x="94"/>
        <item x="56"/>
        <item x="113"/>
        <item x="734"/>
        <item x="427"/>
        <item x="305"/>
        <item x="46"/>
        <item x="259"/>
        <item x="565"/>
        <item x="761"/>
        <item x="444"/>
        <item x="58"/>
        <item x="780"/>
        <item x="281"/>
        <item x="554"/>
        <item x="337"/>
        <item x="497"/>
        <item x="92"/>
        <item x="146"/>
        <item x="203"/>
        <item x="225"/>
        <item x="456"/>
        <item x="313"/>
        <item x="404"/>
        <item x="834"/>
        <item x="244"/>
        <item x="779"/>
        <item x="757"/>
        <item x="667"/>
        <item x="730"/>
        <item x="633"/>
        <item x="563"/>
        <item x="450"/>
        <item x="14"/>
        <item x="114"/>
        <item x="668"/>
        <item x="783"/>
        <item x="618"/>
        <item x="748"/>
        <item x="246"/>
        <item x="212"/>
        <item x="509"/>
        <item x="469"/>
        <item x="666"/>
        <item x="735"/>
        <item x="197"/>
        <item x="704"/>
        <item x="657"/>
        <item x="419"/>
        <item x="43"/>
        <item x="596"/>
        <item x="794"/>
        <item x="725"/>
        <item x="192"/>
        <item x="276"/>
        <item x="62"/>
        <item x="327"/>
        <item x="135"/>
        <item x="181"/>
        <item x="393"/>
        <item x="330"/>
        <item x="579"/>
        <item x="163"/>
        <item x="673"/>
        <item x="451"/>
        <item x="264"/>
        <item x="911"/>
        <item x="431"/>
        <item x="578"/>
        <item x="471"/>
        <item x="45"/>
        <item x="60"/>
        <item x="760"/>
        <item x="254"/>
        <item x="674"/>
        <item x="598"/>
        <item x="925"/>
        <item x="928"/>
        <item x="774"/>
        <item x="866"/>
        <item x="489"/>
        <item x="583"/>
        <item x="462"/>
        <item x="559"/>
        <item x="391"/>
        <item x="524"/>
        <item x="899"/>
        <item x="111"/>
        <item x="378"/>
        <item x="651"/>
        <item x="508"/>
        <item x="773"/>
        <item x="858"/>
        <item x="326"/>
        <item x="746"/>
        <item x="603"/>
        <item x="417"/>
        <item x="752"/>
        <item x="492"/>
        <item x="91"/>
        <item x="285"/>
        <item x="487"/>
        <item x="374"/>
        <item x="913"/>
        <item x="577"/>
        <item x="859"/>
        <item x="124"/>
        <item x="836"/>
        <item x="823"/>
        <item x="164"/>
        <item x="767"/>
        <item x="903"/>
        <item x="107"/>
        <item x="897"/>
        <item x="741"/>
        <item x="828"/>
        <item x="863"/>
        <item x="81"/>
        <item x="693"/>
        <item x="312"/>
        <item x="777"/>
        <item x="710"/>
        <item x="505"/>
        <item x="158"/>
        <item x="473"/>
        <item x="898"/>
        <item x="716"/>
        <item x="685"/>
        <item x="77"/>
        <item x="561"/>
        <item x="414"/>
        <item x="546"/>
        <item x="304"/>
        <item x="22"/>
        <item x="442"/>
        <item x="889"/>
        <item x="454"/>
        <item x="611"/>
        <item x="902"/>
        <item x="697"/>
        <item x="853"/>
        <item x="41"/>
        <item x="827"/>
        <item x="262"/>
        <item x="328"/>
        <item x="830"/>
        <item x="870"/>
        <item x="453"/>
        <item x="521"/>
        <item x="186"/>
        <item x="428"/>
        <item x="844"/>
        <item x="220"/>
        <item x="921"/>
        <item x="682"/>
        <item x="445"/>
        <item x="890"/>
        <item x="321"/>
        <item x="298"/>
        <item x="5"/>
        <item x="331"/>
        <item x="371"/>
        <item x="861"/>
        <item x="922"/>
        <item x="726"/>
        <item x="883"/>
        <item x="636"/>
        <item x="872"/>
        <item x="845"/>
        <item x="100"/>
        <item x="798"/>
        <item x="288"/>
        <item x="564"/>
        <item x="555"/>
        <item x="345"/>
        <item x="874"/>
        <item x="744"/>
        <item x="602"/>
        <item x="376"/>
        <item x="909"/>
        <item x="768"/>
        <item x="753"/>
        <item x="449"/>
        <item x="804"/>
        <item x="797"/>
        <item x="813"/>
        <item x="507"/>
        <item x="154"/>
        <item x="479"/>
        <item x="724"/>
        <item x="808"/>
        <item x="317"/>
        <item x="691"/>
        <item x="241"/>
        <item x="117"/>
        <item x="745"/>
        <item x="13"/>
        <item x="689"/>
        <item x="723"/>
        <item x="24"/>
        <item x="527"/>
        <item x="346"/>
        <item x="66"/>
        <item x="69"/>
        <item x="141"/>
        <item x="314"/>
        <item x="763"/>
        <item x="411"/>
        <item x="238"/>
        <item x="677"/>
        <item x="820"/>
        <item x="54"/>
        <item x="338"/>
        <item x="739"/>
        <item x="116"/>
        <item x="754"/>
        <item x="638"/>
        <item x="520"/>
        <item x="923"/>
        <item x="109"/>
        <item x="306"/>
        <item x="368"/>
        <item x="743"/>
        <item x="283"/>
        <item x="824"/>
        <item x="95"/>
        <item x="895"/>
        <item x="420"/>
        <item x="252"/>
        <item x="482"/>
        <item x="864"/>
        <item x="477"/>
        <item x="568"/>
        <item x="381"/>
        <item x="831"/>
        <item x="263"/>
        <item x="573"/>
        <item x="840"/>
        <item x="549"/>
        <item x="350"/>
        <item x="732"/>
        <item x="558"/>
        <item x="812"/>
        <item x="433"/>
        <item x="900"/>
        <item x="876"/>
        <item x="849"/>
        <item x="194"/>
        <item x="818"/>
        <item x="871"/>
        <item x="67"/>
        <item x="709"/>
        <item x="475"/>
        <item x="729"/>
        <item x="543"/>
        <item x="287"/>
        <item x="539"/>
        <item x="765"/>
        <item x="358"/>
        <item x="279"/>
        <item x="361"/>
        <item x="875"/>
        <item x="620"/>
        <item x="320"/>
        <item x="919"/>
        <item x="435"/>
        <item x="904"/>
        <item x="835"/>
        <item x="540"/>
        <item x="593"/>
        <item x="772"/>
        <item x="386"/>
        <item x="319"/>
        <item x="74"/>
        <item x="175"/>
        <item x="653"/>
        <item x="617"/>
        <item x="852"/>
        <item x="720"/>
        <item x="485"/>
        <item x="882"/>
        <item x="733"/>
        <item x="460"/>
        <item x="339"/>
        <item x="518"/>
        <item x="250"/>
        <item x="901"/>
        <item x="681"/>
        <item x="698"/>
        <item x="649"/>
        <item x="290"/>
        <item x="683"/>
        <item x="892"/>
        <item x="867"/>
        <item x="348"/>
        <item x="782"/>
        <item x="562"/>
        <item x="315"/>
        <item x="586"/>
        <item x="756"/>
        <item x="189"/>
        <item x="920"/>
        <item x="671"/>
        <item x="2"/>
        <item x="506"/>
        <item x="792"/>
        <item x="703"/>
        <item x="643"/>
        <item x="851"/>
        <item x="610"/>
        <item x="349"/>
        <item x="531"/>
        <item x="575"/>
        <item x="251"/>
        <item x="675"/>
        <item x="64"/>
        <item x="377"/>
        <item x="467"/>
        <item x="670"/>
        <item x="560"/>
        <item x="749"/>
        <item x="886"/>
        <item x="814"/>
        <item x="802"/>
        <item x="796"/>
        <item x="566"/>
        <item x="118"/>
        <item x="622"/>
        <item x="658"/>
        <item x="696"/>
        <item x="517"/>
        <item x="933"/>
        <item x="873"/>
        <item x="537"/>
        <item x="800"/>
        <item x="915"/>
        <item x="817"/>
        <item x="12"/>
        <item x="529"/>
        <item x="650"/>
        <item x="106"/>
        <item x="103"/>
        <item x="323"/>
        <item x="776"/>
        <item x="906"/>
        <item x="930"/>
        <item x="801"/>
        <item x="713"/>
        <item x="474"/>
        <item x="149"/>
        <item x="656"/>
        <item x="868"/>
        <item x="799"/>
        <item x="778"/>
        <item x="847"/>
        <item x="274"/>
        <item x="810"/>
        <item x="916"/>
        <item x="809"/>
        <item x="447"/>
        <item x="764"/>
        <item x="360"/>
        <item x="731"/>
        <item x="493"/>
        <item x="795"/>
        <item x="663"/>
        <item x="185"/>
        <item x="87"/>
        <item x="481"/>
        <item x="177"/>
        <item x="784"/>
        <item x="819"/>
        <item x="519"/>
        <item x="584"/>
        <item x="717"/>
        <item x="700"/>
        <item x="637"/>
        <item x="839"/>
        <item x="44"/>
        <item x="837"/>
        <item x="525"/>
        <item x="40"/>
        <item x="652"/>
        <item x="131"/>
        <item x="838"/>
        <item x="692"/>
        <item x="510"/>
        <item x="223"/>
        <item x="825"/>
        <item x="516"/>
        <item x="786"/>
        <item x="513"/>
        <item x="907"/>
        <item x="714"/>
        <item x="662"/>
        <item x="770"/>
        <item x="311"/>
        <item x="878"/>
        <item x="865"/>
        <item x="924"/>
        <item x="927"/>
        <item x="912"/>
        <item x="688"/>
        <item x="891"/>
        <item x="284"/>
        <item x="781"/>
        <item x="676"/>
        <item x="96"/>
        <item x="747"/>
        <item x="373"/>
        <item x="694"/>
        <item x="806"/>
        <item x="31"/>
        <item x="621"/>
        <item x="416"/>
        <item x="616"/>
        <item x="488"/>
        <item x="626"/>
        <item x="832"/>
        <item x="648"/>
        <item x="880"/>
        <item x="815"/>
        <item x="640"/>
        <item x="499"/>
        <item x="917"/>
        <item x="896"/>
        <item x="702"/>
        <item x="712"/>
        <item x="36"/>
        <item x="914"/>
        <item x="645"/>
        <item x="437"/>
        <item x="718"/>
        <item x="848"/>
        <item x="708"/>
        <item x="833"/>
        <item x="894"/>
        <item t="default"/>
      </items>
    </pivotField>
    <pivotField dataField="1" showAll="0"/>
    <pivotField numFmtId="15"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numFmtId="15" showAll="0"/>
    <pivotField showAll="0"/>
    <pivotField showAll="0"/>
    <pivotField dataField="1" showAll="0"/>
    <pivotField showAll="0"/>
    <pivotField showAll="0"/>
    <pivotField dataField="1" showAll="0">
      <items count="16">
        <item x="7"/>
        <item x="3"/>
        <item x="1"/>
        <item x="2"/>
        <item x="5"/>
        <item x="0"/>
        <item x="4"/>
        <item x="6"/>
        <item x="9"/>
        <item x="8"/>
        <item x="14"/>
        <item x="11"/>
        <item x="13"/>
        <item x="10"/>
        <item x="12"/>
        <item t="default"/>
      </items>
    </pivotField>
    <pivotField showAll="0"/>
    <pivotField showAll="0"/>
    <pivotField showAll="0">
      <items count="8">
        <item x="0"/>
        <item x="1"/>
        <item x="2"/>
        <item x="4"/>
        <item x="3"/>
        <item x="5"/>
        <item x="6"/>
        <item t="default"/>
      </items>
    </pivotField>
    <pivotField showAll="0">
      <items count="10">
        <item x="5"/>
        <item x="3"/>
        <item x="1"/>
        <item x="2"/>
        <item x="4"/>
        <item x="0"/>
        <item x="8"/>
        <item x="6"/>
        <item x="7"/>
        <item t="default"/>
      </items>
    </pivotField>
    <pivotField showAll="0">
      <items count="15">
        <item x="0"/>
        <item x="1"/>
        <item x="2"/>
        <item x="3"/>
        <item x="4"/>
        <item x="5"/>
        <item x="6"/>
        <item x="7"/>
        <item x="8"/>
        <item x="9"/>
        <item x="10"/>
        <item x="11"/>
        <item x="12"/>
        <item x="13"/>
        <item t="default"/>
      </items>
    </pivotField>
    <pivotField showAll="0">
      <items count="201">
        <item x="4"/>
        <item x="198"/>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199"/>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0"/>
        <item x="1"/>
        <item x="2"/>
        <item x="3"/>
        <item t="default"/>
      </items>
    </pivotField>
  </pivotFields>
  <rowItems count="1">
    <i/>
  </rowItems>
  <colFields count="1">
    <field x="-2"/>
  </colFields>
  <colItems count="5">
    <i>
      <x/>
    </i>
    <i i="1">
      <x v="1"/>
    </i>
    <i i="2">
      <x v="2"/>
    </i>
    <i i="3">
      <x v="3"/>
    </i>
    <i i="4">
      <x v="4"/>
    </i>
  </colItems>
  <dataFields count="5">
    <dataField name="Count of TX ID" fld="0" subtotal="count" baseField="0" baseItem="0"/>
    <dataField name="Sum of Quantity" fld="2" baseField="0" baseItem="0"/>
    <dataField name="Sum of Amount" fld="4" baseField="0" baseItem="2"/>
    <dataField name="Average of Rating C" fld="9" subtotal="average" baseField="0" baseItem="3"/>
    <dataField name="Average of Days to Deliver" fld="12" subtotal="average" baseField="0" baseItem="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31B1F629-3DC6-4EED-8229-3EAB57E3B2B1}" name="PvtShipment"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67" rowHeaderCaption="Quantity">
  <location ref="B113:C123" firstHeaderRow="1" firstDataRow="1" firstDataCol="1"/>
  <pivotFields count="19">
    <pivotField dataField="1" showAll="0" maxSubtotal="1"/>
    <pivotField showAll="0"/>
    <pivotField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items count="935">
        <item x="178"/>
        <item x="159"/>
        <item x="97"/>
        <item x="441"/>
        <item x="265"/>
        <item x="401"/>
        <item x="0"/>
        <item x="408"/>
        <item x="229"/>
        <item x="370"/>
        <item x="61"/>
        <item x="463"/>
        <item x="860"/>
        <item x="604"/>
        <item x="426"/>
        <item x="608"/>
        <item x="877"/>
        <item x="932"/>
        <item x="822"/>
        <item x="150"/>
        <item x="335"/>
        <item x="885"/>
        <item x="888"/>
        <item x="169"/>
        <item x="609"/>
        <item x="826"/>
        <item x="905"/>
        <item x="862"/>
        <item x="270"/>
        <item x="221"/>
        <item x="503"/>
        <item x="476"/>
        <item x="536"/>
        <item x="388"/>
        <item x="678"/>
        <item x="455"/>
        <item x="83"/>
        <item x="255"/>
        <item x="137"/>
        <item x="35"/>
        <item x="496"/>
        <item x="398"/>
        <item x="342"/>
        <item x="261"/>
        <item x="857"/>
        <item x="655"/>
        <item x="879"/>
        <item x="639"/>
        <item x="569"/>
        <item x="384"/>
        <item x="929"/>
        <item x="771"/>
        <item x="727"/>
        <item x="161"/>
        <item x="893"/>
        <item x="25"/>
        <item x="228"/>
        <item x="130"/>
        <item x="71"/>
        <item x="53"/>
        <item x="606"/>
        <item x="762"/>
        <item x="383"/>
        <item x="856"/>
        <item x="99"/>
        <item x="465"/>
        <item x="585"/>
        <item x="333"/>
        <item x="104"/>
        <item x="129"/>
        <item x="30"/>
        <item x="359"/>
        <item x="55"/>
        <item x="918"/>
        <item x="415"/>
        <item x="266"/>
        <item x="478"/>
        <item x="82"/>
        <item x="157"/>
        <item x="490"/>
        <item x="260"/>
        <item x="736"/>
        <item x="127"/>
        <item x="293"/>
        <item x="580"/>
        <item x="468"/>
        <item x="289"/>
        <item x="390"/>
        <item x="588"/>
        <item x="65"/>
        <item x="438"/>
        <item x="191"/>
        <item x="210"/>
        <item x="302"/>
        <item x="332"/>
        <item x="592"/>
        <item x="33"/>
        <item x="301"/>
        <item x="421"/>
        <item x="595"/>
        <item x="237"/>
        <item x="597"/>
        <item x="208"/>
        <item x="9"/>
        <item x="243"/>
        <item x="351"/>
        <item x="188"/>
        <item x="625"/>
        <item x="409"/>
        <item x="887"/>
        <item x="59"/>
        <item x="372"/>
        <item x="121"/>
        <item x="139"/>
        <item x="234"/>
        <item x="174"/>
        <item x="483"/>
        <item x="273"/>
        <item x="209"/>
        <item x="661"/>
        <item x="512"/>
        <item x="51"/>
        <item x="278"/>
        <item x="249"/>
        <item x="362"/>
        <item x="605"/>
        <item x="486"/>
        <item x="187"/>
        <item x="769"/>
        <item x="403"/>
        <item x="19"/>
        <item x="631"/>
        <item x="855"/>
        <item x="423"/>
        <item x="170"/>
        <item x="679"/>
        <item x="136"/>
        <item x="122"/>
        <item x="269"/>
        <item x="615"/>
        <item x="457"/>
        <item x="133"/>
        <item x="23"/>
        <item x="38"/>
        <item x="439"/>
        <item x="494"/>
        <item x="48"/>
        <item x="436"/>
        <item x="49"/>
        <item x="399"/>
        <item x="295"/>
        <item x="807"/>
        <item x="336"/>
        <item x="231"/>
        <item x="843"/>
        <item x="389"/>
        <item x="646"/>
        <item x="343"/>
        <item x="627"/>
        <item x="257"/>
        <item x="742"/>
        <item x="805"/>
        <item x="70"/>
        <item x="365"/>
        <item x="85"/>
        <item x="167"/>
        <item x="144"/>
        <item x="538"/>
        <item x="690"/>
        <item x="581"/>
        <item x="402"/>
        <item x="143"/>
        <item x="647"/>
        <item x="669"/>
        <item x="686"/>
        <item x="47"/>
        <item x="755"/>
        <item x="32"/>
        <item x="500"/>
        <item x="90"/>
        <item x="224"/>
        <item x="165"/>
        <item x="248"/>
        <item x="162"/>
        <item x="1"/>
        <item x="630"/>
        <item x="607"/>
        <item x="15"/>
        <item x="452"/>
        <item x="16"/>
        <item x="63"/>
        <item x="375"/>
        <item x="541"/>
        <item x="217"/>
        <item x="680"/>
        <item x="132"/>
        <item x="216"/>
        <item x="590"/>
        <item x="34"/>
        <item x="201"/>
        <item x="380"/>
        <item x="240"/>
        <item x="498"/>
        <item x="504"/>
        <item x="101"/>
        <item x="195"/>
        <item x="413"/>
        <item x="619"/>
        <item x="614"/>
        <item x="199"/>
        <item x="846"/>
        <item x="57"/>
        <item x="172"/>
        <item x="232"/>
        <item x="570"/>
        <item x="532"/>
        <item x="601"/>
        <item x="412"/>
        <item x="324"/>
        <item x="268"/>
        <item x="120"/>
        <item x="695"/>
        <item x="766"/>
        <item x="176"/>
        <item x="292"/>
        <item x="267"/>
        <item x="271"/>
        <item x="775"/>
        <item x="334"/>
        <item x="200"/>
        <item x="341"/>
        <item x="908"/>
        <item x="803"/>
        <item x="533"/>
        <item x="8"/>
        <item x="385"/>
        <item x="275"/>
        <item x="307"/>
        <item x="160"/>
        <item x="310"/>
        <item x="791"/>
        <item x="128"/>
        <item x="355"/>
        <item x="17"/>
        <item x="294"/>
        <item x="78"/>
        <item x="711"/>
        <item x="571"/>
        <item x="719"/>
        <item x="790"/>
        <item x="105"/>
        <item x="484"/>
        <item x="151"/>
        <item x="410"/>
        <item x="3"/>
        <item x="256"/>
        <item x="430"/>
        <item x="545"/>
        <item x="202"/>
        <item x="751"/>
        <item x="629"/>
        <item x="153"/>
        <item x="392"/>
        <item x="26"/>
        <item x="665"/>
        <item x="400"/>
        <item x="37"/>
        <item x="644"/>
        <item x="406"/>
        <item x="418"/>
        <item x="632"/>
        <item x="557"/>
        <item x="180"/>
        <item x="138"/>
        <item x="759"/>
        <item x="811"/>
        <item x="152"/>
        <item x="464"/>
        <item x="931"/>
        <item x="7"/>
        <item x="664"/>
        <item x="145"/>
        <item x="722"/>
        <item x="253"/>
        <item x="363"/>
        <item x="446"/>
        <item x="29"/>
        <item x="758"/>
        <item x="387"/>
        <item x="397"/>
        <item x="50"/>
        <item x="329"/>
        <item x="654"/>
        <item x="52"/>
        <item x="80"/>
        <item x="245"/>
        <item x="300"/>
        <item x="624"/>
        <item x="567"/>
        <item x="318"/>
        <item x="394"/>
        <item x="687"/>
        <item x="325"/>
        <item x="272"/>
        <item x="443"/>
        <item x="429"/>
        <item x="280"/>
        <item x="39"/>
        <item x="522"/>
        <item x="705"/>
        <item x="171"/>
        <item x="347"/>
        <item x="458"/>
        <item x="535"/>
        <item x="20"/>
        <item x="910"/>
        <item x="548"/>
        <item x="369"/>
        <item x="236"/>
        <item x="112"/>
        <item x="73"/>
        <item x="239"/>
        <item x="926"/>
        <item x="613"/>
        <item x="788"/>
        <item x="125"/>
        <item x="303"/>
        <item x="226"/>
        <item x="291"/>
        <item x="299"/>
        <item x="102"/>
        <item x="600"/>
        <item x="357"/>
        <item x="108"/>
        <item x="511"/>
        <item x="206"/>
        <item x="544"/>
        <item x="354"/>
        <item x="193"/>
        <item x="425"/>
        <item x="340"/>
        <item x="587"/>
        <item x="594"/>
        <item x="21"/>
        <item x="84"/>
        <item x="528"/>
        <item x="642"/>
        <item x="344"/>
        <item x="550"/>
        <item x="219"/>
        <item x="68"/>
        <item x="356"/>
        <item x="672"/>
        <item x="134"/>
        <item x="367"/>
        <item x="196"/>
        <item x="142"/>
        <item x="297"/>
        <item x="591"/>
        <item x="72"/>
        <item x="286"/>
        <item x="379"/>
        <item x="242"/>
        <item x="126"/>
        <item x="816"/>
        <item x="11"/>
        <item x="182"/>
        <item x="364"/>
        <item x="660"/>
        <item x="183"/>
        <item x="432"/>
        <item x="659"/>
        <item x="235"/>
        <item x="850"/>
        <item x="308"/>
        <item x="869"/>
        <item x="534"/>
        <item x="612"/>
        <item x="88"/>
        <item x="93"/>
        <item x="79"/>
        <item x="155"/>
        <item x="179"/>
        <item x="28"/>
        <item x="707"/>
        <item x="18"/>
        <item x="440"/>
        <item x="353"/>
        <item x="258"/>
        <item x="599"/>
        <item x="728"/>
        <item x="309"/>
        <item x="147"/>
        <item x="424"/>
        <item x="168"/>
        <item x="184"/>
        <item x="793"/>
        <item x="574"/>
        <item x="515"/>
        <item x="166"/>
        <item x="699"/>
        <item x="119"/>
        <item x="434"/>
        <item x="422"/>
        <item x="98"/>
        <item x="213"/>
        <item x="459"/>
        <item x="230"/>
        <item x="789"/>
        <item x="582"/>
        <item x="526"/>
        <item x="589"/>
        <item x="190"/>
        <item x="641"/>
        <item x="715"/>
        <item x="706"/>
        <item x="352"/>
        <item x="10"/>
        <item x="42"/>
        <item x="514"/>
        <item x="86"/>
        <item x="76"/>
        <item x="123"/>
        <item x="173"/>
        <item x="282"/>
        <item x="204"/>
        <item x="6"/>
        <item x="842"/>
        <item x="572"/>
        <item x="495"/>
        <item x="740"/>
        <item x="502"/>
        <item x="218"/>
        <item x="628"/>
        <item x="634"/>
        <item x="623"/>
        <item x="576"/>
        <item x="448"/>
        <item x="472"/>
        <item x="4"/>
        <item x="382"/>
        <item x="881"/>
        <item x="551"/>
        <item x="140"/>
        <item x="27"/>
        <item x="405"/>
        <item x="214"/>
        <item x="884"/>
        <item x="222"/>
        <item x="461"/>
        <item x="211"/>
        <item x="787"/>
        <item x="491"/>
        <item x="215"/>
        <item x="296"/>
        <item x="207"/>
        <item x="277"/>
        <item x="635"/>
        <item x="75"/>
        <item x="785"/>
        <item x="466"/>
        <item x="395"/>
        <item x="721"/>
        <item x="523"/>
        <item x="737"/>
        <item x="542"/>
        <item x="233"/>
        <item x="684"/>
        <item x="115"/>
        <item x="396"/>
        <item x="316"/>
        <item x="841"/>
        <item x="110"/>
        <item x="738"/>
        <item x="322"/>
        <item x="247"/>
        <item x="530"/>
        <item x="701"/>
        <item x="552"/>
        <item x="553"/>
        <item x="156"/>
        <item x="501"/>
        <item x="750"/>
        <item x="148"/>
        <item x="854"/>
        <item x="89"/>
        <item x="480"/>
        <item x="227"/>
        <item x="547"/>
        <item x="205"/>
        <item x="198"/>
        <item x="556"/>
        <item x="470"/>
        <item x="366"/>
        <item x="829"/>
        <item x="407"/>
        <item x="821"/>
        <item x="94"/>
        <item x="56"/>
        <item x="113"/>
        <item x="734"/>
        <item x="427"/>
        <item x="305"/>
        <item x="46"/>
        <item x="259"/>
        <item x="565"/>
        <item x="761"/>
        <item x="444"/>
        <item x="58"/>
        <item x="780"/>
        <item x="281"/>
        <item x="554"/>
        <item x="337"/>
        <item x="497"/>
        <item x="92"/>
        <item x="146"/>
        <item x="203"/>
        <item x="225"/>
        <item x="456"/>
        <item x="313"/>
        <item x="404"/>
        <item x="834"/>
        <item x="244"/>
        <item x="779"/>
        <item x="757"/>
        <item x="667"/>
        <item x="730"/>
        <item x="633"/>
        <item x="563"/>
        <item x="450"/>
        <item x="14"/>
        <item x="114"/>
        <item x="668"/>
        <item x="783"/>
        <item x="618"/>
        <item x="748"/>
        <item x="246"/>
        <item x="212"/>
        <item x="509"/>
        <item x="469"/>
        <item x="666"/>
        <item x="735"/>
        <item x="197"/>
        <item x="704"/>
        <item x="657"/>
        <item x="419"/>
        <item x="43"/>
        <item x="596"/>
        <item x="794"/>
        <item x="725"/>
        <item x="192"/>
        <item x="276"/>
        <item x="62"/>
        <item x="327"/>
        <item x="135"/>
        <item x="181"/>
        <item x="393"/>
        <item x="330"/>
        <item x="579"/>
        <item x="163"/>
        <item x="673"/>
        <item x="451"/>
        <item x="264"/>
        <item x="911"/>
        <item x="431"/>
        <item x="578"/>
        <item x="471"/>
        <item x="45"/>
        <item x="60"/>
        <item x="760"/>
        <item x="254"/>
        <item x="674"/>
        <item x="598"/>
        <item x="925"/>
        <item x="928"/>
        <item x="774"/>
        <item x="866"/>
        <item x="489"/>
        <item x="583"/>
        <item x="462"/>
        <item x="559"/>
        <item x="391"/>
        <item x="524"/>
        <item x="899"/>
        <item x="111"/>
        <item x="378"/>
        <item x="651"/>
        <item x="508"/>
        <item x="773"/>
        <item x="858"/>
        <item x="326"/>
        <item x="746"/>
        <item x="603"/>
        <item x="417"/>
        <item x="752"/>
        <item x="492"/>
        <item x="91"/>
        <item x="285"/>
        <item x="487"/>
        <item x="374"/>
        <item x="913"/>
        <item x="577"/>
        <item x="859"/>
        <item x="124"/>
        <item x="836"/>
        <item x="823"/>
        <item x="164"/>
        <item x="767"/>
        <item x="903"/>
        <item x="107"/>
        <item x="897"/>
        <item x="741"/>
        <item x="828"/>
        <item x="863"/>
        <item x="81"/>
        <item x="693"/>
        <item x="312"/>
        <item x="777"/>
        <item x="710"/>
        <item x="505"/>
        <item x="158"/>
        <item x="473"/>
        <item x="898"/>
        <item x="716"/>
        <item x="685"/>
        <item x="77"/>
        <item x="561"/>
        <item x="414"/>
        <item x="546"/>
        <item x="304"/>
        <item x="22"/>
        <item x="442"/>
        <item x="889"/>
        <item x="454"/>
        <item x="611"/>
        <item x="902"/>
        <item x="697"/>
        <item x="853"/>
        <item x="41"/>
        <item x="827"/>
        <item x="262"/>
        <item x="328"/>
        <item x="830"/>
        <item x="870"/>
        <item x="453"/>
        <item x="521"/>
        <item x="186"/>
        <item x="428"/>
        <item x="844"/>
        <item x="220"/>
        <item x="921"/>
        <item x="682"/>
        <item x="445"/>
        <item x="890"/>
        <item x="321"/>
        <item x="298"/>
        <item x="5"/>
        <item x="331"/>
        <item x="371"/>
        <item x="861"/>
        <item x="922"/>
        <item x="726"/>
        <item x="883"/>
        <item x="636"/>
        <item x="872"/>
        <item x="845"/>
        <item x="100"/>
        <item x="798"/>
        <item x="288"/>
        <item x="564"/>
        <item x="555"/>
        <item x="345"/>
        <item x="874"/>
        <item x="744"/>
        <item x="602"/>
        <item x="376"/>
        <item x="909"/>
        <item x="768"/>
        <item x="753"/>
        <item x="449"/>
        <item x="804"/>
        <item x="797"/>
        <item x="813"/>
        <item x="507"/>
        <item x="154"/>
        <item x="479"/>
        <item x="724"/>
        <item x="808"/>
        <item x="317"/>
        <item x="691"/>
        <item x="241"/>
        <item x="117"/>
        <item x="745"/>
        <item x="13"/>
        <item x="689"/>
        <item x="723"/>
        <item x="24"/>
        <item x="527"/>
        <item x="346"/>
        <item x="66"/>
        <item x="69"/>
        <item x="141"/>
        <item x="314"/>
        <item x="763"/>
        <item x="411"/>
        <item x="238"/>
        <item x="677"/>
        <item x="820"/>
        <item x="54"/>
        <item x="338"/>
        <item x="739"/>
        <item x="116"/>
        <item x="754"/>
        <item x="638"/>
        <item x="520"/>
        <item x="923"/>
        <item x="109"/>
        <item x="306"/>
        <item x="368"/>
        <item x="743"/>
        <item x="283"/>
        <item x="824"/>
        <item x="95"/>
        <item x="895"/>
        <item x="420"/>
        <item x="252"/>
        <item x="482"/>
        <item x="864"/>
        <item x="477"/>
        <item x="568"/>
        <item x="381"/>
        <item x="831"/>
        <item x="263"/>
        <item x="573"/>
        <item x="840"/>
        <item x="549"/>
        <item x="350"/>
        <item x="732"/>
        <item x="558"/>
        <item x="812"/>
        <item x="433"/>
        <item x="900"/>
        <item x="876"/>
        <item x="849"/>
        <item x="194"/>
        <item x="818"/>
        <item x="871"/>
        <item x="67"/>
        <item x="709"/>
        <item x="475"/>
        <item x="729"/>
        <item x="543"/>
        <item x="287"/>
        <item x="539"/>
        <item x="765"/>
        <item x="358"/>
        <item x="279"/>
        <item x="361"/>
        <item x="875"/>
        <item x="620"/>
        <item x="320"/>
        <item x="919"/>
        <item x="435"/>
        <item x="904"/>
        <item x="835"/>
        <item x="540"/>
        <item x="593"/>
        <item x="772"/>
        <item x="386"/>
        <item x="319"/>
        <item x="74"/>
        <item x="175"/>
        <item x="653"/>
        <item x="617"/>
        <item x="852"/>
        <item x="720"/>
        <item x="485"/>
        <item x="882"/>
        <item x="733"/>
        <item x="460"/>
        <item x="339"/>
        <item x="518"/>
        <item x="250"/>
        <item x="901"/>
        <item x="681"/>
        <item x="698"/>
        <item x="649"/>
        <item x="290"/>
        <item x="683"/>
        <item x="892"/>
        <item x="867"/>
        <item x="348"/>
        <item x="782"/>
        <item x="562"/>
        <item x="315"/>
        <item x="586"/>
        <item x="756"/>
        <item x="189"/>
        <item x="920"/>
        <item x="671"/>
        <item x="2"/>
        <item x="506"/>
        <item x="792"/>
        <item x="703"/>
        <item x="643"/>
        <item x="851"/>
        <item x="610"/>
        <item x="349"/>
        <item x="531"/>
        <item x="575"/>
        <item x="251"/>
        <item x="675"/>
        <item x="64"/>
        <item x="377"/>
        <item x="467"/>
        <item x="670"/>
        <item x="560"/>
        <item x="749"/>
        <item x="886"/>
        <item x="814"/>
        <item x="802"/>
        <item x="796"/>
        <item x="566"/>
        <item x="118"/>
        <item x="622"/>
        <item x="658"/>
        <item x="696"/>
        <item x="517"/>
        <item x="933"/>
        <item x="873"/>
        <item x="537"/>
        <item x="800"/>
        <item x="915"/>
        <item x="817"/>
        <item x="12"/>
        <item x="529"/>
        <item x="650"/>
        <item x="106"/>
        <item x="103"/>
        <item x="323"/>
        <item x="776"/>
        <item x="906"/>
        <item x="930"/>
        <item x="801"/>
        <item x="713"/>
        <item x="474"/>
        <item x="149"/>
        <item x="656"/>
        <item x="868"/>
        <item x="799"/>
        <item x="778"/>
        <item x="847"/>
        <item x="274"/>
        <item x="810"/>
        <item x="916"/>
        <item x="809"/>
        <item x="447"/>
        <item x="764"/>
        <item x="360"/>
        <item x="731"/>
        <item x="493"/>
        <item x="795"/>
        <item x="663"/>
        <item x="185"/>
        <item x="87"/>
        <item x="481"/>
        <item x="177"/>
        <item x="784"/>
        <item x="819"/>
        <item x="519"/>
        <item x="584"/>
        <item x="717"/>
        <item x="700"/>
        <item x="637"/>
        <item x="839"/>
        <item x="44"/>
        <item x="837"/>
        <item x="525"/>
        <item x="40"/>
        <item x="652"/>
        <item x="131"/>
        <item x="838"/>
        <item x="692"/>
        <item x="510"/>
        <item x="223"/>
        <item x="825"/>
        <item x="516"/>
        <item x="786"/>
        <item x="513"/>
        <item x="907"/>
        <item x="714"/>
        <item x="662"/>
        <item x="770"/>
        <item x="311"/>
        <item x="878"/>
        <item x="865"/>
        <item x="924"/>
        <item x="927"/>
        <item x="912"/>
        <item x="688"/>
        <item x="891"/>
        <item x="284"/>
        <item x="781"/>
        <item x="676"/>
        <item x="96"/>
        <item x="747"/>
        <item x="373"/>
        <item x="694"/>
        <item x="806"/>
        <item x="31"/>
        <item x="621"/>
        <item x="416"/>
        <item x="616"/>
        <item x="488"/>
        <item x="626"/>
        <item x="832"/>
        <item x="648"/>
        <item x="880"/>
        <item x="815"/>
        <item x="640"/>
        <item x="499"/>
        <item x="917"/>
        <item x="896"/>
        <item x="702"/>
        <item x="712"/>
        <item x="36"/>
        <item x="914"/>
        <item x="645"/>
        <item x="437"/>
        <item x="718"/>
        <item x="848"/>
        <item x="708"/>
        <item x="833"/>
        <item x="894"/>
        <item t="default"/>
      </items>
    </pivotField>
    <pivotField showAll="0"/>
    <pivotField numFmtId="15"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numFmtId="15" showAll="0"/>
    <pivotField showAll="0"/>
    <pivotField showAll="0">
      <items count="6">
        <item x="0"/>
        <item x="3"/>
        <item x="4"/>
        <item x="2"/>
        <item x="1"/>
        <item t="default"/>
      </items>
    </pivotField>
    <pivotField showAll="0"/>
    <pivotField showAll="0"/>
    <pivotField showAll="0"/>
    <pivotField showAll="0">
      <items count="16">
        <item x="7"/>
        <item x="3"/>
        <item x="1"/>
        <item x="2"/>
        <item x="5"/>
        <item x="0"/>
        <item x="4"/>
        <item x="6"/>
        <item x="9"/>
        <item x="8"/>
        <item x="14"/>
        <item x="11"/>
        <item x="13"/>
        <item x="10"/>
        <item x="12"/>
        <item t="default"/>
      </items>
    </pivotField>
    <pivotField showAll="0"/>
    <pivotField showAll="0">
      <items count="5">
        <item x="2"/>
        <item x="1"/>
        <item x="3"/>
        <item x="0"/>
        <item t="default"/>
      </items>
    </pivotField>
    <pivotField showAll="0">
      <items count="8">
        <item sd="0" x="0"/>
        <item sd="0" x="1"/>
        <item sd="0" x="2"/>
        <item sd="0" x="4"/>
        <item sd="0" x="3"/>
        <item x="5"/>
        <item x="6"/>
        <item t="default"/>
      </items>
    </pivotField>
    <pivotField axis="axisRow" showAll="0">
      <items count="10">
        <item sd="0" x="5"/>
        <item sd="0" x="3"/>
        <item sd="0" x="1"/>
        <item sd="0" x="2"/>
        <item sd="0" x="4"/>
        <item sd="0" x="0"/>
        <item n="6-7 D" x="8"/>
        <item n="8-10 D" sd="0" x="6"/>
        <item n="11-15 D" sd="0" x="7"/>
        <item t="default"/>
      </items>
    </pivotField>
    <pivotField showAll="0">
      <items count="15">
        <item x="0"/>
        <item x="1"/>
        <item x="2"/>
        <item x="3"/>
        <item x="4"/>
        <item x="5"/>
        <item x="6"/>
        <item x="7"/>
        <item x="8"/>
        <item x="9"/>
        <item x="10"/>
        <item x="11"/>
        <item x="12"/>
        <item x="13"/>
        <item t="default"/>
      </items>
    </pivotField>
    <pivotField showAll="0">
      <items count="201">
        <item x="4"/>
        <item x="198"/>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199"/>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0"/>
        <item x="1"/>
        <item x="2"/>
        <item x="3"/>
        <item t="default"/>
      </items>
    </pivotField>
  </pivotFields>
  <rowFields count="1">
    <field x="16"/>
  </rowFields>
  <rowItems count="10">
    <i>
      <x/>
    </i>
    <i>
      <x v="1"/>
    </i>
    <i>
      <x v="2"/>
    </i>
    <i>
      <x v="3"/>
    </i>
    <i>
      <x v="4"/>
    </i>
    <i>
      <x v="5"/>
    </i>
    <i>
      <x v="6"/>
    </i>
    <i>
      <x v="7"/>
    </i>
    <i>
      <x v="8"/>
    </i>
    <i t="grand">
      <x/>
    </i>
  </rowItems>
  <colItems count="1">
    <i/>
  </colItems>
  <dataFields count="1">
    <dataField name="Count of TX ID" fld="0" subtotal="count" baseField="0" baseItem="0"/>
  </dataFields>
  <chartFormats count="1">
    <chartFormat chart="6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F822287B-0438-4BB3-9659-C96AA07497CC}" name="PvtMode"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3:F10" firstHeaderRow="1" firstDataRow="2" firstDataCol="1"/>
  <pivotFields count="19">
    <pivotField showAll="0"/>
    <pivotField showAll="0"/>
    <pivotField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items count="935">
        <item x="178"/>
        <item x="159"/>
        <item x="97"/>
        <item x="441"/>
        <item x="265"/>
        <item x="401"/>
        <item x="0"/>
        <item x="408"/>
        <item x="229"/>
        <item x="370"/>
        <item x="61"/>
        <item x="463"/>
        <item x="860"/>
        <item x="604"/>
        <item x="426"/>
        <item x="608"/>
        <item x="877"/>
        <item x="932"/>
        <item x="822"/>
        <item x="150"/>
        <item x="335"/>
        <item x="885"/>
        <item x="888"/>
        <item x="169"/>
        <item x="609"/>
        <item x="826"/>
        <item x="905"/>
        <item x="862"/>
        <item x="270"/>
        <item x="221"/>
        <item x="503"/>
        <item x="476"/>
        <item x="536"/>
        <item x="388"/>
        <item x="678"/>
        <item x="455"/>
        <item x="83"/>
        <item x="255"/>
        <item x="137"/>
        <item x="35"/>
        <item x="496"/>
        <item x="398"/>
        <item x="342"/>
        <item x="261"/>
        <item x="857"/>
        <item x="655"/>
        <item x="879"/>
        <item x="639"/>
        <item x="569"/>
        <item x="384"/>
        <item x="929"/>
        <item x="771"/>
        <item x="727"/>
        <item x="161"/>
        <item x="893"/>
        <item x="25"/>
        <item x="228"/>
        <item x="130"/>
        <item x="71"/>
        <item x="53"/>
        <item x="606"/>
        <item x="762"/>
        <item x="383"/>
        <item x="856"/>
        <item x="99"/>
        <item x="465"/>
        <item x="585"/>
        <item x="333"/>
        <item x="104"/>
        <item x="129"/>
        <item x="30"/>
        <item x="359"/>
        <item x="55"/>
        <item x="918"/>
        <item x="415"/>
        <item x="266"/>
        <item x="478"/>
        <item x="82"/>
        <item x="157"/>
        <item x="490"/>
        <item x="260"/>
        <item x="736"/>
        <item x="127"/>
        <item x="293"/>
        <item x="580"/>
        <item x="468"/>
        <item x="289"/>
        <item x="390"/>
        <item x="588"/>
        <item x="65"/>
        <item x="438"/>
        <item x="191"/>
        <item x="210"/>
        <item x="302"/>
        <item x="332"/>
        <item x="592"/>
        <item x="33"/>
        <item x="301"/>
        <item x="421"/>
        <item x="595"/>
        <item x="237"/>
        <item x="597"/>
        <item x="208"/>
        <item x="9"/>
        <item x="243"/>
        <item x="351"/>
        <item x="188"/>
        <item x="625"/>
        <item x="409"/>
        <item x="887"/>
        <item x="59"/>
        <item x="372"/>
        <item x="121"/>
        <item x="139"/>
        <item x="234"/>
        <item x="174"/>
        <item x="483"/>
        <item x="273"/>
        <item x="209"/>
        <item x="661"/>
        <item x="512"/>
        <item x="51"/>
        <item x="278"/>
        <item x="249"/>
        <item x="362"/>
        <item x="605"/>
        <item x="486"/>
        <item x="187"/>
        <item x="769"/>
        <item x="403"/>
        <item x="19"/>
        <item x="631"/>
        <item x="855"/>
        <item x="423"/>
        <item x="170"/>
        <item x="679"/>
        <item x="136"/>
        <item x="122"/>
        <item x="269"/>
        <item x="615"/>
        <item x="457"/>
        <item x="133"/>
        <item x="23"/>
        <item x="38"/>
        <item x="439"/>
        <item x="494"/>
        <item x="48"/>
        <item x="436"/>
        <item x="49"/>
        <item x="399"/>
        <item x="295"/>
        <item x="807"/>
        <item x="336"/>
        <item x="231"/>
        <item x="843"/>
        <item x="389"/>
        <item x="646"/>
        <item x="343"/>
        <item x="627"/>
        <item x="257"/>
        <item x="742"/>
        <item x="805"/>
        <item x="70"/>
        <item x="365"/>
        <item x="85"/>
        <item x="167"/>
        <item x="144"/>
        <item x="538"/>
        <item x="690"/>
        <item x="581"/>
        <item x="402"/>
        <item x="143"/>
        <item x="647"/>
        <item x="669"/>
        <item x="686"/>
        <item x="47"/>
        <item x="755"/>
        <item x="32"/>
        <item x="500"/>
        <item x="90"/>
        <item x="224"/>
        <item x="165"/>
        <item x="248"/>
        <item x="162"/>
        <item x="1"/>
        <item x="630"/>
        <item x="607"/>
        <item x="15"/>
        <item x="452"/>
        <item x="16"/>
        <item x="63"/>
        <item x="375"/>
        <item x="541"/>
        <item x="217"/>
        <item x="680"/>
        <item x="132"/>
        <item x="216"/>
        <item x="590"/>
        <item x="34"/>
        <item x="201"/>
        <item x="380"/>
        <item x="240"/>
        <item x="498"/>
        <item x="504"/>
        <item x="101"/>
        <item x="195"/>
        <item x="413"/>
        <item x="619"/>
        <item x="614"/>
        <item x="199"/>
        <item x="846"/>
        <item x="57"/>
        <item x="172"/>
        <item x="232"/>
        <item x="570"/>
        <item x="532"/>
        <item x="601"/>
        <item x="412"/>
        <item x="324"/>
        <item x="268"/>
        <item x="120"/>
        <item x="695"/>
        <item x="766"/>
        <item x="176"/>
        <item x="292"/>
        <item x="267"/>
        <item x="271"/>
        <item x="775"/>
        <item x="334"/>
        <item x="200"/>
        <item x="341"/>
        <item x="908"/>
        <item x="803"/>
        <item x="533"/>
        <item x="8"/>
        <item x="385"/>
        <item x="275"/>
        <item x="307"/>
        <item x="160"/>
        <item x="310"/>
        <item x="791"/>
        <item x="128"/>
        <item x="355"/>
        <item x="17"/>
        <item x="294"/>
        <item x="78"/>
        <item x="711"/>
        <item x="571"/>
        <item x="719"/>
        <item x="790"/>
        <item x="105"/>
        <item x="484"/>
        <item x="151"/>
        <item x="410"/>
        <item x="3"/>
        <item x="256"/>
        <item x="430"/>
        <item x="545"/>
        <item x="202"/>
        <item x="751"/>
        <item x="629"/>
        <item x="153"/>
        <item x="392"/>
        <item x="26"/>
        <item x="665"/>
        <item x="400"/>
        <item x="37"/>
        <item x="644"/>
        <item x="406"/>
        <item x="418"/>
        <item x="632"/>
        <item x="557"/>
        <item x="180"/>
        <item x="138"/>
        <item x="759"/>
        <item x="811"/>
        <item x="152"/>
        <item x="464"/>
        <item x="931"/>
        <item x="7"/>
        <item x="664"/>
        <item x="145"/>
        <item x="722"/>
        <item x="253"/>
        <item x="363"/>
        <item x="446"/>
        <item x="29"/>
        <item x="758"/>
        <item x="387"/>
        <item x="397"/>
        <item x="50"/>
        <item x="329"/>
        <item x="654"/>
        <item x="52"/>
        <item x="80"/>
        <item x="245"/>
        <item x="300"/>
        <item x="624"/>
        <item x="567"/>
        <item x="318"/>
        <item x="394"/>
        <item x="687"/>
        <item x="325"/>
        <item x="272"/>
        <item x="443"/>
        <item x="429"/>
        <item x="280"/>
        <item x="39"/>
        <item x="522"/>
        <item x="705"/>
        <item x="171"/>
        <item x="347"/>
        <item x="458"/>
        <item x="535"/>
        <item x="20"/>
        <item x="910"/>
        <item x="548"/>
        <item x="369"/>
        <item x="236"/>
        <item x="112"/>
        <item x="73"/>
        <item x="239"/>
        <item x="926"/>
        <item x="613"/>
        <item x="788"/>
        <item x="125"/>
        <item x="303"/>
        <item x="226"/>
        <item x="291"/>
        <item x="299"/>
        <item x="102"/>
        <item x="600"/>
        <item x="357"/>
        <item x="108"/>
        <item x="511"/>
        <item x="206"/>
        <item x="544"/>
        <item x="354"/>
        <item x="193"/>
        <item x="425"/>
        <item x="340"/>
        <item x="587"/>
        <item x="594"/>
        <item x="21"/>
        <item x="84"/>
        <item x="528"/>
        <item x="642"/>
        <item x="344"/>
        <item x="550"/>
        <item x="219"/>
        <item x="68"/>
        <item x="356"/>
        <item x="672"/>
        <item x="134"/>
        <item x="367"/>
        <item x="196"/>
        <item x="142"/>
        <item x="297"/>
        <item x="591"/>
        <item x="72"/>
        <item x="286"/>
        <item x="379"/>
        <item x="242"/>
        <item x="126"/>
        <item x="816"/>
        <item x="11"/>
        <item x="182"/>
        <item x="364"/>
        <item x="660"/>
        <item x="183"/>
        <item x="432"/>
        <item x="659"/>
        <item x="235"/>
        <item x="850"/>
        <item x="308"/>
        <item x="869"/>
        <item x="534"/>
        <item x="612"/>
        <item x="88"/>
        <item x="93"/>
        <item x="79"/>
        <item x="155"/>
        <item x="179"/>
        <item x="28"/>
        <item x="707"/>
        <item x="18"/>
        <item x="440"/>
        <item x="353"/>
        <item x="258"/>
        <item x="599"/>
        <item x="728"/>
        <item x="309"/>
        <item x="147"/>
        <item x="424"/>
        <item x="168"/>
        <item x="184"/>
        <item x="793"/>
        <item x="574"/>
        <item x="515"/>
        <item x="166"/>
        <item x="699"/>
        <item x="119"/>
        <item x="434"/>
        <item x="422"/>
        <item x="98"/>
        <item x="213"/>
        <item x="459"/>
        <item x="230"/>
        <item x="789"/>
        <item x="582"/>
        <item x="526"/>
        <item x="589"/>
        <item x="190"/>
        <item x="641"/>
        <item x="715"/>
        <item x="706"/>
        <item x="352"/>
        <item x="10"/>
        <item x="42"/>
        <item x="514"/>
        <item x="86"/>
        <item x="76"/>
        <item x="123"/>
        <item x="173"/>
        <item x="282"/>
        <item x="204"/>
        <item x="6"/>
        <item x="842"/>
        <item x="572"/>
        <item x="495"/>
        <item x="740"/>
        <item x="502"/>
        <item x="218"/>
        <item x="628"/>
        <item x="634"/>
        <item x="623"/>
        <item x="576"/>
        <item x="448"/>
        <item x="472"/>
        <item x="4"/>
        <item x="382"/>
        <item x="881"/>
        <item x="551"/>
        <item x="140"/>
        <item x="27"/>
        <item x="405"/>
        <item x="214"/>
        <item x="884"/>
        <item x="222"/>
        <item x="461"/>
        <item x="211"/>
        <item x="787"/>
        <item x="491"/>
        <item x="215"/>
        <item x="296"/>
        <item x="207"/>
        <item x="277"/>
        <item x="635"/>
        <item x="75"/>
        <item x="785"/>
        <item x="466"/>
        <item x="395"/>
        <item x="721"/>
        <item x="523"/>
        <item x="737"/>
        <item x="542"/>
        <item x="233"/>
        <item x="684"/>
        <item x="115"/>
        <item x="396"/>
        <item x="316"/>
        <item x="841"/>
        <item x="110"/>
        <item x="738"/>
        <item x="322"/>
        <item x="247"/>
        <item x="530"/>
        <item x="701"/>
        <item x="552"/>
        <item x="553"/>
        <item x="156"/>
        <item x="501"/>
        <item x="750"/>
        <item x="148"/>
        <item x="854"/>
        <item x="89"/>
        <item x="480"/>
        <item x="227"/>
        <item x="547"/>
        <item x="205"/>
        <item x="198"/>
        <item x="556"/>
        <item x="470"/>
        <item x="366"/>
        <item x="829"/>
        <item x="407"/>
        <item x="821"/>
        <item x="94"/>
        <item x="56"/>
        <item x="113"/>
        <item x="734"/>
        <item x="427"/>
        <item x="305"/>
        <item x="46"/>
        <item x="259"/>
        <item x="565"/>
        <item x="761"/>
        <item x="444"/>
        <item x="58"/>
        <item x="780"/>
        <item x="281"/>
        <item x="554"/>
        <item x="337"/>
        <item x="497"/>
        <item x="92"/>
        <item x="146"/>
        <item x="203"/>
        <item x="225"/>
        <item x="456"/>
        <item x="313"/>
        <item x="404"/>
        <item x="834"/>
        <item x="244"/>
        <item x="779"/>
        <item x="757"/>
        <item x="667"/>
        <item x="730"/>
        <item x="633"/>
        <item x="563"/>
        <item x="450"/>
        <item x="14"/>
        <item x="114"/>
        <item x="668"/>
        <item x="783"/>
        <item x="618"/>
        <item x="748"/>
        <item x="246"/>
        <item x="212"/>
        <item x="509"/>
        <item x="469"/>
        <item x="666"/>
        <item x="735"/>
        <item x="197"/>
        <item x="704"/>
        <item x="657"/>
        <item x="419"/>
        <item x="43"/>
        <item x="596"/>
        <item x="794"/>
        <item x="725"/>
        <item x="192"/>
        <item x="276"/>
        <item x="62"/>
        <item x="327"/>
        <item x="135"/>
        <item x="181"/>
        <item x="393"/>
        <item x="330"/>
        <item x="579"/>
        <item x="163"/>
        <item x="673"/>
        <item x="451"/>
        <item x="264"/>
        <item x="911"/>
        <item x="431"/>
        <item x="578"/>
        <item x="471"/>
        <item x="45"/>
        <item x="60"/>
        <item x="760"/>
        <item x="254"/>
        <item x="674"/>
        <item x="598"/>
        <item x="925"/>
        <item x="928"/>
        <item x="774"/>
        <item x="866"/>
        <item x="489"/>
        <item x="583"/>
        <item x="462"/>
        <item x="559"/>
        <item x="391"/>
        <item x="524"/>
        <item x="899"/>
        <item x="111"/>
        <item x="378"/>
        <item x="651"/>
        <item x="508"/>
        <item x="773"/>
        <item x="858"/>
        <item x="326"/>
        <item x="746"/>
        <item x="603"/>
        <item x="417"/>
        <item x="752"/>
        <item x="492"/>
        <item x="91"/>
        <item x="285"/>
        <item x="487"/>
        <item x="374"/>
        <item x="913"/>
        <item x="577"/>
        <item x="859"/>
        <item x="124"/>
        <item x="836"/>
        <item x="823"/>
        <item x="164"/>
        <item x="767"/>
        <item x="903"/>
        <item x="107"/>
        <item x="897"/>
        <item x="741"/>
        <item x="828"/>
        <item x="863"/>
        <item x="81"/>
        <item x="693"/>
        <item x="312"/>
        <item x="777"/>
        <item x="710"/>
        <item x="505"/>
        <item x="158"/>
        <item x="473"/>
        <item x="898"/>
        <item x="716"/>
        <item x="685"/>
        <item x="77"/>
        <item x="561"/>
        <item x="414"/>
        <item x="546"/>
        <item x="304"/>
        <item x="22"/>
        <item x="442"/>
        <item x="889"/>
        <item x="454"/>
        <item x="611"/>
        <item x="902"/>
        <item x="697"/>
        <item x="853"/>
        <item x="41"/>
        <item x="827"/>
        <item x="262"/>
        <item x="328"/>
        <item x="830"/>
        <item x="870"/>
        <item x="453"/>
        <item x="521"/>
        <item x="186"/>
        <item x="428"/>
        <item x="844"/>
        <item x="220"/>
        <item x="921"/>
        <item x="682"/>
        <item x="445"/>
        <item x="890"/>
        <item x="321"/>
        <item x="298"/>
        <item x="5"/>
        <item x="331"/>
        <item x="371"/>
        <item x="861"/>
        <item x="922"/>
        <item x="726"/>
        <item x="883"/>
        <item x="636"/>
        <item x="872"/>
        <item x="845"/>
        <item x="100"/>
        <item x="798"/>
        <item x="288"/>
        <item x="564"/>
        <item x="555"/>
        <item x="345"/>
        <item x="874"/>
        <item x="744"/>
        <item x="602"/>
        <item x="376"/>
        <item x="909"/>
        <item x="768"/>
        <item x="753"/>
        <item x="449"/>
        <item x="804"/>
        <item x="797"/>
        <item x="813"/>
        <item x="507"/>
        <item x="154"/>
        <item x="479"/>
        <item x="724"/>
        <item x="808"/>
        <item x="317"/>
        <item x="691"/>
        <item x="241"/>
        <item x="117"/>
        <item x="745"/>
        <item x="13"/>
        <item x="689"/>
        <item x="723"/>
        <item x="24"/>
        <item x="527"/>
        <item x="346"/>
        <item x="66"/>
        <item x="69"/>
        <item x="141"/>
        <item x="314"/>
        <item x="763"/>
        <item x="411"/>
        <item x="238"/>
        <item x="677"/>
        <item x="820"/>
        <item x="54"/>
        <item x="338"/>
        <item x="739"/>
        <item x="116"/>
        <item x="754"/>
        <item x="638"/>
        <item x="520"/>
        <item x="923"/>
        <item x="109"/>
        <item x="306"/>
        <item x="368"/>
        <item x="743"/>
        <item x="283"/>
        <item x="824"/>
        <item x="95"/>
        <item x="895"/>
        <item x="420"/>
        <item x="252"/>
        <item x="482"/>
        <item x="864"/>
        <item x="477"/>
        <item x="568"/>
        <item x="381"/>
        <item x="831"/>
        <item x="263"/>
        <item x="573"/>
        <item x="840"/>
        <item x="549"/>
        <item x="350"/>
        <item x="732"/>
        <item x="558"/>
        <item x="812"/>
        <item x="433"/>
        <item x="900"/>
        <item x="876"/>
        <item x="849"/>
        <item x="194"/>
        <item x="818"/>
        <item x="871"/>
        <item x="67"/>
        <item x="709"/>
        <item x="475"/>
        <item x="729"/>
        <item x="543"/>
        <item x="287"/>
        <item x="539"/>
        <item x="765"/>
        <item x="358"/>
        <item x="279"/>
        <item x="361"/>
        <item x="875"/>
        <item x="620"/>
        <item x="320"/>
        <item x="919"/>
        <item x="435"/>
        <item x="904"/>
        <item x="835"/>
        <item x="540"/>
        <item x="593"/>
        <item x="772"/>
        <item x="386"/>
        <item x="319"/>
        <item x="74"/>
        <item x="175"/>
        <item x="653"/>
        <item x="617"/>
        <item x="852"/>
        <item x="720"/>
        <item x="485"/>
        <item x="882"/>
        <item x="733"/>
        <item x="460"/>
        <item x="339"/>
        <item x="518"/>
        <item x="250"/>
        <item x="901"/>
        <item x="681"/>
        <item x="698"/>
        <item x="649"/>
        <item x="290"/>
        <item x="683"/>
        <item x="892"/>
        <item x="867"/>
        <item x="348"/>
        <item x="782"/>
        <item x="562"/>
        <item x="315"/>
        <item x="586"/>
        <item x="756"/>
        <item x="189"/>
        <item x="920"/>
        <item x="671"/>
        <item x="2"/>
        <item x="506"/>
        <item x="792"/>
        <item x="703"/>
        <item x="643"/>
        <item x="851"/>
        <item x="610"/>
        <item x="349"/>
        <item x="531"/>
        <item x="575"/>
        <item x="251"/>
        <item x="675"/>
        <item x="64"/>
        <item x="377"/>
        <item x="467"/>
        <item x="670"/>
        <item x="560"/>
        <item x="749"/>
        <item x="886"/>
        <item x="814"/>
        <item x="802"/>
        <item x="796"/>
        <item x="566"/>
        <item x="118"/>
        <item x="622"/>
        <item x="658"/>
        <item x="696"/>
        <item x="517"/>
        <item x="933"/>
        <item x="873"/>
        <item x="537"/>
        <item x="800"/>
        <item x="915"/>
        <item x="817"/>
        <item x="12"/>
        <item x="529"/>
        <item x="650"/>
        <item x="106"/>
        <item x="103"/>
        <item x="323"/>
        <item x="776"/>
        <item x="906"/>
        <item x="930"/>
        <item x="801"/>
        <item x="713"/>
        <item x="474"/>
        <item x="149"/>
        <item x="656"/>
        <item x="868"/>
        <item x="799"/>
        <item x="778"/>
        <item x="847"/>
        <item x="274"/>
        <item x="810"/>
        <item x="916"/>
        <item x="809"/>
        <item x="447"/>
        <item x="764"/>
        <item x="360"/>
        <item x="731"/>
        <item x="493"/>
        <item x="795"/>
        <item x="663"/>
        <item x="185"/>
        <item x="87"/>
        <item x="481"/>
        <item x="177"/>
        <item x="784"/>
        <item x="819"/>
        <item x="519"/>
        <item x="584"/>
        <item x="717"/>
        <item x="700"/>
        <item x="637"/>
        <item x="839"/>
        <item x="44"/>
        <item x="837"/>
        <item x="525"/>
        <item x="40"/>
        <item x="652"/>
        <item x="131"/>
        <item x="838"/>
        <item x="692"/>
        <item x="510"/>
        <item x="223"/>
        <item x="825"/>
        <item x="516"/>
        <item x="786"/>
        <item x="513"/>
        <item x="907"/>
        <item x="714"/>
        <item x="662"/>
        <item x="770"/>
        <item x="311"/>
        <item x="878"/>
        <item x="865"/>
        <item x="924"/>
        <item x="927"/>
        <item x="912"/>
        <item x="688"/>
        <item x="891"/>
        <item x="284"/>
        <item x="781"/>
        <item x="676"/>
        <item x="96"/>
        <item x="747"/>
        <item x="373"/>
        <item x="694"/>
        <item x="806"/>
        <item x="31"/>
        <item x="621"/>
        <item x="416"/>
        <item x="616"/>
        <item x="488"/>
        <item x="626"/>
        <item x="832"/>
        <item x="648"/>
        <item x="880"/>
        <item x="815"/>
        <item x="640"/>
        <item x="499"/>
        <item x="917"/>
        <item x="896"/>
        <item x="702"/>
        <item x="712"/>
        <item x="36"/>
        <item x="914"/>
        <item x="645"/>
        <item x="437"/>
        <item x="718"/>
        <item x="848"/>
        <item x="708"/>
        <item x="833"/>
        <item x="894"/>
        <item t="default"/>
      </items>
    </pivotField>
    <pivotField dataField="1" showAll="0"/>
    <pivotField numFmtId="15"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numFmtId="15" showAll="0"/>
    <pivotField showAll="0"/>
    <pivotField axis="axisRow" showAll="0">
      <items count="6">
        <item x="0"/>
        <item x="3"/>
        <item x="4"/>
        <item x="2"/>
        <item x="1"/>
        <item t="default"/>
      </items>
    </pivotField>
    <pivotField showAll="0"/>
    <pivotField showAll="0"/>
    <pivotField showAll="0"/>
    <pivotField showAll="0">
      <items count="16">
        <item x="7"/>
        <item x="3"/>
        <item x="1"/>
        <item x="2"/>
        <item x="5"/>
        <item x="0"/>
        <item x="4"/>
        <item x="6"/>
        <item x="9"/>
        <item x="8"/>
        <item x="14"/>
        <item x="11"/>
        <item x="13"/>
        <item x="10"/>
        <item x="12"/>
        <item t="default"/>
      </items>
    </pivotField>
    <pivotField showAll="0"/>
    <pivotField axis="axisCol" showAll="0">
      <items count="5">
        <item n="Female" x="2"/>
        <item x="1"/>
        <item x="3"/>
        <item x="0"/>
        <item t="default"/>
      </items>
    </pivotField>
    <pivotField showAll="0">
      <items count="8">
        <item x="0"/>
        <item x="1"/>
        <item x="2"/>
        <item x="4"/>
        <item x="3"/>
        <item x="5"/>
        <item x="6"/>
        <item t="default"/>
      </items>
    </pivotField>
    <pivotField showAll="0">
      <items count="10">
        <item x="5"/>
        <item x="3"/>
        <item x="1"/>
        <item x="2"/>
        <item x="4"/>
        <item x="0"/>
        <item x="8"/>
        <item x="6"/>
        <item x="7"/>
        <item t="default"/>
      </items>
    </pivotField>
    <pivotField showAll="0">
      <items count="15">
        <item x="0"/>
        <item x="1"/>
        <item x="2"/>
        <item x="3"/>
        <item x="4"/>
        <item x="5"/>
        <item x="6"/>
        <item x="7"/>
        <item x="8"/>
        <item x="9"/>
        <item x="10"/>
        <item x="11"/>
        <item x="12"/>
        <item x="13"/>
        <item t="default"/>
      </items>
    </pivotField>
    <pivotField showAll="0">
      <items count="201">
        <item x="4"/>
        <item x="198"/>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199"/>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0"/>
        <item x="1"/>
        <item x="2"/>
        <item x="3"/>
        <item t="default"/>
      </items>
    </pivotField>
  </pivotFields>
  <rowFields count="1">
    <field x="8"/>
  </rowFields>
  <rowItems count="6">
    <i>
      <x/>
    </i>
    <i>
      <x v="1"/>
    </i>
    <i>
      <x v="2"/>
    </i>
    <i>
      <x v="3"/>
    </i>
    <i>
      <x v="4"/>
    </i>
    <i t="grand">
      <x/>
    </i>
  </rowItems>
  <colFields count="1">
    <field x="14"/>
  </colFields>
  <colItems count="5">
    <i>
      <x/>
    </i>
    <i>
      <x v="1"/>
    </i>
    <i>
      <x v="2"/>
    </i>
    <i>
      <x v="3"/>
    </i>
    <i t="grand">
      <x/>
    </i>
  </colItems>
  <dataFields count="1">
    <dataField name="Sum of Amount" fld="4" showDataAs="percentOfTotal"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1AAF38D8-4974-4D0C-B2EB-E8AE7BFB122F}" name="PivotTable6"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13:F20" firstHeaderRow="1" firstDataRow="2" firstDataCol="1"/>
  <pivotFields count="19">
    <pivotField dataField="1" showAll="0"/>
    <pivotField showAll="0"/>
    <pivotField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items count="935">
        <item x="178"/>
        <item x="159"/>
        <item x="97"/>
        <item x="441"/>
        <item x="265"/>
        <item x="401"/>
        <item x="0"/>
        <item x="408"/>
        <item x="229"/>
        <item x="370"/>
        <item x="61"/>
        <item x="463"/>
        <item x="860"/>
        <item x="604"/>
        <item x="426"/>
        <item x="608"/>
        <item x="877"/>
        <item x="932"/>
        <item x="822"/>
        <item x="150"/>
        <item x="335"/>
        <item x="885"/>
        <item x="888"/>
        <item x="169"/>
        <item x="609"/>
        <item x="826"/>
        <item x="905"/>
        <item x="862"/>
        <item x="270"/>
        <item x="221"/>
        <item x="503"/>
        <item x="476"/>
        <item x="536"/>
        <item x="388"/>
        <item x="678"/>
        <item x="455"/>
        <item x="83"/>
        <item x="255"/>
        <item x="137"/>
        <item x="35"/>
        <item x="496"/>
        <item x="398"/>
        <item x="342"/>
        <item x="261"/>
        <item x="857"/>
        <item x="655"/>
        <item x="879"/>
        <item x="639"/>
        <item x="569"/>
        <item x="384"/>
        <item x="929"/>
        <item x="771"/>
        <item x="727"/>
        <item x="161"/>
        <item x="893"/>
        <item x="25"/>
        <item x="228"/>
        <item x="130"/>
        <item x="71"/>
        <item x="53"/>
        <item x="606"/>
        <item x="762"/>
        <item x="383"/>
        <item x="856"/>
        <item x="99"/>
        <item x="465"/>
        <item x="585"/>
        <item x="333"/>
        <item x="104"/>
        <item x="129"/>
        <item x="30"/>
        <item x="359"/>
        <item x="55"/>
        <item x="918"/>
        <item x="415"/>
        <item x="266"/>
        <item x="478"/>
        <item x="82"/>
        <item x="157"/>
        <item x="490"/>
        <item x="260"/>
        <item x="736"/>
        <item x="127"/>
        <item x="293"/>
        <item x="580"/>
        <item x="468"/>
        <item x="289"/>
        <item x="390"/>
        <item x="588"/>
        <item x="65"/>
        <item x="438"/>
        <item x="191"/>
        <item x="210"/>
        <item x="302"/>
        <item x="332"/>
        <item x="592"/>
        <item x="33"/>
        <item x="301"/>
        <item x="421"/>
        <item x="595"/>
        <item x="237"/>
        <item x="597"/>
        <item x="208"/>
        <item x="9"/>
        <item x="243"/>
        <item x="351"/>
        <item x="188"/>
        <item x="625"/>
        <item x="409"/>
        <item x="887"/>
        <item x="59"/>
        <item x="372"/>
        <item x="121"/>
        <item x="139"/>
        <item x="234"/>
        <item x="174"/>
        <item x="483"/>
        <item x="273"/>
        <item x="209"/>
        <item x="661"/>
        <item x="512"/>
        <item x="51"/>
        <item x="278"/>
        <item x="249"/>
        <item x="362"/>
        <item x="605"/>
        <item x="486"/>
        <item x="187"/>
        <item x="769"/>
        <item x="403"/>
        <item x="19"/>
        <item x="631"/>
        <item x="855"/>
        <item x="423"/>
        <item x="170"/>
        <item x="679"/>
        <item x="136"/>
        <item x="122"/>
        <item x="269"/>
        <item x="615"/>
        <item x="457"/>
        <item x="133"/>
        <item x="23"/>
        <item x="38"/>
        <item x="439"/>
        <item x="494"/>
        <item x="48"/>
        <item x="436"/>
        <item x="49"/>
        <item x="399"/>
        <item x="295"/>
        <item x="807"/>
        <item x="336"/>
        <item x="231"/>
        <item x="843"/>
        <item x="389"/>
        <item x="646"/>
        <item x="343"/>
        <item x="627"/>
        <item x="257"/>
        <item x="742"/>
        <item x="805"/>
        <item x="70"/>
        <item x="365"/>
        <item x="85"/>
        <item x="167"/>
        <item x="144"/>
        <item x="538"/>
        <item x="690"/>
        <item x="581"/>
        <item x="402"/>
        <item x="143"/>
        <item x="647"/>
        <item x="669"/>
        <item x="686"/>
        <item x="47"/>
        <item x="755"/>
        <item x="32"/>
        <item x="500"/>
        <item x="90"/>
        <item x="224"/>
        <item x="165"/>
        <item x="248"/>
        <item x="162"/>
        <item x="1"/>
        <item x="630"/>
        <item x="607"/>
        <item x="15"/>
        <item x="452"/>
        <item x="16"/>
        <item x="63"/>
        <item x="375"/>
        <item x="541"/>
        <item x="217"/>
        <item x="680"/>
        <item x="132"/>
        <item x="216"/>
        <item x="590"/>
        <item x="34"/>
        <item x="201"/>
        <item x="380"/>
        <item x="240"/>
        <item x="498"/>
        <item x="504"/>
        <item x="101"/>
        <item x="195"/>
        <item x="413"/>
        <item x="619"/>
        <item x="614"/>
        <item x="199"/>
        <item x="846"/>
        <item x="57"/>
        <item x="172"/>
        <item x="232"/>
        <item x="570"/>
        <item x="532"/>
        <item x="601"/>
        <item x="412"/>
        <item x="324"/>
        <item x="268"/>
        <item x="120"/>
        <item x="695"/>
        <item x="766"/>
        <item x="176"/>
        <item x="292"/>
        <item x="267"/>
        <item x="271"/>
        <item x="775"/>
        <item x="334"/>
        <item x="200"/>
        <item x="341"/>
        <item x="908"/>
        <item x="803"/>
        <item x="533"/>
        <item x="8"/>
        <item x="385"/>
        <item x="275"/>
        <item x="307"/>
        <item x="160"/>
        <item x="310"/>
        <item x="791"/>
        <item x="128"/>
        <item x="355"/>
        <item x="17"/>
        <item x="294"/>
        <item x="78"/>
        <item x="711"/>
        <item x="571"/>
        <item x="719"/>
        <item x="790"/>
        <item x="105"/>
        <item x="484"/>
        <item x="151"/>
        <item x="410"/>
        <item x="3"/>
        <item x="256"/>
        <item x="430"/>
        <item x="545"/>
        <item x="202"/>
        <item x="751"/>
        <item x="629"/>
        <item x="153"/>
        <item x="392"/>
        <item x="26"/>
        <item x="665"/>
        <item x="400"/>
        <item x="37"/>
        <item x="644"/>
        <item x="406"/>
        <item x="418"/>
        <item x="632"/>
        <item x="557"/>
        <item x="180"/>
        <item x="138"/>
        <item x="759"/>
        <item x="811"/>
        <item x="152"/>
        <item x="464"/>
        <item x="931"/>
        <item x="7"/>
        <item x="664"/>
        <item x="145"/>
        <item x="722"/>
        <item x="253"/>
        <item x="363"/>
        <item x="446"/>
        <item x="29"/>
        <item x="758"/>
        <item x="387"/>
        <item x="397"/>
        <item x="50"/>
        <item x="329"/>
        <item x="654"/>
        <item x="52"/>
        <item x="80"/>
        <item x="245"/>
        <item x="300"/>
        <item x="624"/>
        <item x="567"/>
        <item x="318"/>
        <item x="394"/>
        <item x="687"/>
        <item x="325"/>
        <item x="272"/>
        <item x="443"/>
        <item x="429"/>
        <item x="280"/>
        <item x="39"/>
        <item x="522"/>
        <item x="705"/>
        <item x="171"/>
        <item x="347"/>
        <item x="458"/>
        <item x="535"/>
        <item x="20"/>
        <item x="910"/>
        <item x="548"/>
        <item x="369"/>
        <item x="236"/>
        <item x="112"/>
        <item x="73"/>
        <item x="239"/>
        <item x="926"/>
        <item x="613"/>
        <item x="788"/>
        <item x="125"/>
        <item x="303"/>
        <item x="226"/>
        <item x="291"/>
        <item x="299"/>
        <item x="102"/>
        <item x="600"/>
        <item x="357"/>
        <item x="108"/>
        <item x="511"/>
        <item x="206"/>
        <item x="544"/>
        <item x="354"/>
        <item x="193"/>
        <item x="425"/>
        <item x="340"/>
        <item x="587"/>
        <item x="594"/>
        <item x="21"/>
        <item x="84"/>
        <item x="528"/>
        <item x="642"/>
        <item x="344"/>
        <item x="550"/>
        <item x="219"/>
        <item x="68"/>
        <item x="356"/>
        <item x="672"/>
        <item x="134"/>
        <item x="367"/>
        <item x="196"/>
        <item x="142"/>
        <item x="297"/>
        <item x="591"/>
        <item x="72"/>
        <item x="286"/>
        <item x="379"/>
        <item x="242"/>
        <item x="126"/>
        <item x="816"/>
        <item x="11"/>
        <item x="182"/>
        <item x="364"/>
        <item x="660"/>
        <item x="183"/>
        <item x="432"/>
        <item x="659"/>
        <item x="235"/>
        <item x="850"/>
        <item x="308"/>
        <item x="869"/>
        <item x="534"/>
        <item x="612"/>
        <item x="88"/>
        <item x="93"/>
        <item x="79"/>
        <item x="155"/>
        <item x="179"/>
        <item x="28"/>
        <item x="707"/>
        <item x="18"/>
        <item x="440"/>
        <item x="353"/>
        <item x="258"/>
        <item x="599"/>
        <item x="728"/>
        <item x="309"/>
        <item x="147"/>
        <item x="424"/>
        <item x="168"/>
        <item x="184"/>
        <item x="793"/>
        <item x="574"/>
        <item x="515"/>
        <item x="166"/>
        <item x="699"/>
        <item x="119"/>
        <item x="434"/>
        <item x="422"/>
        <item x="98"/>
        <item x="213"/>
        <item x="459"/>
        <item x="230"/>
        <item x="789"/>
        <item x="582"/>
        <item x="526"/>
        <item x="589"/>
        <item x="190"/>
        <item x="641"/>
        <item x="715"/>
        <item x="706"/>
        <item x="352"/>
        <item x="10"/>
        <item x="42"/>
        <item x="514"/>
        <item x="86"/>
        <item x="76"/>
        <item x="123"/>
        <item x="173"/>
        <item x="282"/>
        <item x="204"/>
        <item x="6"/>
        <item x="842"/>
        <item x="572"/>
        <item x="495"/>
        <item x="740"/>
        <item x="502"/>
        <item x="218"/>
        <item x="628"/>
        <item x="634"/>
        <item x="623"/>
        <item x="576"/>
        <item x="448"/>
        <item x="472"/>
        <item x="4"/>
        <item x="382"/>
        <item x="881"/>
        <item x="551"/>
        <item x="140"/>
        <item x="27"/>
        <item x="405"/>
        <item x="214"/>
        <item x="884"/>
        <item x="222"/>
        <item x="461"/>
        <item x="211"/>
        <item x="787"/>
        <item x="491"/>
        <item x="215"/>
        <item x="296"/>
        <item x="207"/>
        <item x="277"/>
        <item x="635"/>
        <item x="75"/>
        <item x="785"/>
        <item x="466"/>
        <item x="395"/>
        <item x="721"/>
        <item x="523"/>
        <item x="737"/>
        <item x="542"/>
        <item x="233"/>
        <item x="684"/>
        <item x="115"/>
        <item x="396"/>
        <item x="316"/>
        <item x="841"/>
        <item x="110"/>
        <item x="738"/>
        <item x="322"/>
        <item x="247"/>
        <item x="530"/>
        <item x="701"/>
        <item x="552"/>
        <item x="553"/>
        <item x="156"/>
        <item x="501"/>
        <item x="750"/>
        <item x="148"/>
        <item x="854"/>
        <item x="89"/>
        <item x="480"/>
        <item x="227"/>
        <item x="547"/>
        <item x="205"/>
        <item x="198"/>
        <item x="556"/>
        <item x="470"/>
        <item x="366"/>
        <item x="829"/>
        <item x="407"/>
        <item x="821"/>
        <item x="94"/>
        <item x="56"/>
        <item x="113"/>
        <item x="734"/>
        <item x="427"/>
        <item x="305"/>
        <item x="46"/>
        <item x="259"/>
        <item x="565"/>
        <item x="761"/>
        <item x="444"/>
        <item x="58"/>
        <item x="780"/>
        <item x="281"/>
        <item x="554"/>
        <item x="337"/>
        <item x="497"/>
        <item x="92"/>
        <item x="146"/>
        <item x="203"/>
        <item x="225"/>
        <item x="456"/>
        <item x="313"/>
        <item x="404"/>
        <item x="834"/>
        <item x="244"/>
        <item x="779"/>
        <item x="757"/>
        <item x="667"/>
        <item x="730"/>
        <item x="633"/>
        <item x="563"/>
        <item x="450"/>
        <item x="14"/>
        <item x="114"/>
        <item x="668"/>
        <item x="783"/>
        <item x="618"/>
        <item x="748"/>
        <item x="246"/>
        <item x="212"/>
        <item x="509"/>
        <item x="469"/>
        <item x="666"/>
        <item x="735"/>
        <item x="197"/>
        <item x="704"/>
        <item x="657"/>
        <item x="419"/>
        <item x="43"/>
        <item x="596"/>
        <item x="794"/>
        <item x="725"/>
        <item x="192"/>
        <item x="276"/>
        <item x="62"/>
        <item x="327"/>
        <item x="135"/>
        <item x="181"/>
        <item x="393"/>
        <item x="330"/>
        <item x="579"/>
        <item x="163"/>
        <item x="673"/>
        <item x="451"/>
        <item x="264"/>
        <item x="911"/>
        <item x="431"/>
        <item x="578"/>
        <item x="471"/>
        <item x="45"/>
        <item x="60"/>
        <item x="760"/>
        <item x="254"/>
        <item x="674"/>
        <item x="598"/>
        <item x="925"/>
        <item x="928"/>
        <item x="774"/>
        <item x="866"/>
        <item x="489"/>
        <item x="583"/>
        <item x="462"/>
        <item x="559"/>
        <item x="391"/>
        <item x="524"/>
        <item x="899"/>
        <item x="111"/>
        <item x="378"/>
        <item x="651"/>
        <item x="508"/>
        <item x="773"/>
        <item x="858"/>
        <item x="326"/>
        <item x="746"/>
        <item x="603"/>
        <item x="417"/>
        <item x="752"/>
        <item x="492"/>
        <item x="91"/>
        <item x="285"/>
        <item x="487"/>
        <item x="374"/>
        <item x="913"/>
        <item x="577"/>
        <item x="859"/>
        <item x="124"/>
        <item x="836"/>
        <item x="823"/>
        <item x="164"/>
        <item x="767"/>
        <item x="903"/>
        <item x="107"/>
        <item x="897"/>
        <item x="741"/>
        <item x="828"/>
        <item x="863"/>
        <item x="81"/>
        <item x="693"/>
        <item x="312"/>
        <item x="777"/>
        <item x="710"/>
        <item x="505"/>
        <item x="158"/>
        <item x="473"/>
        <item x="898"/>
        <item x="716"/>
        <item x="685"/>
        <item x="77"/>
        <item x="561"/>
        <item x="414"/>
        <item x="546"/>
        <item x="304"/>
        <item x="22"/>
        <item x="442"/>
        <item x="889"/>
        <item x="454"/>
        <item x="611"/>
        <item x="902"/>
        <item x="697"/>
        <item x="853"/>
        <item x="41"/>
        <item x="827"/>
        <item x="262"/>
        <item x="328"/>
        <item x="830"/>
        <item x="870"/>
        <item x="453"/>
        <item x="521"/>
        <item x="186"/>
        <item x="428"/>
        <item x="844"/>
        <item x="220"/>
        <item x="921"/>
        <item x="682"/>
        <item x="445"/>
        <item x="890"/>
        <item x="321"/>
        <item x="298"/>
        <item x="5"/>
        <item x="331"/>
        <item x="371"/>
        <item x="861"/>
        <item x="922"/>
        <item x="726"/>
        <item x="883"/>
        <item x="636"/>
        <item x="872"/>
        <item x="845"/>
        <item x="100"/>
        <item x="798"/>
        <item x="288"/>
        <item x="564"/>
        <item x="555"/>
        <item x="345"/>
        <item x="874"/>
        <item x="744"/>
        <item x="602"/>
        <item x="376"/>
        <item x="909"/>
        <item x="768"/>
        <item x="753"/>
        <item x="449"/>
        <item x="804"/>
        <item x="797"/>
        <item x="813"/>
        <item x="507"/>
        <item x="154"/>
        <item x="479"/>
        <item x="724"/>
        <item x="808"/>
        <item x="317"/>
        <item x="691"/>
        <item x="241"/>
        <item x="117"/>
        <item x="745"/>
        <item x="13"/>
        <item x="689"/>
        <item x="723"/>
        <item x="24"/>
        <item x="527"/>
        <item x="346"/>
        <item x="66"/>
        <item x="69"/>
        <item x="141"/>
        <item x="314"/>
        <item x="763"/>
        <item x="411"/>
        <item x="238"/>
        <item x="677"/>
        <item x="820"/>
        <item x="54"/>
        <item x="338"/>
        <item x="739"/>
        <item x="116"/>
        <item x="754"/>
        <item x="638"/>
        <item x="520"/>
        <item x="923"/>
        <item x="109"/>
        <item x="306"/>
        <item x="368"/>
        <item x="743"/>
        <item x="283"/>
        <item x="824"/>
        <item x="95"/>
        <item x="895"/>
        <item x="420"/>
        <item x="252"/>
        <item x="482"/>
        <item x="864"/>
        <item x="477"/>
        <item x="568"/>
        <item x="381"/>
        <item x="831"/>
        <item x="263"/>
        <item x="573"/>
        <item x="840"/>
        <item x="549"/>
        <item x="350"/>
        <item x="732"/>
        <item x="558"/>
        <item x="812"/>
        <item x="433"/>
        <item x="900"/>
        <item x="876"/>
        <item x="849"/>
        <item x="194"/>
        <item x="818"/>
        <item x="871"/>
        <item x="67"/>
        <item x="709"/>
        <item x="475"/>
        <item x="729"/>
        <item x="543"/>
        <item x="287"/>
        <item x="539"/>
        <item x="765"/>
        <item x="358"/>
        <item x="279"/>
        <item x="361"/>
        <item x="875"/>
        <item x="620"/>
        <item x="320"/>
        <item x="919"/>
        <item x="435"/>
        <item x="904"/>
        <item x="835"/>
        <item x="540"/>
        <item x="593"/>
        <item x="772"/>
        <item x="386"/>
        <item x="319"/>
        <item x="74"/>
        <item x="175"/>
        <item x="653"/>
        <item x="617"/>
        <item x="852"/>
        <item x="720"/>
        <item x="485"/>
        <item x="882"/>
        <item x="733"/>
        <item x="460"/>
        <item x="339"/>
        <item x="518"/>
        <item x="250"/>
        <item x="901"/>
        <item x="681"/>
        <item x="698"/>
        <item x="649"/>
        <item x="290"/>
        <item x="683"/>
        <item x="892"/>
        <item x="867"/>
        <item x="348"/>
        <item x="782"/>
        <item x="562"/>
        <item x="315"/>
        <item x="586"/>
        <item x="756"/>
        <item x="189"/>
        <item x="920"/>
        <item x="671"/>
        <item x="2"/>
        <item x="506"/>
        <item x="792"/>
        <item x="703"/>
        <item x="643"/>
        <item x="851"/>
        <item x="610"/>
        <item x="349"/>
        <item x="531"/>
        <item x="575"/>
        <item x="251"/>
        <item x="675"/>
        <item x="64"/>
        <item x="377"/>
        <item x="467"/>
        <item x="670"/>
        <item x="560"/>
        <item x="749"/>
        <item x="886"/>
        <item x="814"/>
        <item x="802"/>
        <item x="796"/>
        <item x="566"/>
        <item x="118"/>
        <item x="622"/>
        <item x="658"/>
        <item x="696"/>
        <item x="517"/>
        <item x="933"/>
        <item x="873"/>
        <item x="537"/>
        <item x="800"/>
        <item x="915"/>
        <item x="817"/>
        <item x="12"/>
        <item x="529"/>
        <item x="650"/>
        <item x="106"/>
        <item x="103"/>
        <item x="323"/>
        <item x="776"/>
        <item x="906"/>
        <item x="930"/>
        <item x="801"/>
        <item x="713"/>
        <item x="474"/>
        <item x="149"/>
        <item x="656"/>
        <item x="868"/>
        <item x="799"/>
        <item x="778"/>
        <item x="847"/>
        <item x="274"/>
        <item x="810"/>
        <item x="916"/>
        <item x="809"/>
        <item x="447"/>
        <item x="764"/>
        <item x="360"/>
        <item x="731"/>
        <item x="493"/>
        <item x="795"/>
        <item x="663"/>
        <item x="185"/>
        <item x="87"/>
        <item x="481"/>
        <item x="177"/>
        <item x="784"/>
        <item x="819"/>
        <item x="519"/>
        <item x="584"/>
        <item x="717"/>
        <item x="700"/>
        <item x="637"/>
        <item x="839"/>
        <item x="44"/>
        <item x="837"/>
        <item x="525"/>
        <item x="40"/>
        <item x="652"/>
        <item x="131"/>
        <item x="838"/>
        <item x="692"/>
        <item x="510"/>
        <item x="223"/>
        <item x="825"/>
        <item x="516"/>
        <item x="786"/>
        <item x="513"/>
        <item x="907"/>
        <item x="714"/>
        <item x="662"/>
        <item x="770"/>
        <item x="311"/>
        <item x="878"/>
        <item x="865"/>
        <item x="924"/>
        <item x="927"/>
        <item x="912"/>
        <item x="688"/>
        <item x="891"/>
        <item x="284"/>
        <item x="781"/>
        <item x="676"/>
        <item x="96"/>
        <item x="747"/>
        <item x="373"/>
        <item x="694"/>
        <item x="806"/>
        <item x="31"/>
        <item x="621"/>
        <item x="416"/>
        <item x="616"/>
        <item x="488"/>
        <item x="626"/>
        <item x="832"/>
        <item x="648"/>
        <item x="880"/>
        <item x="815"/>
        <item x="640"/>
        <item x="499"/>
        <item x="917"/>
        <item x="896"/>
        <item x="702"/>
        <item x="712"/>
        <item x="36"/>
        <item x="914"/>
        <item x="645"/>
        <item x="437"/>
        <item x="718"/>
        <item x="848"/>
        <item x="708"/>
        <item x="833"/>
        <item x="894"/>
        <item t="default"/>
      </items>
    </pivotField>
    <pivotField showAll="0"/>
    <pivotField numFmtId="15"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numFmtId="15" showAll="0"/>
    <pivotField showAll="0"/>
    <pivotField axis="axisRow" showAll="0">
      <items count="6">
        <item x="0"/>
        <item x="3"/>
        <item x="4"/>
        <item x="2"/>
        <item x="1"/>
        <item t="default"/>
      </items>
    </pivotField>
    <pivotField showAll="0"/>
    <pivotField showAll="0"/>
    <pivotField showAll="0"/>
    <pivotField showAll="0">
      <items count="16">
        <item x="7"/>
        <item x="3"/>
        <item x="1"/>
        <item x="2"/>
        <item x="5"/>
        <item x="0"/>
        <item x="4"/>
        <item x="6"/>
        <item x="9"/>
        <item x="8"/>
        <item x="14"/>
        <item x="11"/>
        <item x="13"/>
        <item x="10"/>
        <item x="12"/>
        <item t="default"/>
      </items>
    </pivotField>
    <pivotField showAll="0"/>
    <pivotField axis="axisCol" showAll="0">
      <items count="5">
        <item n="Female" x="2"/>
        <item x="1"/>
        <item x="3"/>
        <item x="0"/>
        <item t="default"/>
      </items>
    </pivotField>
    <pivotField showAll="0">
      <items count="8">
        <item x="0"/>
        <item x="1"/>
        <item x="2"/>
        <item x="4"/>
        <item x="3"/>
        <item x="5"/>
        <item x="6"/>
        <item t="default"/>
      </items>
    </pivotField>
    <pivotField showAll="0">
      <items count="10">
        <item x="5"/>
        <item x="3"/>
        <item x="1"/>
        <item x="2"/>
        <item x="4"/>
        <item x="0"/>
        <item x="8"/>
        <item x="6"/>
        <item x="7"/>
        <item t="default"/>
      </items>
    </pivotField>
    <pivotField showAll="0">
      <items count="15">
        <item x="0"/>
        <item x="1"/>
        <item x="2"/>
        <item x="3"/>
        <item x="4"/>
        <item x="5"/>
        <item x="6"/>
        <item x="7"/>
        <item x="8"/>
        <item x="9"/>
        <item x="10"/>
        <item x="11"/>
        <item x="12"/>
        <item x="13"/>
        <item t="default"/>
      </items>
    </pivotField>
    <pivotField showAll="0">
      <items count="201">
        <item x="4"/>
        <item x="198"/>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199"/>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0"/>
        <item x="1"/>
        <item x="2"/>
        <item x="3"/>
        <item t="default"/>
      </items>
    </pivotField>
  </pivotFields>
  <rowFields count="1">
    <field x="8"/>
  </rowFields>
  <rowItems count="6">
    <i>
      <x/>
    </i>
    <i>
      <x v="1"/>
    </i>
    <i>
      <x v="2"/>
    </i>
    <i>
      <x v="3"/>
    </i>
    <i>
      <x v="4"/>
    </i>
    <i t="grand">
      <x/>
    </i>
  </rowItems>
  <colFields count="1">
    <field x="14"/>
  </colFields>
  <colItems count="5">
    <i>
      <x/>
    </i>
    <i>
      <x v="1"/>
    </i>
    <i>
      <x v="2"/>
    </i>
    <i>
      <x v="3"/>
    </i>
    <i t="grand">
      <x/>
    </i>
  </colItems>
  <dataFields count="1">
    <dataField name="Count of TX ID" fld="0" subtotal="count" showDataAs="percentOfTotal"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8B095117-2045-451A-9D53-70EBD897B1ED}" name="PivotTable7"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rowHeaderCaption="Product">
  <location ref="A154:D175" firstHeaderRow="0" firstDataRow="1" firstDataCol="1" rowPageCount="1" colPageCount="1"/>
  <pivotFields count="19">
    <pivotField dataField="1" showAll="0"/>
    <pivotField axis="axisRow" showAll="0" sortType="descending">
      <items count="21">
        <item x="14"/>
        <item x="10"/>
        <item x="12"/>
        <item x="15"/>
        <item x="4"/>
        <item x="7"/>
        <item x="6"/>
        <item x="19"/>
        <item x="18"/>
        <item x="11"/>
        <item x="17"/>
        <item x="5"/>
        <item x="0"/>
        <item x="2"/>
        <item x="9"/>
        <item x="16"/>
        <item x="1"/>
        <item x="13"/>
        <item x="8"/>
        <item x="3"/>
        <item t="default"/>
      </items>
      <autoSortScope>
        <pivotArea dataOnly="0" outline="0" fieldPosition="0">
          <references count="1">
            <reference field="4294967294" count="1" selected="0">
              <x v="0"/>
            </reference>
          </references>
        </pivotArea>
      </autoSortScope>
    </pivotField>
    <pivotField dataField="1"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items count="935">
        <item x="178"/>
        <item x="159"/>
        <item x="97"/>
        <item x="441"/>
        <item x="265"/>
        <item x="401"/>
        <item x="0"/>
        <item x="408"/>
        <item x="229"/>
        <item x="370"/>
        <item x="61"/>
        <item x="463"/>
        <item x="860"/>
        <item x="604"/>
        <item x="426"/>
        <item x="608"/>
        <item x="877"/>
        <item x="932"/>
        <item x="822"/>
        <item x="150"/>
        <item x="335"/>
        <item x="885"/>
        <item x="888"/>
        <item x="169"/>
        <item x="609"/>
        <item x="826"/>
        <item x="905"/>
        <item x="862"/>
        <item x="270"/>
        <item x="221"/>
        <item x="503"/>
        <item x="476"/>
        <item x="536"/>
        <item x="388"/>
        <item x="678"/>
        <item x="455"/>
        <item x="83"/>
        <item x="255"/>
        <item x="137"/>
        <item x="35"/>
        <item x="496"/>
        <item x="398"/>
        <item x="342"/>
        <item x="261"/>
        <item x="857"/>
        <item x="655"/>
        <item x="879"/>
        <item x="639"/>
        <item x="569"/>
        <item x="384"/>
        <item x="929"/>
        <item x="771"/>
        <item x="727"/>
        <item x="161"/>
        <item x="893"/>
        <item x="25"/>
        <item x="228"/>
        <item x="130"/>
        <item x="71"/>
        <item x="53"/>
        <item x="606"/>
        <item x="762"/>
        <item x="383"/>
        <item x="856"/>
        <item x="99"/>
        <item x="465"/>
        <item x="585"/>
        <item x="333"/>
        <item x="104"/>
        <item x="129"/>
        <item x="30"/>
        <item x="359"/>
        <item x="55"/>
        <item x="918"/>
        <item x="415"/>
        <item x="266"/>
        <item x="478"/>
        <item x="82"/>
        <item x="157"/>
        <item x="490"/>
        <item x="260"/>
        <item x="736"/>
        <item x="127"/>
        <item x="293"/>
        <item x="580"/>
        <item x="468"/>
        <item x="289"/>
        <item x="390"/>
        <item x="588"/>
        <item x="65"/>
        <item x="438"/>
        <item x="191"/>
        <item x="210"/>
        <item x="302"/>
        <item x="332"/>
        <item x="592"/>
        <item x="33"/>
        <item x="301"/>
        <item x="421"/>
        <item x="595"/>
        <item x="237"/>
        <item x="597"/>
        <item x="208"/>
        <item x="9"/>
        <item x="243"/>
        <item x="351"/>
        <item x="188"/>
        <item x="625"/>
        <item x="409"/>
        <item x="887"/>
        <item x="59"/>
        <item x="372"/>
        <item x="121"/>
        <item x="139"/>
        <item x="234"/>
        <item x="174"/>
        <item x="483"/>
        <item x="273"/>
        <item x="209"/>
        <item x="661"/>
        <item x="512"/>
        <item x="51"/>
        <item x="278"/>
        <item x="249"/>
        <item x="362"/>
        <item x="605"/>
        <item x="486"/>
        <item x="187"/>
        <item x="769"/>
        <item x="403"/>
        <item x="19"/>
        <item x="631"/>
        <item x="855"/>
        <item x="423"/>
        <item x="170"/>
        <item x="679"/>
        <item x="136"/>
        <item x="122"/>
        <item x="269"/>
        <item x="615"/>
        <item x="457"/>
        <item x="133"/>
        <item x="23"/>
        <item x="38"/>
        <item x="439"/>
        <item x="494"/>
        <item x="48"/>
        <item x="436"/>
        <item x="49"/>
        <item x="399"/>
        <item x="295"/>
        <item x="807"/>
        <item x="336"/>
        <item x="231"/>
        <item x="843"/>
        <item x="389"/>
        <item x="646"/>
        <item x="343"/>
        <item x="627"/>
        <item x="257"/>
        <item x="742"/>
        <item x="805"/>
        <item x="70"/>
        <item x="365"/>
        <item x="85"/>
        <item x="167"/>
        <item x="144"/>
        <item x="538"/>
        <item x="690"/>
        <item x="581"/>
        <item x="402"/>
        <item x="143"/>
        <item x="647"/>
        <item x="669"/>
        <item x="686"/>
        <item x="47"/>
        <item x="755"/>
        <item x="32"/>
        <item x="500"/>
        <item x="90"/>
        <item x="224"/>
        <item x="165"/>
        <item x="248"/>
        <item x="162"/>
        <item x="1"/>
        <item x="630"/>
        <item x="607"/>
        <item x="15"/>
        <item x="452"/>
        <item x="16"/>
        <item x="63"/>
        <item x="375"/>
        <item x="541"/>
        <item x="217"/>
        <item x="680"/>
        <item x="132"/>
        <item x="216"/>
        <item x="590"/>
        <item x="34"/>
        <item x="201"/>
        <item x="380"/>
        <item x="240"/>
        <item x="498"/>
        <item x="504"/>
        <item x="101"/>
        <item x="195"/>
        <item x="413"/>
        <item x="619"/>
        <item x="614"/>
        <item x="199"/>
        <item x="846"/>
        <item x="57"/>
        <item x="172"/>
        <item x="232"/>
        <item x="570"/>
        <item x="532"/>
        <item x="601"/>
        <item x="412"/>
        <item x="324"/>
        <item x="268"/>
        <item x="120"/>
        <item x="695"/>
        <item x="766"/>
        <item x="176"/>
        <item x="292"/>
        <item x="267"/>
        <item x="271"/>
        <item x="775"/>
        <item x="334"/>
        <item x="200"/>
        <item x="341"/>
        <item x="908"/>
        <item x="803"/>
        <item x="533"/>
        <item x="8"/>
        <item x="385"/>
        <item x="275"/>
        <item x="307"/>
        <item x="160"/>
        <item x="310"/>
        <item x="791"/>
        <item x="128"/>
        <item x="355"/>
        <item x="17"/>
        <item x="294"/>
        <item x="78"/>
        <item x="711"/>
        <item x="571"/>
        <item x="719"/>
        <item x="790"/>
        <item x="105"/>
        <item x="484"/>
        <item x="151"/>
        <item x="410"/>
        <item x="3"/>
        <item x="256"/>
        <item x="430"/>
        <item x="545"/>
        <item x="202"/>
        <item x="751"/>
        <item x="629"/>
        <item x="153"/>
        <item x="392"/>
        <item x="26"/>
        <item x="665"/>
        <item x="400"/>
        <item x="37"/>
        <item x="644"/>
        <item x="406"/>
        <item x="418"/>
        <item x="632"/>
        <item x="557"/>
        <item x="180"/>
        <item x="138"/>
        <item x="759"/>
        <item x="811"/>
        <item x="152"/>
        <item x="464"/>
        <item x="931"/>
        <item x="7"/>
        <item x="664"/>
        <item x="145"/>
        <item x="722"/>
        <item x="253"/>
        <item x="363"/>
        <item x="446"/>
        <item x="29"/>
        <item x="758"/>
        <item x="387"/>
        <item x="397"/>
        <item x="50"/>
        <item x="329"/>
        <item x="654"/>
        <item x="52"/>
        <item x="80"/>
        <item x="245"/>
        <item x="300"/>
        <item x="624"/>
        <item x="567"/>
        <item x="318"/>
        <item x="394"/>
        <item x="687"/>
        <item x="325"/>
        <item x="272"/>
        <item x="443"/>
        <item x="429"/>
        <item x="280"/>
        <item x="39"/>
        <item x="522"/>
        <item x="705"/>
        <item x="171"/>
        <item x="347"/>
        <item x="458"/>
        <item x="535"/>
        <item x="20"/>
        <item x="910"/>
        <item x="548"/>
        <item x="369"/>
        <item x="236"/>
        <item x="112"/>
        <item x="73"/>
        <item x="239"/>
        <item x="926"/>
        <item x="613"/>
        <item x="788"/>
        <item x="125"/>
        <item x="303"/>
        <item x="226"/>
        <item x="291"/>
        <item x="299"/>
        <item x="102"/>
        <item x="600"/>
        <item x="357"/>
        <item x="108"/>
        <item x="511"/>
        <item x="206"/>
        <item x="544"/>
        <item x="354"/>
        <item x="193"/>
        <item x="425"/>
        <item x="340"/>
        <item x="587"/>
        <item x="594"/>
        <item x="21"/>
        <item x="84"/>
        <item x="528"/>
        <item x="642"/>
        <item x="344"/>
        <item x="550"/>
        <item x="219"/>
        <item x="68"/>
        <item x="356"/>
        <item x="672"/>
        <item x="134"/>
        <item x="367"/>
        <item x="196"/>
        <item x="142"/>
        <item x="297"/>
        <item x="591"/>
        <item x="72"/>
        <item x="286"/>
        <item x="379"/>
        <item x="242"/>
        <item x="126"/>
        <item x="816"/>
        <item x="11"/>
        <item x="182"/>
        <item x="364"/>
        <item x="660"/>
        <item x="183"/>
        <item x="432"/>
        <item x="659"/>
        <item x="235"/>
        <item x="850"/>
        <item x="308"/>
        <item x="869"/>
        <item x="534"/>
        <item x="612"/>
        <item x="88"/>
        <item x="93"/>
        <item x="79"/>
        <item x="155"/>
        <item x="179"/>
        <item x="28"/>
        <item x="707"/>
        <item x="18"/>
        <item x="440"/>
        <item x="353"/>
        <item x="258"/>
        <item x="599"/>
        <item x="728"/>
        <item x="309"/>
        <item x="147"/>
        <item x="424"/>
        <item x="168"/>
        <item x="184"/>
        <item x="793"/>
        <item x="574"/>
        <item x="515"/>
        <item x="166"/>
        <item x="699"/>
        <item x="119"/>
        <item x="434"/>
        <item x="422"/>
        <item x="98"/>
        <item x="213"/>
        <item x="459"/>
        <item x="230"/>
        <item x="789"/>
        <item x="582"/>
        <item x="526"/>
        <item x="589"/>
        <item x="190"/>
        <item x="641"/>
        <item x="715"/>
        <item x="706"/>
        <item x="352"/>
        <item x="10"/>
        <item x="42"/>
        <item x="514"/>
        <item x="86"/>
        <item x="76"/>
        <item x="123"/>
        <item x="173"/>
        <item x="282"/>
        <item x="204"/>
        <item x="6"/>
        <item x="842"/>
        <item x="572"/>
        <item x="495"/>
        <item x="740"/>
        <item x="502"/>
        <item x="218"/>
        <item x="628"/>
        <item x="634"/>
        <item x="623"/>
        <item x="576"/>
        <item x="448"/>
        <item x="472"/>
        <item x="4"/>
        <item x="382"/>
        <item x="881"/>
        <item x="551"/>
        <item x="140"/>
        <item x="27"/>
        <item x="405"/>
        <item x="214"/>
        <item x="884"/>
        <item x="222"/>
        <item x="461"/>
        <item x="211"/>
        <item x="787"/>
        <item x="491"/>
        <item x="215"/>
        <item x="296"/>
        <item x="207"/>
        <item x="277"/>
        <item x="635"/>
        <item x="75"/>
        <item x="785"/>
        <item x="466"/>
        <item x="395"/>
        <item x="721"/>
        <item x="523"/>
        <item x="737"/>
        <item x="542"/>
        <item x="233"/>
        <item x="684"/>
        <item x="115"/>
        <item x="396"/>
        <item x="316"/>
        <item x="841"/>
        <item x="110"/>
        <item x="738"/>
        <item x="322"/>
        <item x="247"/>
        <item x="530"/>
        <item x="701"/>
        <item x="552"/>
        <item x="553"/>
        <item x="156"/>
        <item x="501"/>
        <item x="750"/>
        <item x="148"/>
        <item x="854"/>
        <item x="89"/>
        <item x="480"/>
        <item x="227"/>
        <item x="547"/>
        <item x="205"/>
        <item x="198"/>
        <item x="556"/>
        <item x="470"/>
        <item x="366"/>
        <item x="829"/>
        <item x="407"/>
        <item x="821"/>
        <item x="94"/>
        <item x="56"/>
        <item x="113"/>
        <item x="734"/>
        <item x="427"/>
        <item x="305"/>
        <item x="46"/>
        <item x="259"/>
        <item x="565"/>
        <item x="761"/>
        <item x="444"/>
        <item x="58"/>
        <item x="780"/>
        <item x="281"/>
        <item x="554"/>
        <item x="337"/>
        <item x="497"/>
        <item x="92"/>
        <item x="146"/>
        <item x="203"/>
        <item x="225"/>
        <item x="456"/>
        <item x="313"/>
        <item x="404"/>
        <item x="834"/>
        <item x="244"/>
        <item x="779"/>
        <item x="757"/>
        <item x="667"/>
        <item x="730"/>
        <item x="633"/>
        <item x="563"/>
        <item x="450"/>
        <item x="14"/>
        <item x="114"/>
        <item x="668"/>
        <item x="783"/>
        <item x="618"/>
        <item x="748"/>
        <item x="246"/>
        <item x="212"/>
        <item x="509"/>
        <item x="469"/>
        <item x="666"/>
        <item x="735"/>
        <item x="197"/>
        <item x="704"/>
        <item x="657"/>
        <item x="419"/>
        <item x="43"/>
        <item x="596"/>
        <item x="794"/>
        <item x="725"/>
        <item x="192"/>
        <item x="276"/>
        <item x="62"/>
        <item x="327"/>
        <item x="135"/>
        <item x="181"/>
        <item x="393"/>
        <item x="330"/>
        <item x="579"/>
        <item x="163"/>
        <item x="673"/>
        <item x="451"/>
        <item x="264"/>
        <item x="911"/>
        <item x="431"/>
        <item x="578"/>
        <item x="471"/>
        <item x="45"/>
        <item x="60"/>
        <item x="760"/>
        <item x="254"/>
        <item x="674"/>
        <item x="598"/>
        <item x="925"/>
        <item x="928"/>
        <item x="774"/>
        <item x="866"/>
        <item x="489"/>
        <item x="583"/>
        <item x="462"/>
        <item x="559"/>
        <item x="391"/>
        <item x="524"/>
        <item x="899"/>
        <item x="111"/>
        <item x="378"/>
        <item x="651"/>
        <item x="508"/>
        <item x="773"/>
        <item x="858"/>
        <item x="326"/>
        <item x="746"/>
        <item x="603"/>
        <item x="417"/>
        <item x="752"/>
        <item x="492"/>
        <item x="91"/>
        <item x="285"/>
        <item x="487"/>
        <item x="374"/>
        <item x="913"/>
        <item x="577"/>
        <item x="859"/>
        <item x="124"/>
        <item x="836"/>
        <item x="823"/>
        <item x="164"/>
        <item x="767"/>
        <item x="903"/>
        <item x="107"/>
        <item x="897"/>
        <item x="741"/>
        <item x="828"/>
        <item x="863"/>
        <item x="81"/>
        <item x="693"/>
        <item x="312"/>
        <item x="777"/>
        <item x="710"/>
        <item x="505"/>
        <item x="158"/>
        <item x="473"/>
        <item x="898"/>
        <item x="716"/>
        <item x="685"/>
        <item x="77"/>
        <item x="561"/>
        <item x="414"/>
        <item x="546"/>
        <item x="304"/>
        <item x="22"/>
        <item x="442"/>
        <item x="889"/>
        <item x="454"/>
        <item x="611"/>
        <item x="902"/>
        <item x="697"/>
        <item x="853"/>
        <item x="41"/>
        <item x="827"/>
        <item x="262"/>
        <item x="328"/>
        <item x="830"/>
        <item x="870"/>
        <item x="453"/>
        <item x="521"/>
        <item x="186"/>
        <item x="428"/>
        <item x="844"/>
        <item x="220"/>
        <item x="921"/>
        <item x="682"/>
        <item x="445"/>
        <item x="890"/>
        <item x="321"/>
        <item x="298"/>
        <item x="5"/>
        <item x="331"/>
        <item x="371"/>
        <item x="861"/>
        <item x="922"/>
        <item x="726"/>
        <item x="883"/>
        <item x="636"/>
        <item x="872"/>
        <item x="845"/>
        <item x="100"/>
        <item x="798"/>
        <item x="288"/>
        <item x="564"/>
        <item x="555"/>
        <item x="345"/>
        <item x="874"/>
        <item x="744"/>
        <item x="602"/>
        <item x="376"/>
        <item x="909"/>
        <item x="768"/>
        <item x="753"/>
        <item x="449"/>
        <item x="804"/>
        <item x="797"/>
        <item x="813"/>
        <item x="507"/>
        <item x="154"/>
        <item x="479"/>
        <item x="724"/>
        <item x="808"/>
        <item x="317"/>
        <item x="691"/>
        <item x="241"/>
        <item x="117"/>
        <item x="745"/>
        <item x="13"/>
        <item x="689"/>
        <item x="723"/>
        <item x="24"/>
        <item x="527"/>
        <item x="346"/>
        <item x="66"/>
        <item x="69"/>
        <item x="141"/>
        <item x="314"/>
        <item x="763"/>
        <item x="411"/>
        <item x="238"/>
        <item x="677"/>
        <item x="820"/>
        <item x="54"/>
        <item x="338"/>
        <item x="739"/>
        <item x="116"/>
        <item x="754"/>
        <item x="638"/>
        <item x="520"/>
        <item x="923"/>
        <item x="109"/>
        <item x="306"/>
        <item x="368"/>
        <item x="743"/>
        <item x="283"/>
        <item x="824"/>
        <item x="95"/>
        <item x="895"/>
        <item x="420"/>
        <item x="252"/>
        <item x="482"/>
        <item x="864"/>
        <item x="477"/>
        <item x="568"/>
        <item x="381"/>
        <item x="831"/>
        <item x="263"/>
        <item x="573"/>
        <item x="840"/>
        <item x="549"/>
        <item x="350"/>
        <item x="732"/>
        <item x="558"/>
        <item x="812"/>
        <item x="433"/>
        <item x="900"/>
        <item x="876"/>
        <item x="849"/>
        <item x="194"/>
        <item x="818"/>
        <item x="871"/>
        <item x="67"/>
        <item x="709"/>
        <item x="475"/>
        <item x="729"/>
        <item x="543"/>
        <item x="287"/>
        <item x="539"/>
        <item x="765"/>
        <item x="358"/>
        <item x="279"/>
        <item x="361"/>
        <item x="875"/>
        <item x="620"/>
        <item x="320"/>
        <item x="919"/>
        <item x="435"/>
        <item x="904"/>
        <item x="835"/>
        <item x="540"/>
        <item x="593"/>
        <item x="772"/>
        <item x="386"/>
        <item x="319"/>
        <item x="74"/>
        <item x="175"/>
        <item x="653"/>
        <item x="617"/>
        <item x="852"/>
        <item x="720"/>
        <item x="485"/>
        <item x="882"/>
        <item x="733"/>
        <item x="460"/>
        <item x="339"/>
        <item x="518"/>
        <item x="250"/>
        <item x="901"/>
        <item x="681"/>
        <item x="698"/>
        <item x="649"/>
        <item x="290"/>
        <item x="683"/>
        <item x="892"/>
        <item x="867"/>
        <item x="348"/>
        <item x="782"/>
        <item x="562"/>
        <item x="315"/>
        <item x="586"/>
        <item x="756"/>
        <item x="189"/>
        <item x="920"/>
        <item x="671"/>
        <item x="2"/>
        <item x="506"/>
        <item x="792"/>
        <item x="703"/>
        <item x="643"/>
        <item x="851"/>
        <item x="610"/>
        <item x="349"/>
        <item x="531"/>
        <item x="575"/>
        <item x="251"/>
        <item x="675"/>
        <item x="64"/>
        <item x="377"/>
        <item x="467"/>
        <item x="670"/>
        <item x="560"/>
        <item x="749"/>
        <item x="886"/>
        <item x="814"/>
        <item x="802"/>
        <item x="796"/>
        <item x="566"/>
        <item x="118"/>
        <item x="622"/>
        <item x="658"/>
        <item x="696"/>
        <item x="517"/>
        <item x="933"/>
        <item x="873"/>
        <item x="537"/>
        <item x="800"/>
        <item x="915"/>
        <item x="817"/>
        <item x="12"/>
        <item x="529"/>
        <item x="650"/>
        <item x="106"/>
        <item x="103"/>
        <item x="323"/>
        <item x="776"/>
        <item x="906"/>
        <item x="930"/>
        <item x="801"/>
        <item x="713"/>
        <item x="474"/>
        <item x="149"/>
        <item x="656"/>
        <item x="868"/>
        <item x="799"/>
        <item x="778"/>
        <item x="847"/>
        <item x="274"/>
        <item x="810"/>
        <item x="916"/>
        <item x="809"/>
        <item x="447"/>
        <item x="764"/>
        <item x="360"/>
        <item x="731"/>
        <item x="493"/>
        <item x="795"/>
        <item x="663"/>
        <item x="185"/>
        <item x="87"/>
        <item x="481"/>
        <item x="177"/>
        <item x="784"/>
        <item x="819"/>
        <item x="519"/>
        <item x="584"/>
        <item x="717"/>
        <item x="700"/>
        <item x="637"/>
        <item x="839"/>
        <item x="44"/>
        <item x="837"/>
        <item x="525"/>
        <item x="40"/>
        <item x="652"/>
        <item x="131"/>
        <item x="838"/>
        <item x="692"/>
        <item x="510"/>
        <item x="223"/>
        <item x="825"/>
        <item x="516"/>
        <item x="786"/>
        <item x="513"/>
        <item x="907"/>
        <item x="714"/>
        <item x="662"/>
        <item x="770"/>
        <item x="311"/>
        <item x="878"/>
        <item x="865"/>
        <item x="924"/>
        <item x="927"/>
        <item x="912"/>
        <item x="688"/>
        <item x="891"/>
        <item x="284"/>
        <item x="781"/>
        <item x="676"/>
        <item x="96"/>
        <item x="747"/>
        <item x="373"/>
        <item x="694"/>
        <item x="806"/>
        <item x="31"/>
        <item x="621"/>
        <item x="416"/>
        <item x="616"/>
        <item x="488"/>
        <item x="626"/>
        <item x="832"/>
        <item x="648"/>
        <item x="880"/>
        <item x="815"/>
        <item x="640"/>
        <item x="499"/>
        <item x="917"/>
        <item x="896"/>
        <item x="702"/>
        <item x="712"/>
        <item x="36"/>
        <item x="914"/>
        <item x="645"/>
        <item x="437"/>
        <item x="718"/>
        <item x="848"/>
        <item x="708"/>
        <item x="833"/>
        <item x="894"/>
        <item t="default"/>
      </items>
    </pivotField>
    <pivotField dataField="1" showAll="0"/>
    <pivotField numFmtId="15"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numFmtId="15" showAll="0"/>
    <pivotField showAll="0">
      <items count="5">
        <item x="0"/>
        <item x="2"/>
        <item x="1"/>
        <item x="3"/>
        <item t="default"/>
      </items>
    </pivotField>
    <pivotField showAll="0">
      <items count="6">
        <item x="0"/>
        <item x="3"/>
        <item x="4"/>
        <item x="2"/>
        <item x="1"/>
        <item t="default"/>
      </items>
    </pivotField>
    <pivotField showAll="0">
      <items count="6">
        <item x="3"/>
        <item x="4"/>
        <item x="1"/>
        <item x="0"/>
        <item x="2"/>
        <item t="default"/>
      </items>
    </pivotField>
    <pivotField showAll="0"/>
    <pivotField name="County Name" showAll="0">
      <items count="59">
        <item x="21"/>
        <item x="0"/>
        <item x="46"/>
        <item x="51"/>
        <item x="14"/>
        <item x="54"/>
        <item x="1"/>
        <item x="57"/>
        <item x="42"/>
        <item x="2"/>
        <item x="27"/>
        <item x="44"/>
        <item x="33"/>
        <item x="15"/>
        <item x="22"/>
        <item x="34"/>
        <item x="50"/>
        <item x="55"/>
        <item x="3"/>
        <item x="37"/>
        <item x="43"/>
        <item x="40"/>
        <item x="29"/>
        <item x="24"/>
        <item x="39"/>
        <item x="47"/>
        <item x="49"/>
        <item x="16"/>
        <item x="4"/>
        <item x="25"/>
        <item x="5"/>
        <item x="35"/>
        <item x="23"/>
        <item x="6"/>
        <item x="36"/>
        <item x="7"/>
        <item x="8"/>
        <item x="17"/>
        <item x="26"/>
        <item x="41"/>
        <item x="9"/>
        <item x="10"/>
        <item x="11"/>
        <item x="32"/>
        <item x="53"/>
        <item x="48"/>
        <item x="30"/>
        <item x="38"/>
        <item x="18"/>
        <item x="19"/>
        <item x="31"/>
        <item x="12"/>
        <item x="45"/>
        <item x="20"/>
        <item x="52"/>
        <item x="13"/>
        <item x="28"/>
        <item x="56"/>
        <item t="default"/>
      </items>
    </pivotField>
    <pivotField showAll="0">
      <items count="16">
        <item x="7"/>
        <item x="3"/>
        <item x="1"/>
        <item x="2"/>
        <item x="5"/>
        <item x="0"/>
        <item x="4"/>
        <item x="6"/>
        <item x="9"/>
        <item x="8"/>
        <item x="14"/>
        <item x="11"/>
        <item x="13"/>
        <item x="10"/>
        <item x="12"/>
        <item t="default"/>
      </items>
    </pivotField>
    <pivotField showAll="0">
      <items count="14">
        <item x="0"/>
        <item sd="0" x="1"/>
        <item sd="0" x="2"/>
        <item sd="0" x="3"/>
        <item sd="0" x="4"/>
        <item sd="0" x="5"/>
        <item sd="0" x="6"/>
        <item sd="0" x="7"/>
        <item sd="0" x="8"/>
        <item sd="0" x="9"/>
        <item sd="0" x="10"/>
        <item sd="0" x="11"/>
        <item sd="0" x="12"/>
        <item t="default"/>
      </items>
    </pivotField>
    <pivotField showAll="0"/>
    <pivotField axis="axisPage" showAll="0">
      <items count="8">
        <item x="0"/>
        <item x="1"/>
        <item x="2"/>
        <item x="4"/>
        <item x="3"/>
        <item n="6-10" x="5"/>
        <item n="Above 10" x="6"/>
        <item t="default"/>
      </items>
    </pivotField>
    <pivotField showAll="0">
      <items count="10">
        <item x="5"/>
        <item x="3"/>
        <item x="1"/>
        <item x="2"/>
        <item x="4"/>
        <item x="0"/>
        <item n="6-10D" sd="0" x="8"/>
        <item n="8-10D" x="6"/>
        <item n="11-15D" x="7"/>
        <item t="default"/>
      </items>
    </pivotField>
    <pivotField showAll="0">
      <items count="15">
        <item x="0"/>
        <item x="1"/>
        <item x="2"/>
        <item x="3"/>
        <item x="4"/>
        <item x="5"/>
        <item x="6"/>
        <item x="7"/>
        <item x="8"/>
        <item x="9"/>
        <item x="10"/>
        <item x="11"/>
        <item x="12"/>
        <item x="13"/>
        <item t="default"/>
      </items>
    </pivotField>
    <pivotField showAll="0">
      <items count="201">
        <item x="4"/>
        <item x="198"/>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199"/>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0"/>
        <item x="1"/>
        <item x="2"/>
        <item x="3"/>
        <item t="default"/>
      </items>
    </pivotField>
  </pivotFields>
  <rowFields count="1">
    <field x="1"/>
  </rowFields>
  <rowItems count="21">
    <i>
      <x v="18"/>
    </i>
    <i>
      <x v="13"/>
    </i>
    <i>
      <x v="6"/>
    </i>
    <i>
      <x v="16"/>
    </i>
    <i>
      <x v="14"/>
    </i>
    <i>
      <x v="12"/>
    </i>
    <i>
      <x v="1"/>
    </i>
    <i>
      <x v="4"/>
    </i>
    <i>
      <x v="5"/>
    </i>
    <i>
      <x v="11"/>
    </i>
    <i>
      <x v="2"/>
    </i>
    <i>
      <x v="8"/>
    </i>
    <i>
      <x v="19"/>
    </i>
    <i>
      <x v="3"/>
    </i>
    <i>
      <x v="9"/>
    </i>
    <i>
      <x/>
    </i>
    <i>
      <x v="10"/>
    </i>
    <i>
      <x v="15"/>
    </i>
    <i>
      <x v="7"/>
    </i>
    <i>
      <x v="17"/>
    </i>
    <i t="grand">
      <x/>
    </i>
  </rowItems>
  <colFields count="1">
    <field x="-2"/>
  </colFields>
  <colItems count="3">
    <i>
      <x/>
    </i>
    <i i="1">
      <x v="1"/>
    </i>
    <i i="2">
      <x v="2"/>
    </i>
  </colItems>
  <pageFields count="1">
    <pageField fld="15" item="1" hier="-1"/>
  </pageFields>
  <dataFields count="3">
    <dataField name="Count of TX ID" fld="0" subtotal="count" baseField="0" baseItem="0"/>
    <dataField name="Sum of Amount" fld="4" baseField="0" baseItem="0"/>
    <dataField name="Sum of Quantity" fld="2" baseField="0" baseItem="0"/>
  </dataFields>
  <formats count="1">
    <format dxfId="0">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ACAC1794-D88D-4675-A17E-6BF85BFFA874}" name="PivotTable1"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3:D24" firstHeaderRow="0" firstDataRow="1" firstDataCol="1"/>
  <pivotFields count="19">
    <pivotField showAll="0"/>
    <pivotField axis="axisRow" showAll="0" sortType="descending">
      <items count="21">
        <item x="14"/>
        <item x="10"/>
        <item x="12"/>
        <item x="15"/>
        <item x="4"/>
        <item x="7"/>
        <item x="6"/>
        <item x="19"/>
        <item x="18"/>
        <item x="11"/>
        <item x="17"/>
        <item x="5"/>
        <item x="0"/>
        <item x="2"/>
        <item x="9"/>
        <item x="16"/>
        <item x="1"/>
        <item x="13"/>
        <item x="8"/>
        <item x="3"/>
        <item t="default"/>
      </items>
      <autoSortScope>
        <pivotArea dataOnly="0" outline="0" fieldPosition="0">
          <references count="1">
            <reference field="4294967294" count="1" selected="0">
              <x v="1"/>
            </reference>
          </references>
        </pivotArea>
      </autoSortScope>
    </pivotField>
    <pivotField dataField="1"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dataField="1" showAll="0">
      <items count="935">
        <item x="178"/>
        <item x="159"/>
        <item x="97"/>
        <item x="441"/>
        <item x="265"/>
        <item x="401"/>
        <item x="0"/>
        <item x="408"/>
        <item x="229"/>
        <item x="370"/>
        <item x="61"/>
        <item x="463"/>
        <item x="860"/>
        <item x="604"/>
        <item x="426"/>
        <item x="608"/>
        <item x="877"/>
        <item x="932"/>
        <item x="822"/>
        <item x="150"/>
        <item x="335"/>
        <item x="885"/>
        <item x="888"/>
        <item x="169"/>
        <item x="609"/>
        <item x="826"/>
        <item x="905"/>
        <item x="862"/>
        <item x="270"/>
        <item x="221"/>
        <item x="503"/>
        <item x="476"/>
        <item x="536"/>
        <item x="388"/>
        <item x="678"/>
        <item x="455"/>
        <item x="83"/>
        <item x="255"/>
        <item x="137"/>
        <item x="35"/>
        <item x="496"/>
        <item x="398"/>
        <item x="342"/>
        <item x="261"/>
        <item x="857"/>
        <item x="655"/>
        <item x="879"/>
        <item x="639"/>
        <item x="569"/>
        <item x="384"/>
        <item x="929"/>
        <item x="771"/>
        <item x="727"/>
        <item x="161"/>
        <item x="893"/>
        <item x="25"/>
        <item x="228"/>
        <item x="130"/>
        <item x="71"/>
        <item x="53"/>
        <item x="606"/>
        <item x="762"/>
        <item x="383"/>
        <item x="856"/>
        <item x="99"/>
        <item x="465"/>
        <item x="585"/>
        <item x="333"/>
        <item x="104"/>
        <item x="129"/>
        <item x="30"/>
        <item x="359"/>
        <item x="55"/>
        <item x="918"/>
        <item x="415"/>
        <item x="266"/>
        <item x="478"/>
        <item x="82"/>
        <item x="157"/>
        <item x="490"/>
        <item x="260"/>
        <item x="736"/>
        <item x="127"/>
        <item x="293"/>
        <item x="580"/>
        <item x="468"/>
        <item x="289"/>
        <item x="390"/>
        <item x="588"/>
        <item x="65"/>
        <item x="438"/>
        <item x="191"/>
        <item x="210"/>
        <item x="302"/>
        <item x="332"/>
        <item x="592"/>
        <item x="33"/>
        <item x="301"/>
        <item x="421"/>
        <item x="595"/>
        <item x="237"/>
        <item x="597"/>
        <item x="208"/>
        <item x="9"/>
        <item x="243"/>
        <item x="351"/>
        <item x="188"/>
        <item x="625"/>
        <item x="409"/>
        <item x="887"/>
        <item x="59"/>
        <item x="372"/>
        <item x="121"/>
        <item x="139"/>
        <item x="234"/>
        <item x="174"/>
        <item x="483"/>
        <item x="273"/>
        <item x="209"/>
        <item x="661"/>
        <item x="512"/>
        <item x="51"/>
        <item x="278"/>
        <item x="249"/>
        <item x="362"/>
        <item x="605"/>
        <item x="486"/>
        <item x="187"/>
        <item x="769"/>
        <item x="403"/>
        <item x="19"/>
        <item x="631"/>
        <item x="855"/>
        <item x="423"/>
        <item x="170"/>
        <item x="679"/>
        <item x="136"/>
        <item x="122"/>
        <item x="269"/>
        <item x="615"/>
        <item x="457"/>
        <item x="133"/>
        <item x="23"/>
        <item x="38"/>
        <item x="439"/>
        <item x="494"/>
        <item x="48"/>
        <item x="436"/>
        <item x="49"/>
        <item x="399"/>
        <item x="295"/>
        <item x="807"/>
        <item x="336"/>
        <item x="231"/>
        <item x="843"/>
        <item x="389"/>
        <item x="646"/>
        <item x="343"/>
        <item x="627"/>
        <item x="257"/>
        <item x="742"/>
        <item x="805"/>
        <item x="70"/>
        <item x="365"/>
        <item x="85"/>
        <item x="167"/>
        <item x="144"/>
        <item x="538"/>
        <item x="690"/>
        <item x="581"/>
        <item x="402"/>
        <item x="143"/>
        <item x="647"/>
        <item x="669"/>
        <item x="686"/>
        <item x="47"/>
        <item x="755"/>
        <item x="32"/>
        <item x="500"/>
        <item x="90"/>
        <item x="224"/>
        <item x="165"/>
        <item x="248"/>
        <item x="162"/>
        <item x="1"/>
        <item x="630"/>
        <item x="607"/>
        <item x="15"/>
        <item x="452"/>
        <item x="16"/>
        <item x="63"/>
        <item x="375"/>
        <item x="541"/>
        <item x="217"/>
        <item x="680"/>
        <item x="132"/>
        <item x="216"/>
        <item x="590"/>
        <item x="34"/>
        <item x="201"/>
        <item x="380"/>
        <item x="240"/>
        <item x="498"/>
        <item x="504"/>
        <item x="101"/>
        <item x="195"/>
        <item x="413"/>
        <item x="619"/>
        <item x="614"/>
        <item x="199"/>
        <item x="846"/>
        <item x="57"/>
        <item x="172"/>
        <item x="232"/>
        <item x="570"/>
        <item x="532"/>
        <item x="601"/>
        <item x="412"/>
        <item x="324"/>
        <item x="268"/>
        <item x="120"/>
        <item x="695"/>
        <item x="766"/>
        <item x="176"/>
        <item x="292"/>
        <item x="267"/>
        <item x="271"/>
        <item x="775"/>
        <item x="334"/>
        <item x="200"/>
        <item x="341"/>
        <item x="908"/>
        <item x="803"/>
        <item x="533"/>
        <item x="8"/>
        <item x="385"/>
        <item x="275"/>
        <item x="307"/>
        <item x="160"/>
        <item x="310"/>
        <item x="791"/>
        <item x="128"/>
        <item x="355"/>
        <item x="17"/>
        <item x="294"/>
        <item x="78"/>
        <item x="711"/>
        <item x="571"/>
        <item x="719"/>
        <item x="790"/>
        <item x="105"/>
        <item x="484"/>
        <item x="151"/>
        <item x="410"/>
        <item x="3"/>
        <item x="256"/>
        <item x="430"/>
        <item x="545"/>
        <item x="202"/>
        <item x="751"/>
        <item x="629"/>
        <item x="153"/>
        <item x="392"/>
        <item x="26"/>
        <item x="665"/>
        <item x="400"/>
        <item x="37"/>
        <item x="644"/>
        <item x="406"/>
        <item x="418"/>
        <item x="632"/>
        <item x="557"/>
        <item x="180"/>
        <item x="138"/>
        <item x="759"/>
        <item x="811"/>
        <item x="152"/>
        <item x="464"/>
        <item x="931"/>
        <item x="7"/>
        <item x="664"/>
        <item x="145"/>
        <item x="722"/>
        <item x="253"/>
        <item x="363"/>
        <item x="446"/>
        <item x="29"/>
        <item x="758"/>
        <item x="387"/>
        <item x="397"/>
        <item x="50"/>
        <item x="329"/>
        <item x="654"/>
        <item x="52"/>
        <item x="80"/>
        <item x="245"/>
        <item x="300"/>
        <item x="624"/>
        <item x="567"/>
        <item x="318"/>
        <item x="394"/>
        <item x="687"/>
        <item x="325"/>
        <item x="272"/>
        <item x="443"/>
        <item x="429"/>
        <item x="280"/>
        <item x="39"/>
        <item x="522"/>
        <item x="705"/>
        <item x="171"/>
        <item x="347"/>
        <item x="458"/>
        <item x="535"/>
        <item x="20"/>
        <item x="910"/>
        <item x="548"/>
        <item x="369"/>
        <item x="236"/>
        <item x="112"/>
        <item x="73"/>
        <item x="239"/>
        <item x="926"/>
        <item x="613"/>
        <item x="788"/>
        <item x="125"/>
        <item x="303"/>
        <item x="226"/>
        <item x="291"/>
        <item x="299"/>
        <item x="102"/>
        <item x="600"/>
        <item x="357"/>
        <item x="108"/>
        <item x="511"/>
        <item x="206"/>
        <item x="544"/>
        <item x="354"/>
        <item x="193"/>
        <item x="425"/>
        <item x="340"/>
        <item x="587"/>
        <item x="594"/>
        <item x="21"/>
        <item x="84"/>
        <item x="528"/>
        <item x="642"/>
        <item x="344"/>
        <item x="550"/>
        <item x="219"/>
        <item x="68"/>
        <item x="356"/>
        <item x="672"/>
        <item x="134"/>
        <item x="367"/>
        <item x="196"/>
        <item x="142"/>
        <item x="297"/>
        <item x="591"/>
        <item x="72"/>
        <item x="286"/>
        <item x="379"/>
        <item x="242"/>
        <item x="126"/>
        <item x="816"/>
        <item x="11"/>
        <item x="182"/>
        <item x="364"/>
        <item x="660"/>
        <item x="183"/>
        <item x="432"/>
        <item x="659"/>
        <item x="235"/>
        <item x="850"/>
        <item x="308"/>
        <item x="869"/>
        <item x="534"/>
        <item x="612"/>
        <item x="88"/>
        <item x="93"/>
        <item x="79"/>
        <item x="155"/>
        <item x="179"/>
        <item x="28"/>
        <item x="707"/>
        <item x="18"/>
        <item x="440"/>
        <item x="353"/>
        <item x="258"/>
        <item x="599"/>
        <item x="728"/>
        <item x="309"/>
        <item x="147"/>
        <item x="424"/>
        <item x="168"/>
        <item x="184"/>
        <item x="793"/>
        <item x="574"/>
        <item x="515"/>
        <item x="166"/>
        <item x="699"/>
        <item x="119"/>
        <item x="434"/>
        <item x="422"/>
        <item x="98"/>
        <item x="213"/>
        <item x="459"/>
        <item x="230"/>
        <item x="789"/>
        <item x="582"/>
        <item x="526"/>
        <item x="589"/>
        <item x="190"/>
        <item x="641"/>
        <item x="715"/>
        <item x="706"/>
        <item x="352"/>
        <item x="10"/>
        <item x="42"/>
        <item x="514"/>
        <item x="86"/>
        <item x="76"/>
        <item x="123"/>
        <item x="173"/>
        <item x="282"/>
        <item x="204"/>
        <item x="6"/>
        <item x="842"/>
        <item x="572"/>
        <item x="495"/>
        <item x="740"/>
        <item x="502"/>
        <item x="218"/>
        <item x="628"/>
        <item x="634"/>
        <item x="623"/>
        <item x="576"/>
        <item x="448"/>
        <item x="472"/>
        <item x="4"/>
        <item x="382"/>
        <item x="881"/>
        <item x="551"/>
        <item x="140"/>
        <item x="27"/>
        <item x="405"/>
        <item x="214"/>
        <item x="884"/>
        <item x="222"/>
        <item x="461"/>
        <item x="211"/>
        <item x="787"/>
        <item x="491"/>
        <item x="215"/>
        <item x="296"/>
        <item x="207"/>
        <item x="277"/>
        <item x="635"/>
        <item x="75"/>
        <item x="785"/>
        <item x="466"/>
        <item x="395"/>
        <item x="721"/>
        <item x="523"/>
        <item x="737"/>
        <item x="542"/>
        <item x="233"/>
        <item x="684"/>
        <item x="115"/>
        <item x="396"/>
        <item x="316"/>
        <item x="841"/>
        <item x="110"/>
        <item x="738"/>
        <item x="322"/>
        <item x="247"/>
        <item x="530"/>
        <item x="701"/>
        <item x="552"/>
        <item x="553"/>
        <item x="156"/>
        <item x="501"/>
        <item x="750"/>
        <item x="148"/>
        <item x="854"/>
        <item x="89"/>
        <item x="480"/>
        <item x="227"/>
        <item x="547"/>
        <item x="205"/>
        <item x="198"/>
        <item x="556"/>
        <item x="470"/>
        <item x="366"/>
        <item x="829"/>
        <item x="407"/>
        <item x="821"/>
        <item x="94"/>
        <item x="56"/>
        <item x="113"/>
        <item x="734"/>
        <item x="427"/>
        <item x="305"/>
        <item x="46"/>
        <item x="259"/>
        <item x="565"/>
        <item x="761"/>
        <item x="444"/>
        <item x="58"/>
        <item x="780"/>
        <item x="281"/>
        <item x="554"/>
        <item x="337"/>
        <item x="497"/>
        <item x="92"/>
        <item x="146"/>
        <item x="203"/>
        <item x="225"/>
        <item x="456"/>
        <item x="313"/>
        <item x="404"/>
        <item x="834"/>
        <item x="244"/>
        <item x="779"/>
        <item x="757"/>
        <item x="667"/>
        <item x="730"/>
        <item x="633"/>
        <item x="563"/>
        <item x="450"/>
        <item x="14"/>
        <item x="114"/>
        <item x="668"/>
        <item x="783"/>
        <item x="618"/>
        <item x="748"/>
        <item x="246"/>
        <item x="212"/>
        <item x="509"/>
        <item x="469"/>
        <item x="666"/>
        <item x="735"/>
        <item x="197"/>
        <item x="704"/>
        <item x="657"/>
        <item x="419"/>
        <item x="43"/>
        <item x="596"/>
        <item x="794"/>
        <item x="725"/>
        <item x="192"/>
        <item x="276"/>
        <item x="62"/>
        <item x="327"/>
        <item x="135"/>
        <item x="181"/>
        <item x="393"/>
        <item x="330"/>
        <item x="579"/>
        <item x="163"/>
        <item x="673"/>
        <item x="451"/>
        <item x="264"/>
        <item x="911"/>
        <item x="431"/>
        <item x="578"/>
        <item x="471"/>
        <item x="45"/>
        <item x="60"/>
        <item x="760"/>
        <item x="254"/>
        <item x="674"/>
        <item x="598"/>
        <item x="925"/>
        <item x="928"/>
        <item x="774"/>
        <item x="866"/>
        <item x="489"/>
        <item x="583"/>
        <item x="462"/>
        <item x="559"/>
        <item x="391"/>
        <item x="524"/>
        <item x="899"/>
        <item x="111"/>
        <item x="378"/>
        <item x="651"/>
        <item x="508"/>
        <item x="773"/>
        <item x="858"/>
        <item x="326"/>
        <item x="746"/>
        <item x="603"/>
        <item x="417"/>
        <item x="752"/>
        <item x="492"/>
        <item x="91"/>
        <item x="285"/>
        <item x="487"/>
        <item x="374"/>
        <item x="913"/>
        <item x="577"/>
        <item x="859"/>
        <item x="124"/>
        <item x="836"/>
        <item x="823"/>
        <item x="164"/>
        <item x="767"/>
        <item x="903"/>
        <item x="107"/>
        <item x="897"/>
        <item x="741"/>
        <item x="828"/>
        <item x="863"/>
        <item x="81"/>
        <item x="693"/>
        <item x="312"/>
        <item x="777"/>
        <item x="710"/>
        <item x="505"/>
        <item x="158"/>
        <item x="473"/>
        <item x="898"/>
        <item x="716"/>
        <item x="685"/>
        <item x="77"/>
        <item x="561"/>
        <item x="414"/>
        <item x="546"/>
        <item x="304"/>
        <item x="22"/>
        <item x="442"/>
        <item x="889"/>
        <item x="454"/>
        <item x="611"/>
        <item x="902"/>
        <item x="697"/>
        <item x="853"/>
        <item x="41"/>
        <item x="827"/>
        <item x="262"/>
        <item x="328"/>
        <item x="830"/>
        <item x="870"/>
        <item x="453"/>
        <item x="521"/>
        <item x="186"/>
        <item x="428"/>
        <item x="844"/>
        <item x="220"/>
        <item x="921"/>
        <item x="682"/>
        <item x="445"/>
        <item x="890"/>
        <item x="321"/>
        <item x="298"/>
        <item x="5"/>
        <item x="331"/>
        <item x="371"/>
        <item x="861"/>
        <item x="922"/>
        <item x="726"/>
        <item x="883"/>
        <item x="636"/>
        <item x="872"/>
        <item x="845"/>
        <item x="100"/>
        <item x="798"/>
        <item x="288"/>
        <item x="564"/>
        <item x="555"/>
        <item x="345"/>
        <item x="874"/>
        <item x="744"/>
        <item x="602"/>
        <item x="376"/>
        <item x="909"/>
        <item x="768"/>
        <item x="753"/>
        <item x="449"/>
        <item x="804"/>
        <item x="797"/>
        <item x="813"/>
        <item x="507"/>
        <item x="154"/>
        <item x="479"/>
        <item x="724"/>
        <item x="808"/>
        <item x="317"/>
        <item x="691"/>
        <item x="241"/>
        <item x="117"/>
        <item x="745"/>
        <item x="13"/>
        <item x="689"/>
        <item x="723"/>
        <item x="24"/>
        <item x="527"/>
        <item x="346"/>
        <item x="66"/>
        <item x="69"/>
        <item x="141"/>
        <item x="314"/>
        <item x="763"/>
        <item x="411"/>
        <item x="238"/>
        <item x="677"/>
        <item x="820"/>
        <item x="54"/>
        <item x="338"/>
        <item x="739"/>
        <item x="116"/>
        <item x="754"/>
        <item x="638"/>
        <item x="520"/>
        <item x="923"/>
        <item x="109"/>
        <item x="306"/>
        <item x="368"/>
        <item x="743"/>
        <item x="283"/>
        <item x="824"/>
        <item x="95"/>
        <item x="895"/>
        <item x="420"/>
        <item x="252"/>
        <item x="482"/>
        <item x="864"/>
        <item x="477"/>
        <item x="568"/>
        <item x="381"/>
        <item x="831"/>
        <item x="263"/>
        <item x="573"/>
        <item x="840"/>
        <item x="549"/>
        <item x="350"/>
        <item x="732"/>
        <item x="558"/>
        <item x="812"/>
        <item x="433"/>
        <item x="900"/>
        <item x="876"/>
        <item x="849"/>
        <item x="194"/>
        <item x="818"/>
        <item x="871"/>
        <item x="67"/>
        <item x="709"/>
        <item x="475"/>
        <item x="729"/>
        <item x="543"/>
        <item x="287"/>
        <item x="539"/>
        <item x="765"/>
        <item x="358"/>
        <item x="279"/>
        <item x="361"/>
        <item x="875"/>
        <item x="620"/>
        <item x="320"/>
        <item x="919"/>
        <item x="435"/>
        <item x="904"/>
        <item x="835"/>
        <item x="540"/>
        <item x="593"/>
        <item x="772"/>
        <item x="386"/>
        <item x="319"/>
        <item x="74"/>
        <item x="175"/>
        <item x="653"/>
        <item x="617"/>
        <item x="852"/>
        <item x="720"/>
        <item x="485"/>
        <item x="882"/>
        <item x="733"/>
        <item x="460"/>
        <item x="339"/>
        <item x="518"/>
        <item x="250"/>
        <item x="901"/>
        <item x="681"/>
        <item x="698"/>
        <item x="649"/>
        <item x="290"/>
        <item x="683"/>
        <item x="892"/>
        <item x="867"/>
        <item x="348"/>
        <item x="782"/>
        <item x="562"/>
        <item x="315"/>
        <item x="586"/>
        <item x="756"/>
        <item x="189"/>
        <item x="920"/>
        <item x="671"/>
        <item x="2"/>
        <item x="506"/>
        <item x="792"/>
        <item x="703"/>
        <item x="643"/>
        <item x="851"/>
        <item x="610"/>
        <item x="349"/>
        <item x="531"/>
        <item x="575"/>
        <item x="251"/>
        <item x="675"/>
        <item x="64"/>
        <item x="377"/>
        <item x="467"/>
        <item x="670"/>
        <item x="560"/>
        <item x="749"/>
        <item x="886"/>
        <item x="814"/>
        <item x="802"/>
        <item x="796"/>
        <item x="566"/>
        <item x="118"/>
        <item x="622"/>
        <item x="658"/>
        <item x="696"/>
        <item x="517"/>
        <item x="933"/>
        <item x="873"/>
        <item x="537"/>
        <item x="800"/>
        <item x="915"/>
        <item x="817"/>
        <item x="12"/>
        <item x="529"/>
        <item x="650"/>
        <item x="106"/>
        <item x="103"/>
        <item x="323"/>
        <item x="776"/>
        <item x="906"/>
        <item x="930"/>
        <item x="801"/>
        <item x="713"/>
        <item x="474"/>
        <item x="149"/>
        <item x="656"/>
        <item x="868"/>
        <item x="799"/>
        <item x="778"/>
        <item x="847"/>
        <item x="274"/>
        <item x="810"/>
        <item x="916"/>
        <item x="809"/>
        <item x="447"/>
        <item x="764"/>
        <item x="360"/>
        <item x="731"/>
        <item x="493"/>
        <item x="795"/>
        <item x="663"/>
        <item x="185"/>
        <item x="87"/>
        <item x="481"/>
        <item x="177"/>
        <item x="784"/>
        <item x="819"/>
        <item x="519"/>
        <item x="584"/>
        <item x="717"/>
        <item x="700"/>
        <item x="637"/>
        <item x="839"/>
        <item x="44"/>
        <item x="837"/>
        <item x="525"/>
        <item x="40"/>
        <item x="652"/>
        <item x="131"/>
        <item x="838"/>
        <item x="692"/>
        <item x="510"/>
        <item x="223"/>
        <item x="825"/>
        <item x="516"/>
        <item x="786"/>
        <item x="513"/>
        <item x="907"/>
        <item x="714"/>
        <item x="662"/>
        <item x="770"/>
        <item x="311"/>
        <item x="878"/>
        <item x="865"/>
        <item x="924"/>
        <item x="927"/>
        <item x="912"/>
        <item x="688"/>
        <item x="891"/>
        <item x="284"/>
        <item x="781"/>
        <item x="676"/>
        <item x="96"/>
        <item x="747"/>
        <item x="373"/>
        <item x="694"/>
        <item x="806"/>
        <item x="31"/>
        <item x="621"/>
        <item x="416"/>
        <item x="616"/>
        <item x="488"/>
        <item x="626"/>
        <item x="832"/>
        <item x="648"/>
        <item x="880"/>
        <item x="815"/>
        <item x="640"/>
        <item x="499"/>
        <item x="917"/>
        <item x="896"/>
        <item x="702"/>
        <item x="712"/>
        <item x="36"/>
        <item x="914"/>
        <item x="645"/>
        <item x="437"/>
        <item x="718"/>
        <item x="848"/>
        <item x="708"/>
        <item x="833"/>
        <item x="894"/>
        <item t="default"/>
      </items>
    </pivotField>
    <pivotField dataField="1" showAll="0"/>
    <pivotField numFmtId="15"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numFmtId="15" showAll="0"/>
    <pivotField showAll="0"/>
    <pivotField showAll="0"/>
    <pivotField showAll="0"/>
    <pivotField showAll="0"/>
    <pivotField showAll="0"/>
    <pivotField showAll="0">
      <items count="16">
        <item x="7"/>
        <item x="3"/>
        <item x="1"/>
        <item x="2"/>
        <item x="5"/>
        <item x="0"/>
        <item x="4"/>
        <item x="6"/>
        <item x="9"/>
        <item x="8"/>
        <item x="14"/>
        <item x="11"/>
        <item x="13"/>
        <item x="10"/>
        <item x="12"/>
        <item t="default"/>
      </items>
    </pivotField>
    <pivotField showAll="0"/>
    <pivotField showAll="0"/>
    <pivotField showAll="0">
      <items count="8">
        <item x="0"/>
        <item x="1"/>
        <item x="2"/>
        <item x="4"/>
        <item x="3"/>
        <item x="5"/>
        <item x="6"/>
        <item t="default"/>
      </items>
    </pivotField>
    <pivotField showAll="0">
      <items count="10">
        <item x="5"/>
        <item x="3"/>
        <item x="1"/>
        <item x="2"/>
        <item x="4"/>
        <item x="0"/>
        <item x="8"/>
        <item x="6"/>
        <item x="7"/>
        <item t="default"/>
      </items>
    </pivotField>
    <pivotField showAll="0">
      <items count="15">
        <item x="0"/>
        <item x="1"/>
        <item x="2"/>
        <item x="3"/>
        <item x="4"/>
        <item x="5"/>
        <item x="6"/>
        <item x="7"/>
        <item x="8"/>
        <item x="9"/>
        <item x="10"/>
        <item x="11"/>
        <item x="12"/>
        <item x="13"/>
        <item t="default"/>
      </items>
    </pivotField>
    <pivotField showAll="0">
      <items count="201">
        <item x="4"/>
        <item x="198"/>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199"/>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0"/>
        <item x="1"/>
        <item x="2"/>
        <item x="3"/>
        <item t="default"/>
      </items>
    </pivotField>
  </pivotFields>
  <rowFields count="1">
    <field x="1"/>
  </rowFields>
  <rowItems count="21">
    <i>
      <x v="13"/>
    </i>
    <i>
      <x v="6"/>
    </i>
    <i>
      <x v="2"/>
    </i>
    <i>
      <x v="19"/>
    </i>
    <i>
      <x v="16"/>
    </i>
    <i>
      <x v="5"/>
    </i>
    <i>
      <x v="8"/>
    </i>
    <i>
      <x v="15"/>
    </i>
    <i>
      <x v="11"/>
    </i>
    <i>
      <x v="14"/>
    </i>
    <i>
      <x v="9"/>
    </i>
    <i>
      <x v="3"/>
    </i>
    <i>
      <x v="10"/>
    </i>
    <i>
      <x v="1"/>
    </i>
    <i>
      <x v="17"/>
    </i>
    <i>
      <x v="4"/>
    </i>
    <i>
      <x v="18"/>
    </i>
    <i>
      <x/>
    </i>
    <i>
      <x v="7"/>
    </i>
    <i>
      <x v="12"/>
    </i>
    <i t="grand">
      <x/>
    </i>
  </rowItems>
  <colFields count="1">
    <field x="-2"/>
  </colFields>
  <colItems count="3">
    <i>
      <x/>
    </i>
    <i i="1">
      <x v="1"/>
    </i>
    <i i="2">
      <x v="2"/>
    </i>
  </colItems>
  <dataFields count="3">
    <dataField name="Sum of Quantity" fld="2" baseField="1" baseItem="18"/>
    <dataField name="Average of Unit Price" fld="3" subtotal="average" baseField="1" baseItem="18"/>
    <dataField name="Sum of Amount"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92F64365-4B10-45DE-82A8-701553D4C401}" name="PivotTable5"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rowHeaderCaption="Product">
  <location ref="A61:E81" firstHeaderRow="0" firstDataRow="1" firstDataCol="1" rowPageCount="1" colPageCount="1"/>
  <pivotFields count="19">
    <pivotField dataField="1" showAll="0"/>
    <pivotField axis="axisRow" showAll="0" sortType="descending">
      <items count="21">
        <item x="14"/>
        <item x="10"/>
        <item x="12"/>
        <item x="15"/>
        <item x="4"/>
        <item x="7"/>
        <item x="6"/>
        <item x="19"/>
        <item x="18"/>
        <item x="11"/>
        <item x="17"/>
        <item x="5"/>
        <item x="0"/>
        <item x="2"/>
        <item x="9"/>
        <item x="16"/>
        <item x="1"/>
        <item x="13"/>
        <item x="8"/>
        <item x="3"/>
        <item t="default"/>
      </items>
      <autoSortScope>
        <pivotArea dataOnly="0" outline="0" fieldPosition="0">
          <references count="1">
            <reference field="4294967294" count="1" selected="0">
              <x v="2"/>
            </reference>
          </references>
        </pivotArea>
      </autoSortScope>
    </pivotField>
    <pivotField dataField="1"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dataField="1" showAll="0">
      <items count="935">
        <item x="178"/>
        <item x="159"/>
        <item x="97"/>
        <item x="441"/>
        <item x="265"/>
        <item x="401"/>
        <item x="0"/>
        <item x="408"/>
        <item x="229"/>
        <item x="370"/>
        <item x="61"/>
        <item x="463"/>
        <item x="860"/>
        <item x="604"/>
        <item x="426"/>
        <item x="608"/>
        <item x="877"/>
        <item x="932"/>
        <item x="822"/>
        <item x="150"/>
        <item x="335"/>
        <item x="885"/>
        <item x="888"/>
        <item x="169"/>
        <item x="609"/>
        <item x="826"/>
        <item x="905"/>
        <item x="862"/>
        <item x="270"/>
        <item x="221"/>
        <item x="503"/>
        <item x="476"/>
        <item x="536"/>
        <item x="388"/>
        <item x="678"/>
        <item x="455"/>
        <item x="83"/>
        <item x="255"/>
        <item x="137"/>
        <item x="35"/>
        <item x="496"/>
        <item x="398"/>
        <item x="342"/>
        <item x="261"/>
        <item x="857"/>
        <item x="655"/>
        <item x="879"/>
        <item x="639"/>
        <item x="569"/>
        <item x="384"/>
        <item x="929"/>
        <item x="771"/>
        <item x="727"/>
        <item x="161"/>
        <item x="893"/>
        <item x="25"/>
        <item x="228"/>
        <item x="130"/>
        <item x="71"/>
        <item x="53"/>
        <item x="606"/>
        <item x="762"/>
        <item x="383"/>
        <item x="856"/>
        <item x="99"/>
        <item x="465"/>
        <item x="585"/>
        <item x="333"/>
        <item x="104"/>
        <item x="129"/>
        <item x="30"/>
        <item x="359"/>
        <item x="55"/>
        <item x="918"/>
        <item x="415"/>
        <item x="266"/>
        <item x="478"/>
        <item x="82"/>
        <item x="157"/>
        <item x="490"/>
        <item x="260"/>
        <item x="736"/>
        <item x="127"/>
        <item x="293"/>
        <item x="580"/>
        <item x="468"/>
        <item x="289"/>
        <item x="390"/>
        <item x="588"/>
        <item x="65"/>
        <item x="438"/>
        <item x="191"/>
        <item x="210"/>
        <item x="302"/>
        <item x="332"/>
        <item x="592"/>
        <item x="33"/>
        <item x="301"/>
        <item x="421"/>
        <item x="595"/>
        <item x="237"/>
        <item x="597"/>
        <item x="208"/>
        <item x="9"/>
        <item x="243"/>
        <item x="351"/>
        <item x="188"/>
        <item x="625"/>
        <item x="409"/>
        <item x="887"/>
        <item x="59"/>
        <item x="372"/>
        <item x="121"/>
        <item x="139"/>
        <item x="234"/>
        <item x="174"/>
        <item x="483"/>
        <item x="273"/>
        <item x="209"/>
        <item x="661"/>
        <item x="512"/>
        <item x="51"/>
        <item x="278"/>
        <item x="249"/>
        <item x="362"/>
        <item x="605"/>
        <item x="486"/>
        <item x="187"/>
        <item x="769"/>
        <item x="403"/>
        <item x="19"/>
        <item x="631"/>
        <item x="855"/>
        <item x="423"/>
        <item x="170"/>
        <item x="679"/>
        <item x="136"/>
        <item x="122"/>
        <item x="269"/>
        <item x="615"/>
        <item x="457"/>
        <item x="133"/>
        <item x="23"/>
        <item x="38"/>
        <item x="439"/>
        <item x="494"/>
        <item x="48"/>
        <item x="436"/>
        <item x="49"/>
        <item x="399"/>
        <item x="295"/>
        <item x="807"/>
        <item x="336"/>
        <item x="231"/>
        <item x="843"/>
        <item x="389"/>
        <item x="646"/>
        <item x="343"/>
        <item x="627"/>
        <item x="257"/>
        <item x="742"/>
        <item x="805"/>
        <item x="70"/>
        <item x="365"/>
        <item x="85"/>
        <item x="167"/>
        <item x="144"/>
        <item x="538"/>
        <item x="690"/>
        <item x="581"/>
        <item x="402"/>
        <item x="143"/>
        <item x="647"/>
        <item x="669"/>
        <item x="686"/>
        <item x="47"/>
        <item x="755"/>
        <item x="32"/>
        <item x="500"/>
        <item x="90"/>
        <item x="224"/>
        <item x="165"/>
        <item x="248"/>
        <item x="162"/>
        <item x="1"/>
        <item x="630"/>
        <item x="607"/>
        <item x="15"/>
        <item x="452"/>
        <item x="16"/>
        <item x="63"/>
        <item x="375"/>
        <item x="541"/>
        <item x="217"/>
        <item x="680"/>
        <item x="132"/>
        <item x="216"/>
        <item x="590"/>
        <item x="34"/>
        <item x="201"/>
        <item x="380"/>
        <item x="240"/>
        <item x="498"/>
        <item x="504"/>
        <item x="101"/>
        <item x="195"/>
        <item x="413"/>
        <item x="619"/>
        <item x="614"/>
        <item x="199"/>
        <item x="846"/>
        <item x="57"/>
        <item x="172"/>
        <item x="232"/>
        <item x="570"/>
        <item x="532"/>
        <item x="601"/>
        <item x="412"/>
        <item x="324"/>
        <item x="268"/>
        <item x="120"/>
        <item x="695"/>
        <item x="766"/>
        <item x="176"/>
        <item x="292"/>
        <item x="267"/>
        <item x="271"/>
        <item x="775"/>
        <item x="334"/>
        <item x="200"/>
        <item x="341"/>
        <item x="908"/>
        <item x="803"/>
        <item x="533"/>
        <item x="8"/>
        <item x="385"/>
        <item x="275"/>
        <item x="307"/>
        <item x="160"/>
        <item x="310"/>
        <item x="791"/>
        <item x="128"/>
        <item x="355"/>
        <item x="17"/>
        <item x="294"/>
        <item x="78"/>
        <item x="711"/>
        <item x="571"/>
        <item x="719"/>
        <item x="790"/>
        <item x="105"/>
        <item x="484"/>
        <item x="151"/>
        <item x="410"/>
        <item x="3"/>
        <item x="256"/>
        <item x="430"/>
        <item x="545"/>
        <item x="202"/>
        <item x="751"/>
        <item x="629"/>
        <item x="153"/>
        <item x="392"/>
        <item x="26"/>
        <item x="665"/>
        <item x="400"/>
        <item x="37"/>
        <item x="644"/>
        <item x="406"/>
        <item x="418"/>
        <item x="632"/>
        <item x="557"/>
        <item x="180"/>
        <item x="138"/>
        <item x="759"/>
        <item x="811"/>
        <item x="152"/>
        <item x="464"/>
        <item x="931"/>
        <item x="7"/>
        <item x="664"/>
        <item x="145"/>
        <item x="722"/>
        <item x="253"/>
        <item x="363"/>
        <item x="446"/>
        <item x="29"/>
        <item x="758"/>
        <item x="387"/>
        <item x="397"/>
        <item x="50"/>
        <item x="329"/>
        <item x="654"/>
        <item x="52"/>
        <item x="80"/>
        <item x="245"/>
        <item x="300"/>
        <item x="624"/>
        <item x="567"/>
        <item x="318"/>
        <item x="394"/>
        <item x="687"/>
        <item x="325"/>
        <item x="272"/>
        <item x="443"/>
        <item x="429"/>
        <item x="280"/>
        <item x="39"/>
        <item x="522"/>
        <item x="705"/>
        <item x="171"/>
        <item x="347"/>
        <item x="458"/>
        <item x="535"/>
        <item x="20"/>
        <item x="910"/>
        <item x="548"/>
        <item x="369"/>
        <item x="236"/>
        <item x="112"/>
        <item x="73"/>
        <item x="239"/>
        <item x="926"/>
        <item x="613"/>
        <item x="788"/>
        <item x="125"/>
        <item x="303"/>
        <item x="226"/>
        <item x="291"/>
        <item x="299"/>
        <item x="102"/>
        <item x="600"/>
        <item x="357"/>
        <item x="108"/>
        <item x="511"/>
        <item x="206"/>
        <item x="544"/>
        <item x="354"/>
        <item x="193"/>
        <item x="425"/>
        <item x="340"/>
        <item x="587"/>
        <item x="594"/>
        <item x="21"/>
        <item x="84"/>
        <item x="528"/>
        <item x="642"/>
        <item x="344"/>
        <item x="550"/>
        <item x="219"/>
        <item x="68"/>
        <item x="356"/>
        <item x="672"/>
        <item x="134"/>
        <item x="367"/>
        <item x="196"/>
        <item x="142"/>
        <item x="297"/>
        <item x="591"/>
        <item x="72"/>
        <item x="286"/>
        <item x="379"/>
        <item x="242"/>
        <item x="126"/>
        <item x="816"/>
        <item x="11"/>
        <item x="182"/>
        <item x="364"/>
        <item x="660"/>
        <item x="183"/>
        <item x="432"/>
        <item x="659"/>
        <item x="235"/>
        <item x="850"/>
        <item x="308"/>
        <item x="869"/>
        <item x="534"/>
        <item x="612"/>
        <item x="88"/>
        <item x="93"/>
        <item x="79"/>
        <item x="155"/>
        <item x="179"/>
        <item x="28"/>
        <item x="707"/>
        <item x="18"/>
        <item x="440"/>
        <item x="353"/>
        <item x="258"/>
        <item x="599"/>
        <item x="728"/>
        <item x="309"/>
        <item x="147"/>
        <item x="424"/>
        <item x="168"/>
        <item x="184"/>
        <item x="793"/>
        <item x="574"/>
        <item x="515"/>
        <item x="166"/>
        <item x="699"/>
        <item x="119"/>
        <item x="434"/>
        <item x="422"/>
        <item x="98"/>
        <item x="213"/>
        <item x="459"/>
        <item x="230"/>
        <item x="789"/>
        <item x="582"/>
        <item x="526"/>
        <item x="589"/>
        <item x="190"/>
        <item x="641"/>
        <item x="715"/>
        <item x="706"/>
        <item x="352"/>
        <item x="10"/>
        <item x="42"/>
        <item x="514"/>
        <item x="86"/>
        <item x="76"/>
        <item x="123"/>
        <item x="173"/>
        <item x="282"/>
        <item x="204"/>
        <item x="6"/>
        <item x="842"/>
        <item x="572"/>
        <item x="495"/>
        <item x="740"/>
        <item x="502"/>
        <item x="218"/>
        <item x="628"/>
        <item x="634"/>
        <item x="623"/>
        <item x="576"/>
        <item x="448"/>
        <item x="472"/>
        <item x="4"/>
        <item x="382"/>
        <item x="881"/>
        <item x="551"/>
        <item x="140"/>
        <item x="27"/>
        <item x="405"/>
        <item x="214"/>
        <item x="884"/>
        <item x="222"/>
        <item x="461"/>
        <item x="211"/>
        <item x="787"/>
        <item x="491"/>
        <item x="215"/>
        <item x="296"/>
        <item x="207"/>
        <item x="277"/>
        <item x="635"/>
        <item x="75"/>
        <item x="785"/>
        <item x="466"/>
        <item x="395"/>
        <item x="721"/>
        <item x="523"/>
        <item x="737"/>
        <item x="542"/>
        <item x="233"/>
        <item x="684"/>
        <item x="115"/>
        <item x="396"/>
        <item x="316"/>
        <item x="841"/>
        <item x="110"/>
        <item x="738"/>
        <item x="322"/>
        <item x="247"/>
        <item x="530"/>
        <item x="701"/>
        <item x="552"/>
        <item x="553"/>
        <item x="156"/>
        <item x="501"/>
        <item x="750"/>
        <item x="148"/>
        <item x="854"/>
        <item x="89"/>
        <item x="480"/>
        <item x="227"/>
        <item x="547"/>
        <item x="205"/>
        <item x="198"/>
        <item x="556"/>
        <item x="470"/>
        <item x="366"/>
        <item x="829"/>
        <item x="407"/>
        <item x="821"/>
        <item x="94"/>
        <item x="56"/>
        <item x="113"/>
        <item x="734"/>
        <item x="427"/>
        <item x="305"/>
        <item x="46"/>
        <item x="259"/>
        <item x="565"/>
        <item x="761"/>
        <item x="444"/>
        <item x="58"/>
        <item x="780"/>
        <item x="281"/>
        <item x="554"/>
        <item x="337"/>
        <item x="497"/>
        <item x="92"/>
        <item x="146"/>
        <item x="203"/>
        <item x="225"/>
        <item x="456"/>
        <item x="313"/>
        <item x="404"/>
        <item x="834"/>
        <item x="244"/>
        <item x="779"/>
        <item x="757"/>
        <item x="667"/>
        <item x="730"/>
        <item x="633"/>
        <item x="563"/>
        <item x="450"/>
        <item x="14"/>
        <item x="114"/>
        <item x="668"/>
        <item x="783"/>
        <item x="618"/>
        <item x="748"/>
        <item x="246"/>
        <item x="212"/>
        <item x="509"/>
        <item x="469"/>
        <item x="666"/>
        <item x="735"/>
        <item x="197"/>
        <item x="704"/>
        <item x="657"/>
        <item x="419"/>
        <item x="43"/>
        <item x="596"/>
        <item x="794"/>
        <item x="725"/>
        <item x="192"/>
        <item x="276"/>
        <item x="62"/>
        <item x="327"/>
        <item x="135"/>
        <item x="181"/>
        <item x="393"/>
        <item x="330"/>
        <item x="579"/>
        <item x="163"/>
        <item x="673"/>
        <item x="451"/>
        <item x="264"/>
        <item x="911"/>
        <item x="431"/>
        <item x="578"/>
        <item x="471"/>
        <item x="45"/>
        <item x="60"/>
        <item x="760"/>
        <item x="254"/>
        <item x="674"/>
        <item x="598"/>
        <item x="925"/>
        <item x="928"/>
        <item x="774"/>
        <item x="866"/>
        <item x="489"/>
        <item x="583"/>
        <item x="462"/>
        <item x="559"/>
        <item x="391"/>
        <item x="524"/>
        <item x="899"/>
        <item x="111"/>
        <item x="378"/>
        <item x="651"/>
        <item x="508"/>
        <item x="773"/>
        <item x="858"/>
        <item x="326"/>
        <item x="746"/>
        <item x="603"/>
        <item x="417"/>
        <item x="752"/>
        <item x="492"/>
        <item x="91"/>
        <item x="285"/>
        <item x="487"/>
        <item x="374"/>
        <item x="913"/>
        <item x="577"/>
        <item x="859"/>
        <item x="124"/>
        <item x="836"/>
        <item x="823"/>
        <item x="164"/>
        <item x="767"/>
        <item x="903"/>
        <item x="107"/>
        <item x="897"/>
        <item x="741"/>
        <item x="828"/>
        <item x="863"/>
        <item x="81"/>
        <item x="693"/>
        <item x="312"/>
        <item x="777"/>
        <item x="710"/>
        <item x="505"/>
        <item x="158"/>
        <item x="473"/>
        <item x="898"/>
        <item x="716"/>
        <item x="685"/>
        <item x="77"/>
        <item x="561"/>
        <item x="414"/>
        <item x="546"/>
        <item x="304"/>
        <item x="22"/>
        <item x="442"/>
        <item x="889"/>
        <item x="454"/>
        <item x="611"/>
        <item x="902"/>
        <item x="697"/>
        <item x="853"/>
        <item x="41"/>
        <item x="827"/>
        <item x="262"/>
        <item x="328"/>
        <item x="830"/>
        <item x="870"/>
        <item x="453"/>
        <item x="521"/>
        <item x="186"/>
        <item x="428"/>
        <item x="844"/>
        <item x="220"/>
        <item x="921"/>
        <item x="682"/>
        <item x="445"/>
        <item x="890"/>
        <item x="321"/>
        <item x="298"/>
        <item x="5"/>
        <item x="331"/>
        <item x="371"/>
        <item x="861"/>
        <item x="922"/>
        <item x="726"/>
        <item x="883"/>
        <item x="636"/>
        <item x="872"/>
        <item x="845"/>
        <item x="100"/>
        <item x="798"/>
        <item x="288"/>
        <item x="564"/>
        <item x="555"/>
        <item x="345"/>
        <item x="874"/>
        <item x="744"/>
        <item x="602"/>
        <item x="376"/>
        <item x="909"/>
        <item x="768"/>
        <item x="753"/>
        <item x="449"/>
        <item x="804"/>
        <item x="797"/>
        <item x="813"/>
        <item x="507"/>
        <item x="154"/>
        <item x="479"/>
        <item x="724"/>
        <item x="808"/>
        <item x="317"/>
        <item x="691"/>
        <item x="241"/>
        <item x="117"/>
        <item x="745"/>
        <item x="13"/>
        <item x="689"/>
        <item x="723"/>
        <item x="24"/>
        <item x="527"/>
        <item x="346"/>
        <item x="66"/>
        <item x="69"/>
        <item x="141"/>
        <item x="314"/>
        <item x="763"/>
        <item x="411"/>
        <item x="238"/>
        <item x="677"/>
        <item x="820"/>
        <item x="54"/>
        <item x="338"/>
        <item x="739"/>
        <item x="116"/>
        <item x="754"/>
        <item x="638"/>
        <item x="520"/>
        <item x="923"/>
        <item x="109"/>
        <item x="306"/>
        <item x="368"/>
        <item x="743"/>
        <item x="283"/>
        <item x="824"/>
        <item x="95"/>
        <item x="895"/>
        <item x="420"/>
        <item x="252"/>
        <item x="482"/>
        <item x="864"/>
        <item x="477"/>
        <item x="568"/>
        <item x="381"/>
        <item x="831"/>
        <item x="263"/>
        <item x="573"/>
        <item x="840"/>
        <item x="549"/>
        <item x="350"/>
        <item x="732"/>
        <item x="558"/>
        <item x="812"/>
        <item x="433"/>
        <item x="900"/>
        <item x="876"/>
        <item x="849"/>
        <item x="194"/>
        <item x="818"/>
        <item x="871"/>
        <item x="67"/>
        <item x="709"/>
        <item x="475"/>
        <item x="729"/>
        <item x="543"/>
        <item x="287"/>
        <item x="539"/>
        <item x="765"/>
        <item x="358"/>
        <item x="279"/>
        <item x="361"/>
        <item x="875"/>
        <item x="620"/>
        <item x="320"/>
        <item x="919"/>
        <item x="435"/>
        <item x="904"/>
        <item x="835"/>
        <item x="540"/>
        <item x="593"/>
        <item x="772"/>
        <item x="386"/>
        <item x="319"/>
        <item x="74"/>
        <item x="175"/>
        <item x="653"/>
        <item x="617"/>
        <item x="852"/>
        <item x="720"/>
        <item x="485"/>
        <item x="882"/>
        <item x="733"/>
        <item x="460"/>
        <item x="339"/>
        <item x="518"/>
        <item x="250"/>
        <item x="901"/>
        <item x="681"/>
        <item x="698"/>
        <item x="649"/>
        <item x="290"/>
        <item x="683"/>
        <item x="892"/>
        <item x="867"/>
        <item x="348"/>
        <item x="782"/>
        <item x="562"/>
        <item x="315"/>
        <item x="586"/>
        <item x="756"/>
        <item x="189"/>
        <item x="920"/>
        <item x="671"/>
        <item x="2"/>
        <item x="506"/>
        <item x="792"/>
        <item x="703"/>
        <item x="643"/>
        <item x="851"/>
        <item x="610"/>
        <item x="349"/>
        <item x="531"/>
        <item x="575"/>
        <item x="251"/>
        <item x="675"/>
        <item x="64"/>
        <item x="377"/>
        <item x="467"/>
        <item x="670"/>
        <item x="560"/>
        <item x="749"/>
        <item x="886"/>
        <item x="814"/>
        <item x="802"/>
        <item x="796"/>
        <item x="566"/>
        <item x="118"/>
        <item x="622"/>
        <item x="658"/>
        <item x="696"/>
        <item x="517"/>
        <item x="933"/>
        <item x="873"/>
        <item x="537"/>
        <item x="800"/>
        <item x="915"/>
        <item x="817"/>
        <item x="12"/>
        <item x="529"/>
        <item x="650"/>
        <item x="106"/>
        <item x="103"/>
        <item x="323"/>
        <item x="776"/>
        <item x="906"/>
        <item x="930"/>
        <item x="801"/>
        <item x="713"/>
        <item x="474"/>
        <item x="149"/>
        <item x="656"/>
        <item x="868"/>
        <item x="799"/>
        <item x="778"/>
        <item x="847"/>
        <item x="274"/>
        <item x="810"/>
        <item x="916"/>
        <item x="809"/>
        <item x="447"/>
        <item x="764"/>
        <item x="360"/>
        <item x="731"/>
        <item x="493"/>
        <item x="795"/>
        <item x="663"/>
        <item x="185"/>
        <item x="87"/>
        <item x="481"/>
        <item x="177"/>
        <item x="784"/>
        <item x="819"/>
        <item x="519"/>
        <item x="584"/>
        <item x="717"/>
        <item x="700"/>
        <item x="637"/>
        <item x="839"/>
        <item x="44"/>
        <item x="837"/>
        <item x="525"/>
        <item x="40"/>
        <item x="652"/>
        <item x="131"/>
        <item x="838"/>
        <item x="692"/>
        <item x="510"/>
        <item x="223"/>
        <item x="825"/>
        <item x="516"/>
        <item x="786"/>
        <item x="513"/>
        <item x="907"/>
        <item x="714"/>
        <item x="662"/>
        <item x="770"/>
        <item x="311"/>
        <item x="878"/>
        <item x="865"/>
        <item x="924"/>
        <item x="927"/>
        <item x="912"/>
        <item x="688"/>
        <item x="891"/>
        <item x="284"/>
        <item x="781"/>
        <item x="676"/>
        <item x="96"/>
        <item x="747"/>
        <item x="373"/>
        <item x="694"/>
        <item x="806"/>
        <item x="31"/>
        <item x="621"/>
        <item x="416"/>
        <item x="616"/>
        <item x="488"/>
        <item x="626"/>
        <item x="832"/>
        <item x="648"/>
        <item x="880"/>
        <item x="815"/>
        <item x="640"/>
        <item x="499"/>
        <item x="917"/>
        <item x="896"/>
        <item x="702"/>
        <item x="712"/>
        <item x="36"/>
        <item x="914"/>
        <item x="645"/>
        <item x="437"/>
        <item x="718"/>
        <item x="848"/>
        <item x="708"/>
        <item x="833"/>
        <item x="894"/>
        <item t="default"/>
      </items>
    </pivotField>
    <pivotField dataField="1" showAll="0"/>
    <pivotField numFmtId="15"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numFmtId="15" showAll="0"/>
    <pivotField showAll="0"/>
    <pivotField showAll="0"/>
    <pivotField showAll="0"/>
    <pivotField showAll="0"/>
    <pivotField name="County Name" showAll="0"/>
    <pivotField showAll="0">
      <items count="16">
        <item x="7"/>
        <item x="3"/>
        <item x="1"/>
        <item x="2"/>
        <item x="5"/>
        <item x="0"/>
        <item x="4"/>
        <item x="6"/>
        <item x="9"/>
        <item x="8"/>
        <item x="14"/>
        <item x="11"/>
        <item x="13"/>
        <item x="10"/>
        <item x="12"/>
        <item t="default"/>
      </items>
    </pivotField>
    <pivotField axis="axisPage" showAll="0">
      <items count="14">
        <item x="0"/>
        <item sd="0" x="1"/>
        <item sd="0" x="2"/>
        <item sd="0" x="3"/>
        <item sd="0" x="4"/>
        <item sd="0" x="5"/>
        <item sd="0" x="6"/>
        <item sd="0" x="7"/>
        <item sd="0" x="8"/>
        <item sd="0" x="9"/>
        <item sd="0" x="10"/>
        <item sd="0" x="11"/>
        <item sd="0" x="12"/>
        <item t="default"/>
      </items>
    </pivotField>
    <pivotField showAll="0"/>
    <pivotField showAll="0">
      <items count="8">
        <item x="0"/>
        <item x="1"/>
        <item x="2"/>
        <item x="4"/>
        <item x="3"/>
        <item x="5"/>
        <item x="6"/>
        <item t="default"/>
      </items>
    </pivotField>
    <pivotField showAll="0">
      <items count="10">
        <item x="5"/>
        <item x="3"/>
        <item x="1"/>
        <item x="2"/>
        <item x="4"/>
        <item x="0"/>
        <item x="8"/>
        <item x="6"/>
        <item x="7"/>
        <item t="default"/>
      </items>
    </pivotField>
    <pivotField showAll="0">
      <items count="15">
        <item x="0"/>
        <item x="1"/>
        <item x="2"/>
        <item x="3"/>
        <item x="4"/>
        <item x="5"/>
        <item x="6"/>
        <item x="7"/>
        <item x="8"/>
        <item x="9"/>
        <item x="10"/>
        <item x="11"/>
        <item x="12"/>
        <item x="13"/>
        <item t="default"/>
      </items>
    </pivotField>
    <pivotField showAll="0">
      <items count="201">
        <item x="4"/>
        <item x="198"/>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199"/>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0"/>
        <item x="1"/>
        <item x="2"/>
        <item x="3"/>
        <item t="default"/>
      </items>
    </pivotField>
  </pivotFields>
  <rowFields count="1">
    <field x="1"/>
  </rowFields>
  <rowItems count="20">
    <i>
      <x v="13"/>
    </i>
    <i>
      <x v="6"/>
    </i>
    <i>
      <x v="16"/>
    </i>
    <i>
      <x v="18"/>
    </i>
    <i>
      <x v="14"/>
    </i>
    <i>
      <x v="12"/>
    </i>
    <i>
      <x v="5"/>
    </i>
    <i>
      <x v="11"/>
    </i>
    <i>
      <x v="1"/>
    </i>
    <i>
      <x v="2"/>
    </i>
    <i>
      <x v="19"/>
    </i>
    <i>
      <x/>
    </i>
    <i>
      <x v="4"/>
    </i>
    <i>
      <x v="8"/>
    </i>
    <i>
      <x v="10"/>
    </i>
    <i>
      <x v="17"/>
    </i>
    <i>
      <x v="9"/>
    </i>
    <i>
      <x v="3"/>
    </i>
    <i>
      <x v="15"/>
    </i>
    <i t="grand">
      <x/>
    </i>
  </rowItems>
  <colFields count="1">
    <field x="-2"/>
  </colFields>
  <colItems count="4">
    <i>
      <x/>
    </i>
    <i i="1">
      <x v="1"/>
    </i>
    <i i="2">
      <x v="2"/>
    </i>
    <i i="3">
      <x v="3"/>
    </i>
  </colItems>
  <pageFields count="1">
    <pageField fld="13" item="2" hier="-1"/>
  </pageFields>
  <dataFields count="4">
    <dataField name="Count of TX ID" fld="0" subtotal="count" baseField="0" baseItem="0"/>
    <dataField name="Sum of Quantity" fld="2" baseField="0" baseItem="0"/>
    <dataField name="Sum of Amount" fld="4" baseField="0" baseItem="0"/>
    <dataField name="Average of Unit Price" fld="3" subtotal="average" baseField="1" baseItem="0"/>
  </dataFields>
  <formats count="1">
    <format dxfId="1">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4AF4E2B3-5E32-4CB2-A41F-CC347766D5C0}" name="PivotTable9"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rowHeaderCaption="County">
  <location ref="E115:F128" firstHeaderRow="1" firstDataRow="1" firstDataCol="1" rowPageCount="1" colPageCount="1"/>
  <pivotFields count="19">
    <pivotField dataField="1" showAll="0"/>
    <pivotField showAll="0" sortType="descending">
      <items count="21">
        <item x="14"/>
        <item x="10"/>
        <item x="12"/>
        <item x="15"/>
        <item sd="0" x="4"/>
        <item x="7"/>
        <item x="6"/>
        <item x="19"/>
        <item x="18"/>
        <item sd="0" x="11"/>
        <item sd="0" x="17"/>
        <item x="5"/>
        <item x="0"/>
        <item x="2"/>
        <item sd="0" x="9"/>
        <item x="16"/>
        <item x="1"/>
        <item x="13"/>
        <item x="8"/>
        <item x="3"/>
        <item t="default"/>
      </items>
      <autoSortScope>
        <pivotArea dataOnly="0" outline="0" fieldPosition="0">
          <references count="1">
            <reference field="4294967294" count="1" selected="0">
              <x v="0"/>
            </reference>
          </references>
        </pivotArea>
      </autoSortScope>
    </pivotField>
    <pivotField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sortType="descending">
      <items count="935">
        <item x="178"/>
        <item x="159"/>
        <item x="97"/>
        <item x="441"/>
        <item x="265"/>
        <item x="401"/>
        <item x="0"/>
        <item x="408"/>
        <item x="229"/>
        <item x="370"/>
        <item x="61"/>
        <item x="463"/>
        <item x="860"/>
        <item x="604"/>
        <item x="426"/>
        <item x="608"/>
        <item x="877"/>
        <item x="932"/>
        <item x="822"/>
        <item x="150"/>
        <item x="335"/>
        <item x="885"/>
        <item x="888"/>
        <item x="169"/>
        <item x="609"/>
        <item x="826"/>
        <item x="905"/>
        <item x="862"/>
        <item x="270"/>
        <item x="221"/>
        <item x="503"/>
        <item x="476"/>
        <item x="536"/>
        <item x="388"/>
        <item x="678"/>
        <item x="455"/>
        <item x="83"/>
        <item x="255"/>
        <item x="137"/>
        <item x="35"/>
        <item x="496"/>
        <item x="398"/>
        <item x="342"/>
        <item x="261"/>
        <item x="857"/>
        <item x="655"/>
        <item x="879"/>
        <item x="639"/>
        <item x="569"/>
        <item x="384"/>
        <item x="929"/>
        <item x="771"/>
        <item x="727"/>
        <item x="161"/>
        <item x="893"/>
        <item x="25"/>
        <item x="228"/>
        <item x="130"/>
        <item x="71"/>
        <item x="53"/>
        <item x="606"/>
        <item x="762"/>
        <item x="383"/>
        <item x="856"/>
        <item x="99"/>
        <item x="465"/>
        <item x="585"/>
        <item x="333"/>
        <item x="104"/>
        <item x="129"/>
        <item x="30"/>
        <item x="359"/>
        <item x="55"/>
        <item x="918"/>
        <item x="415"/>
        <item x="266"/>
        <item x="478"/>
        <item x="82"/>
        <item x="157"/>
        <item x="490"/>
        <item x="260"/>
        <item x="736"/>
        <item x="127"/>
        <item x="293"/>
        <item x="580"/>
        <item x="468"/>
        <item x="289"/>
        <item x="390"/>
        <item x="588"/>
        <item x="65"/>
        <item x="438"/>
        <item x="191"/>
        <item x="210"/>
        <item x="302"/>
        <item x="332"/>
        <item x="592"/>
        <item x="33"/>
        <item x="301"/>
        <item x="421"/>
        <item x="595"/>
        <item x="237"/>
        <item x="597"/>
        <item x="208"/>
        <item x="9"/>
        <item x="243"/>
        <item x="351"/>
        <item x="188"/>
        <item x="625"/>
        <item x="409"/>
        <item x="887"/>
        <item x="59"/>
        <item x="372"/>
        <item x="121"/>
        <item x="139"/>
        <item x="234"/>
        <item x="174"/>
        <item x="483"/>
        <item x="273"/>
        <item x="209"/>
        <item x="661"/>
        <item x="512"/>
        <item x="51"/>
        <item x="278"/>
        <item x="249"/>
        <item x="362"/>
        <item x="605"/>
        <item x="486"/>
        <item x="187"/>
        <item x="769"/>
        <item x="403"/>
        <item x="19"/>
        <item x="631"/>
        <item x="855"/>
        <item x="423"/>
        <item x="170"/>
        <item x="679"/>
        <item x="136"/>
        <item x="122"/>
        <item x="269"/>
        <item x="615"/>
        <item x="457"/>
        <item x="133"/>
        <item x="23"/>
        <item x="38"/>
        <item x="439"/>
        <item x="494"/>
        <item x="48"/>
        <item x="436"/>
        <item x="49"/>
        <item x="399"/>
        <item x="295"/>
        <item x="807"/>
        <item x="336"/>
        <item x="231"/>
        <item x="843"/>
        <item x="389"/>
        <item x="646"/>
        <item x="343"/>
        <item x="627"/>
        <item x="257"/>
        <item x="742"/>
        <item x="805"/>
        <item x="70"/>
        <item x="365"/>
        <item x="85"/>
        <item x="167"/>
        <item x="144"/>
        <item x="538"/>
        <item x="690"/>
        <item x="581"/>
        <item x="402"/>
        <item x="143"/>
        <item x="647"/>
        <item x="669"/>
        <item x="686"/>
        <item x="47"/>
        <item x="755"/>
        <item x="32"/>
        <item x="500"/>
        <item x="90"/>
        <item x="224"/>
        <item x="165"/>
        <item x="248"/>
        <item x="162"/>
        <item x="1"/>
        <item x="630"/>
        <item x="607"/>
        <item x="15"/>
        <item x="452"/>
        <item x="16"/>
        <item x="63"/>
        <item x="375"/>
        <item x="541"/>
        <item x="217"/>
        <item x="680"/>
        <item x="132"/>
        <item x="216"/>
        <item x="590"/>
        <item x="34"/>
        <item x="201"/>
        <item x="380"/>
        <item x="240"/>
        <item x="498"/>
        <item x="504"/>
        <item x="101"/>
        <item x="195"/>
        <item x="413"/>
        <item x="619"/>
        <item x="614"/>
        <item x="199"/>
        <item x="846"/>
        <item x="57"/>
        <item x="172"/>
        <item x="232"/>
        <item x="570"/>
        <item x="532"/>
        <item x="601"/>
        <item x="412"/>
        <item x="324"/>
        <item x="268"/>
        <item x="120"/>
        <item x="695"/>
        <item x="766"/>
        <item x="176"/>
        <item x="292"/>
        <item x="267"/>
        <item x="271"/>
        <item x="775"/>
        <item x="334"/>
        <item x="200"/>
        <item x="341"/>
        <item x="908"/>
        <item x="803"/>
        <item x="533"/>
        <item x="8"/>
        <item x="385"/>
        <item x="275"/>
        <item x="307"/>
        <item x="160"/>
        <item x="310"/>
        <item x="791"/>
        <item x="128"/>
        <item x="355"/>
        <item x="17"/>
        <item x="294"/>
        <item x="78"/>
        <item x="711"/>
        <item x="571"/>
        <item x="719"/>
        <item x="790"/>
        <item x="105"/>
        <item x="484"/>
        <item x="151"/>
        <item x="410"/>
        <item x="3"/>
        <item x="256"/>
        <item x="430"/>
        <item x="545"/>
        <item x="202"/>
        <item x="751"/>
        <item x="629"/>
        <item x="153"/>
        <item x="392"/>
        <item x="26"/>
        <item x="665"/>
        <item x="400"/>
        <item x="37"/>
        <item x="644"/>
        <item x="406"/>
        <item x="418"/>
        <item x="632"/>
        <item x="557"/>
        <item x="180"/>
        <item x="138"/>
        <item x="759"/>
        <item x="811"/>
        <item x="152"/>
        <item x="464"/>
        <item x="931"/>
        <item x="7"/>
        <item x="664"/>
        <item x="145"/>
        <item x="722"/>
        <item x="253"/>
        <item x="363"/>
        <item x="446"/>
        <item x="29"/>
        <item x="758"/>
        <item x="387"/>
        <item x="397"/>
        <item x="50"/>
        <item x="329"/>
        <item x="654"/>
        <item x="52"/>
        <item x="80"/>
        <item x="245"/>
        <item x="300"/>
        <item x="624"/>
        <item x="567"/>
        <item x="318"/>
        <item x="394"/>
        <item x="687"/>
        <item x="325"/>
        <item x="272"/>
        <item x="443"/>
        <item x="429"/>
        <item x="280"/>
        <item x="39"/>
        <item x="522"/>
        <item x="705"/>
        <item x="171"/>
        <item x="347"/>
        <item x="458"/>
        <item x="535"/>
        <item x="20"/>
        <item x="910"/>
        <item x="548"/>
        <item x="369"/>
        <item x="236"/>
        <item x="112"/>
        <item x="73"/>
        <item x="239"/>
        <item x="926"/>
        <item x="613"/>
        <item x="788"/>
        <item x="125"/>
        <item x="303"/>
        <item x="226"/>
        <item x="291"/>
        <item x="299"/>
        <item x="102"/>
        <item x="600"/>
        <item x="357"/>
        <item x="108"/>
        <item x="511"/>
        <item x="206"/>
        <item x="544"/>
        <item x="354"/>
        <item x="193"/>
        <item x="425"/>
        <item x="340"/>
        <item x="587"/>
        <item x="594"/>
        <item x="21"/>
        <item x="84"/>
        <item x="528"/>
        <item x="642"/>
        <item x="344"/>
        <item x="550"/>
        <item x="219"/>
        <item x="68"/>
        <item x="356"/>
        <item x="672"/>
        <item x="134"/>
        <item x="367"/>
        <item x="196"/>
        <item x="142"/>
        <item x="297"/>
        <item x="591"/>
        <item x="72"/>
        <item x="286"/>
        <item x="379"/>
        <item x="242"/>
        <item x="126"/>
        <item x="816"/>
        <item x="11"/>
        <item x="182"/>
        <item x="364"/>
        <item x="660"/>
        <item x="183"/>
        <item x="432"/>
        <item x="659"/>
        <item x="235"/>
        <item x="850"/>
        <item x="308"/>
        <item x="869"/>
        <item x="534"/>
        <item x="612"/>
        <item x="88"/>
        <item x="93"/>
        <item x="79"/>
        <item x="155"/>
        <item x="179"/>
        <item x="28"/>
        <item x="707"/>
        <item x="18"/>
        <item x="440"/>
        <item x="353"/>
        <item x="258"/>
        <item x="599"/>
        <item x="728"/>
        <item x="309"/>
        <item x="147"/>
        <item x="424"/>
        <item x="168"/>
        <item x="184"/>
        <item x="793"/>
        <item x="574"/>
        <item x="515"/>
        <item x="166"/>
        <item x="699"/>
        <item x="119"/>
        <item x="434"/>
        <item x="422"/>
        <item x="98"/>
        <item x="213"/>
        <item x="459"/>
        <item x="230"/>
        <item x="789"/>
        <item x="582"/>
        <item x="526"/>
        <item x="589"/>
        <item x="190"/>
        <item x="641"/>
        <item x="715"/>
        <item x="706"/>
        <item x="352"/>
        <item x="10"/>
        <item x="42"/>
        <item x="514"/>
        <item x="86"/>
        <item x="76"/>
        <item x="123"/>
        <item x="173"/>
        <item x="282"/>
        <item x="204"/>
        <item x="6"/>
        <item x="842"/>
        <item x="572"/>
        <item x="495"/>
        <item x="740"/>
        <item x="502"/>
        <item x="218"/>
        <item x="628"/>
        <item x="634"/>
        <item x="623"/>
        <item x="576"/>
        <item x="448"/>
        <item x="472"/>
        <item x="4"/>
        <item x="382"/>
        <item x="881"/>
        <item x="551"/>
        <item x="140"/>
        <item x="27"/>
        <item x="405"/>
        <item x="214"/>
        <item x="884"/>
        <item x="222"/>
        <item x="461"/>
        <item x="211"/>
        <item x="787"/>
        <item x="491"/>
        <item x="215"/>
        <item x="296"/>
        <item x="207"/>
        <item x="277"/>
        <item x="635"/>
        <item x="75"/>
        <item x="785"/>
        <item x="466"/>
        <item x="395"/>
        <item x="721"/>
        <item x="523"/>
        <item x="737"/>
        <item x="542"/>
        <item x="233"/>
        <item x="684"/>
        <item x="115"/>
        <item x="396"/>
        <item x="316"/>
        <item x="841"/>
        <item x="110"/>
        <item x="738"/>
        <item x="322"/>
        <item x="247"/>
        <item x="530"/>
        <item x="701"/>
        <item x="552"/>
        <item x="553"/>
        <item x="156"/>
        <item x="501"/>
        <item x="750"/>
        <item x="148"/>
        <item x="854"/>
        <item x="89"/>
        <item x="480"/>
        <item x="227"/>
        <item x="547"/>
        <item x="205"/>
        <item x="198"/>
        <item x="556"/>
        <item x="470"/>
        <item x="366"/>
        <item x="829"/>
        <item x="407"/>
        <item x="821"/>
        <item x="94"/>
        <item x="56"/>
        <item x="113"/>
        <item x="734"/>
        <item x="427"/>
        <item x="305"/>
        <item x="46"/>
        <item x="259"/>
        <item x="565"/>
        <item x="761"/>
        <item x="444"/>
        <item x="58"/>
        <item x="780"/>
        <item x="281"/>
        <item x="554"/>
        <item x="337"/>
        <item x="497"/>
        <item x="92"/>
        <item x="146"/>
        <item x="203"/>
        <item x="225"/>
        <item x="456"/>
        <item x="313"/>
        <item x="404"/>
        <item x="834"/>
        <item x="244"/>
        <item x="779"/>
        <item x="757"/>
        <item x="667"/>
        <item x="730"/>
        <item x="633"/>
        <item x="563"/>
        <item x="450"/>
        <item x="14"/>
        <item x="114"/>
        <item x="668"/>
        <item x="783"/>
        <item x="618"/>
        <item x="748"/>
        <item x="246"/>
        <item x="212"/>
        <item x="509"/>
        <item x="469"/>
        <item x="666"/>
        <item x="735"/>
        <item x="197"/>
        <item x="704"/>
        <item x="657"/>
        <item x="419"/>
        <item x="43"/>
        <item x="596"/>
        <item x="794"/>
        <item x="725"/>
        <item x="192"/>
        <item x="276"/>
        <item x="62"/>
        <item x="327"/>
        <item x="135"/>
        <item x="181"/>
        <item x="393"/>
        <item x="330"/>
        <item x="579"/>
        <item x="163"/>
        <item x="673"/>
        <item x="451"/>
        <item x="264"/>
        <item x="911"/>
        <item x="431"/>
        <item x="578"/>
        <item x="471"/>
        <item x="45"/>
        <item x="60"/>
        <item x="760"/>
        <item x="254"/>
        <item x="674"/>
        <item x="598"/>
        <item x="925"/>
        <item x="928"/>
        <item x="774"/>
        <item x="866"/>
        <item x="489"/>
        <item x="583"/>
        <item x="462"/>
        <item x="559"/>
        <item x="391"/>
        <item x="524"/>
        <item x="899"/>
        <item x="111"/>
        <item x="378"/>
        <item x="651"/>
        <item x="508"/>
        <item x="773"/>
        <item x="858"/>
        <item x="326"/>
        <item x="746"/>
        <item x="603"/>
        <item x="417"/>
        <item x="752"/>
        <item x="492"/>
        <item x="91"/>
        <item x="285"/>
        <item x="487"/>
        <item x="374"/>
        <item x="913"/>
        <item x="577"/>
        <item x="859"/>
        <item x="124"/>
        <item x="836"/>
        <item x="823"/>
        <item x="164"/>
        <item x="767"/>
        <item x="903"/>
        <item x="107"/>
        <item x="897"/>
        <item x="741"/>
        <item x="828"/>
        <item x="863"/>
        <item x="81"/>
        <item x="693"/>
        <item x="312"/>
        <item x="777"/>
        <item x="710"/>
        <item x="505"/>
        <item x="158"/>
        <item x="473"/>
        <item x="898"/>
        <item x="716"/>
        <item x="685"/>
        <item x="77"/>
        <item x="561"/>
        <item x="414"/>
        <item x="546"/>
        <item x="304"/>
        <item x="22"/>
        <item x="442"/>
        <item x="889"/>
        <item x="454"/>
        <item x="611"/>
        <item x="902"/>
        <item x="697"/>
        <item x="853"/>
        <item x="41"/>
        <item x="827"/>
        <item x="262"/>
        <item x="328"/>
        <item x="830"/>
        <item x="870"/>
        <item x="453"/>
        <item x="521"/>
        <item x="186"/>
        <item x="428"/>
        <item x="844"/>
        <item x="220"/>
        <item x="921"/>
        <item x="682"/>
        <item x="445"/>
        <item x="890"/>
        <item x="321"/>
        <item x="298"/>
        <item x="5"/>
        <item x="331"/>
        <item x="371"/>
        <item x="861"/>
        <item x="922"/>
        <item x="726"/>
        <item x="883"/>
        <item x="636"/>
        <item x="872"/>
        <item x="845"/>
        <item x="100"/>
        <item x="798"/>
        <item x="288"/>
        <item x="564"/>
        <item x="555"/>
        <item x="345"/>
        <item x="874"/>
        <item x="744"/>
        <item x="602"/>
        <item x="376"/>
        <item x="909"/>
        <item x="768"/>
        <item x="753"/>
        <item x="449"/>
        <item x="804"/>
        <item x="797"/>
        <item x="813"/>
        <item x="507"/>
        <item x="154"/>
        <item x="479"/>
        <item x="724"/>
        <item x="808"/>
        <item x="317"/>
        <item x="691"/>
        <item x="241"/>
        <item x="117"/>
        <item x="745"/>
        <item x="13"/>
        <item x="689"/>
        <item x="723"/>
        <item x="24"/>
        <item x="527"/>
        <item x="346"/>
        <item x="66"/>
        <item x="69"/>
        <item x="141"/>
        <item x="314"/>
        <item x="763"/>
        <item x="411"/>
        <item x="238"/>
        <item x="677"/>
        <item x="820"/>
        <item x="54"/>
        <item x="338"/>
        <item x="739"/>
        <item x="116"/>
        <item x="754"/>
        <item x="638"/>
        <item x="520"/>
        <item x="923"/>
        <item x="109"/>
        <item x="306"/>
        <item x="368"/>
        <item x="743"/>
        <item x="283"/>
        <item x="824"/>
        <item x="95"/>
        <item x="895"/>
        <item x="420"/>
        <item x="252"/>
        <item x="482"/>
        <item x="864"/>
        <item x="477"/>
        <item x="568"/>
        <item x="381"/>
        <item x="831"/>
        <item x="263"/>
        <item x="573"/>
        <item x="840"/>
        <item x="549"/>
        <item x="350"/>
        <item x="732"/>
        <item x="558"/>
        <item x="812"/>
        <item x="433"/>
        <item x="900"/>
        <item x="876"/>
        <item x="849"/>
        <item x="194"/>
        <item x="818"/>
        <item x="871"/>
        <item x="67"/>
        <item x="709"/>
        <item x="475"/>
        <item x="729"/>
        <item x="543"/>
        <item x="287"/>
        <item x="539"/>
        <item x="765"/>
        <item x="358"/>
        <item x="279"/>
        <item x="361"/>
        <item x="875"/>
        <item x="620"/>
        <item x="320"/>
        <item x="919"/>
        <item x="435"/>
        <item x="904"/>
        <item x="835"/>
        <item x="540"/>
        <item x="593"/>
        <item x="772"/>
        <item x="386"/>
        <item x="319"/>
        <item x="74"/>
        <item x="175"/>
        <item x="653"/>
        <item x="617"/>
        <item x="852"/>
        <item x="720"/>
        <item x="485"/>
        <item x="882"/>
        <item x="733"/>
        <item x="460"/>
        <item x="339"/>
        <item x="518"/>
        <item x="250"/>
        <item x="901"/>
        <item x="681"/>
        <item x="698"/>
        <item x="649"/>
        <item x="290"/>
        <item x="683"/>
        <item x="892"/>
        <item x="867"/>
        <item x="348"/>
        <item x="782"/>
        <item x="562"/>
        <item x="315"/>
        <item x="586"/>
        <item x="756"/>
        <item x="189"/>
        <item x="920"/>
        <item x="671"/>
        <item x="2"/>
        <item x="506"/>
        <item x="792"/>
        <item x="703"/>
        <item x="643"/>
        <item x="851"/>
        <item x="610"/>
        <item x="349"/>
        <item x="531"/>
        <item x="575"/>
        <item x="251"/>
        <item x="675"/>
        <item x="64"/>
        <item x="377"/>
        <item x="467"/>
        <item x="670"/>
        <item x="560"/>
        <item x="749"/>
        <item x="886"/>
        <item x="814"/>
        <item x="802"/>
        <item x="796"/>
        <item x="566"/>
        <item x="118"/>
        <item x="622"/>
        <item x="658"/>
        <item x="696"/>
        <item x="517"/>
        <item x="933"/>
        <item x="873"/>
        <item x="537"/>
        <item x="800"/>
        <item x="915"/>
        <item x="817"/>
        <item x="12"/>
        <item x="529"/>
        <item x="650"/>
        <item x="106"/>
        <item x="103"/>
        <item x="323"/>
        <item x="776"/>
        <item x="906"/>
        <item x="930"/>
        <item x="801"/>
        <item x="713"/>
        <item x="474"/>
        <item x="149"/>
        <item x="656"/>
        <item x="868"/>
        <item x="799"/>
        <item x="778"/>
        <item x="847"/>
        <item x="274"/>
        <item x="810"/>
        <item x="916"/>
        <item x="809"/>
        <item x="447"/>
        <item x="764"/>
        <item x="360"/>
        <item x="731"/>
        <item x="493"/>
        <item x="795"/>
        <item x="663"/>
        <item x="185"/>
        <item x="87"/>
        <item x="481"/>
        <item x="177"/>
        <item x="784"/>
        <item x="819"/>
        <item x="519"/>
        <item x="584"/>
        <item x="717"/>
        <item x="700"/>
        <item x="637"/>
        <item x="839"/>
        <item x="44"/>
        <item x="837"/>
        <item x="525"/>
        <item x="40"/>
        <item x="652"/>
        <item x="131"/>
        <item x="838"/>
        <item x="692"/>
        <item x="510"/>
        <item x="223"/>
        <item x="825"/>
        <item x="516"/>
        <item x="786"/>
        <item x="513"/>
        <item x="907"/>
        <item x="714"/>
        <item x="662"/>
        <item x="770"/>
        <item x="311"/>
        <item x="878"/>
        <item x="865"/>
        <item x="924"/>
        <item x="927"/>
        <item x="912"/>
        <item x="688"/>
        <item x="891"/>
        <item x="284"/>
        <item x="781"/>
        <item x="676"/>
        <item x="96"/>
        <item x="747"/>
        <item x="373"/>
        <item x="694"/>
        <item x="806"/>
        <item x="31"/>
        <item x="621"/>
        <item x="416"/>
        <item x="616"/>
        <item x="488"/>
        <item x="626"/>
        <item x="832"/>
        <item x="648"/>
        <item x="880"/>
        <item x="815"/>
        <item x="640"/>
        <item x="499"/>
        <item x="917"/>
        <item x="896"/>
        <item x="702"/>
        <item x="712"/>
        <item x="36"/>
        <item x="914"/>
        <item x="645"/>
        <item x="437"/>
        <item x="718"/>
        <item x="848"/>
        <item x="708"/>
        <item x="833"/>
        <item x="894"/>
        <item t="default"/>
      </items>
      <autoSortScope>
        <pivotArea dataOnly="0" outline="0" fieldPosition="0">
          <references count="1">
            <reference field="4294967294" count="1" selected="0">
              <x v="0"/>
            </reference>
          </references>
        </pivotArea>
      </autoSortScope>
    </pivotField>
    <pivotField showAll="0"/>
    <pivotField numFmtId="15"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numFmtId="15" showAll="0"/>
    <pivotField showAll="0">
      <items count="5">
        <item x="0"/>
        <item x="2"/>
        <item x="1"/>
        <item x="3"/>
        <item t="default"/>
      </items>
    </pivotField>
    <pivotField showAll="0" sortType="descending">
      <items count="6">
        <item x="0"/>
        <item x="3"/>
        <item x="4"/>
        <item x="2"/>
        <item x="1"/>
        <item t="default"/>
      </items>
      <autoSortScope>
        <pivotArea dataOnly="0" outline="0" fieldPosition="0">
          <references count="1">
            <reference field="4294967294" count="1" selected="0">
              <x v="0"/>
            </reference>
          </references>
        </pivotArea>
      </autoSortScope>
    </pivotField>
    <pivotField axis="axisPage" showAll="0" sortType="descending">
      <items count="6">
        <item x="3"/>
        <item x="4"/>
        <item x="1"/>
        <item x="0"/>
        <item x="2"/>
        <item t="default"/>
      </items>
      <autoSortScope>
        <pivotArea dataOnly="0" outline="0" fieldPosition="0">
          <references count="1">
            <reference field="4294967294" count="1" selected="0">
              <x v="0"/>
            </reference>
          </references>
        </pivotArea>
      </autoSortScope>
    </pivotField>
    <pivotField showAll="0"/>
    <pivotField name="County Name" axis="axisRow" showAll="0" sortType="descending">
      <items count="59">
        <item x="21"/>
        <item x="0"/>
        <item x="46"/>
        <item x="51"/>
        <item x="14"/>
        <item x="54"/>
        <item x="1"/>
        <item x="57"/>
        <item x="42"/>
        <item x="2"/>
        <item x="27"/>
        <item x="44"/>
        <item x="33"/>
        <item x="15"/>
        <item x="22"/>
        <item x="34"/>
        <item x="50"/>
        <item x="55"/>
        <item x="3"/>
        <item x="37"/>
        <item x="43"/>
        <item x="40"/>
        <item x="29"/>
        <item x="24"/>
        <item x="39"/>
        <item x="47"/>
        <item x="49"/>
        <item x="16"/>
        <item x="4"/>
        <item x="25"/>
        <item x="5"/>
        <item x="35"/>
        <item x="23"/>
        <item x="6"/>
        <item x="36"/>
        <item x="7"/>
        <item x="8"/>
        <item x="17"/>
        <item x="26"/>
        <item x="41"/>
        <item x="9"/>
        <item x="10"/>
        <item x="11"/>
        <item x="32"/>
        <item x="53"/>
        <item x="48"/>
        <item x="30"/>
        <item x="38"/>
        <item x="18"/>
        <item x="19"/>
        <item x="31"/>
        <item x="12"/>
        <item x="45"/>
        <item x="20"/>
        <item x="52"/>
        <item x="13"/>
        <item x="28"/>
        <item x="56"/>
        <item t="default"/>
      </items>
      <autoSortScope>
        <pivotArea dataOnly="0" outline="0" fieldPosition="0">
          <references count="1">
            <reference field="4294967294" count="1" selected="0">
              <x v="0"/>
            </reference>
          </references>
        </pivotArea>
      </autoSortScope>
    </pivotField>
    <pivotField showAll="0" sortType="descending">
      <items count="16">
        <item x="7"/>
        <item x="3"/>
        <item x="1"/>
        <item x="2"/>
        <item x="5"/>
        <item x="0"/>
        <item x="4"/>
        <item x="6"/>
        <item x="9"/>
        <item x="8"/>
        <item x="14"/>
        <item x="11"/>
        <item x="13"/>
        <item x="10"/>
        <item x="12"/>
        <item t="default"/>
      </items>
      <autoSortScope>
        <pivotArea dataOnly="0" outline="0" fieldPosition="0">
          <references count="1">
            <reference field="4294967294" count="1" selected="0">
              <x v="0"/>
            </reference>
          </references>
        </pivotArea>
      </autoSortScope>
    </pivotField>
    <pivotField showAll="0" sortType="descending">
      <items count="14">
        <item x="0"/>
        <item sd="0" x="1"/>
        <item sd="0" x="2"/>
        <item sd="0" x="3"/>
        <item sd="0" x="4"/>
        <item sd="0" x="5"/>
        <item sd="0" x="6"/>
        <item sd="0" x="7"/>
        <item sd="0" x="8"/>
        <item sd="0" x="9"/>
        <item sd="0" x="10"/>
        <item sd="0" x="11"/>
        <item sd="0" x="12"/>
        <item t="default"/>
      </items>
      <autoSortScope>
        <pivotArea dataOnly="0" outline="0" fieldPosition="0">
          <references count="1">
            <reference field="4294967294" count="1" selected="0">
              <x v="0"/>
            </reference>
          </references>
        </pivotArea>
      </autoSortScope>
    </pivotField>
    <pivotField showAll="0"/>
    <pivotField showAll="0" sortType="descending">
      <items count="8">
        <item x="0"/>
        <item x="1"/>
        <item x="2"/>
        <item x="4"/>
        <item x="3"/>
        <item n="6-10" x="5"/>
        <item n="Above 10" x="6"/>
        <item t="default"/>
      </items>
      <autoSortScope>
        <pivotArea dataOnly="0" outline="0" fieldPosition="0">
          <references count="1">
            <reference field="4294967294" count="1" selected="0">
              <x v="0"/>
            </reference>
          </references>
        </pivotArea>
      </autoSortScope>
    </pivotField>
    <pivotField showAll="0">
      <items count="10">
        <item x="5"/>
        <item x="3"/>
        <item x="1"/>
        <item x="2"/>
        <item x="4"/>
        <item x="0"/>
        <item n="6-10D" sd="0" x="8"/>
        <item n="8-10D" x="6"/>
        <item n="11-15D" x="7"/>
        <item t="default"/>
      </items>
    </pivotField>
    <pivotField showAll="0">
      <items count="15">
        <item x="0"/>
        <item x="1"/>
        <item x="2"/>
        <item x="3"/>
        <item x="4"/>
        <item x="5"/>
        <item x="6"/>
        <item x="7"/>
        <item x="8"/>
        <item x="9"/>
        <item x="10"/>
        <item x="11"/>
        <item x="12"/>
        <item x="13"/>
        <item t="default"/>
      </items>
    </pivotField>
    <pivotField showAll="0">
      <items count="201">
        <item x="4"/>
        <item x="198"/>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199"/>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0"/>
        <item x="1"/>
        <item x="2"/>
        <item x="3"/>
        <item t="default"/>
      </items>
    </pivotField>
  </pivotFields>
  <rowFields count="1">
    <field x="11"/>
  </rowFields>
  <rowItems count="13">
    <i>
      <x v="18"/>
    </i>
    <i>
      <x v="33"/>
    </i>
    <i>
      <x v="42"/>
    </i>
    <i>
      <x v="32"/>
    </i>
    <i>
      <x v="36"/>
    </i>
    <i>
      <x v="53"/>
    </i>
    <i>
      <x v="20"/>
    </i>
    <i>
      <x v="48"/>
    </i>
    <i>
      <x v="49"/>
    </i>
    <i>
      <x v="6"/>
    </i>
    <i>
      <x v="12"/>
    </i>
    <i>
      <x v="35"/>
    </i>
    <i t="grand">
      <x/>
    </i>
  </rowItems>
  <colItems count="1">
    <i/>
  </colItems>
  <pageFields count="1">
    <pageField fld="9" item="0" hier="-1"/>
  </pageFields>
  <dataFields count="1">
    <dataField name="Count of TX ID" fld="0" subtotal="count" showDataAs="percentOfTotal"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6F8817DA-C68D-44EC-B6EE-5B4615DE9720}" name="PivotTable10"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rowHeaderCaption="WeekNum ">
  <location ref="A182:D196" firstHeaderRow="0" firstDataRow="1" firstDataCol="1" rowPageCount="1" colPageCount="1"/>
  <pivotFields count="19">
    <pivotField dataField="1" showAll="0"/>
    <pivotField showAll="0">
      <items count="21">
        <item x="14"/>
        <item x="10"/>
        <item x="12"/>
        <item x="15"/>
        <item x="4"/>
        <item x="7"/>
        <item x="6"/>
        <item x="19"/>
        <item x="18"/>
        <item x="11"/>
        <item x="17"/>
        <item x="5"/>
        <item x="0"/>
        <item x="2"/>
        <item x="9"/>
        <item x="16"/>
        <item x="1"/>
        <item x="13"/>
        <item x="8"/>
        <item x="3"/>
        <item t="default"/>
      </items>
    </pivotField>
    <pivotField dataField="1"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items count="935">
        <item x="178"/>
        <item x="159"/>
        <item x="97"/>
        <item x="441"/>
        <item x="265"/>
        <item x="401"/>
        <item x="0"/>
        <item x="408"/>
        <item x="229"/>
        <item x="370"/>
        <item x="61"/>
        <item x="463"/>
        <item x="860"/>
        <item x="604"/>
        <item x="426"/>
        <item x="608"/>
        <item x="877"/>
        <item x="932"/>
        <item x="822"/>
        <item x="150"/>
        <item x="335"/>
        <item x="885"/>
        <item x="888"/>
        <item x="169"/>
        <item x="609"/>
        <item x="826"/>
        <item x="905"/>
        <item x="862"/>
        <item x="270"/>
        <item x="221"/>
        <item x="503"/>
        <item x="476"/>
        <item x="536"/>
        <item x="388"/>
        <item x="678"/>
        <item x="455"/>
        <item x="83"/>
        <item x="255"/>
        <item x="137"/>
        <item x="35"/>
        <item x="496"/>
        <item x="398"/>
        <item x="342"/>
        <item x="261"/>
        <item x="857"/>
        <item x="655"/>
        <item x="879"/>
        <item x="639"/>
        <item x="569"/>
        <item x="384"/>
        <item x="929"/>
        <item x="771"/>
        <item x="727"/>
        <item x="161"/>
        <item x="893"/>
        <item x="25"/>
        <item x="228"/>
        <item x="130"/>
        <item x="71"/>
        <item x="53"/>
        <item x="606"/>
        <item x="762"/>
        <item x="383"/>
        <item x="856"/>
        <item x="99"/>
        <item x="465"/>
        <item x="585"/>
        <item x="333"/>
        <item x="104"/>
        <item x="129"/>
        <item x="30"/>
        <item x="359"/>
        <item x="55"/>
        <item x="918"/>
        <item x="415"/>
        <item x="266"/>
        <item x="478"/>
        <item x="82"/>
        <item x="157"/>
        <item x="490"/>
        <item x="260"/>
        <item x="736"/>
        <item x="127"/>
        <item x="293"/>
        <item x="580"/>
        <item x="468"/>
        <item x="289"/>
        <item x="390"/>
        <item x="588"/>
        <item x="65"/>
        <item x="438"/>
        <item x="191"/>
        <item x="210"/>
        <item x="302"/>
        <item x="332"/>
        <item x="592"/>
        <item x="33"/>
        <item x="301"/>
        <item x="421"/>
        <item x="595"/>
        <item x="237"/>
        <item x="597"/>
        <item x="208"/>
        <item x="9"/>
        <item x="243"/>
        <item x="351"/>
        <item x="188"/>
        <item x="625"/>
        <item x="409"/>
        <item x="887"/>
        <item x="59"/>
        <item x="372"/>
        <item x="121"/>
        <item x="139"/>
        <item x="234"/>
        <item x="174"/>
        <item x="483"/>
        <item x="273"/>
        <item x="209"/>
        <item x="661"/>
        <item x="512"/>
        <item x="51"/>
        <item x="278"/>
        <item x="249"/>
        <item x="362"/>
        <item x="605"/>
        <item x="486"/>
        <item x="187"/>
        <item x="769"/>
        <item x="403"/>
        <item x="19"/>
        <item x="631"/>
        <item x="855"/>
        <item x="423"/>
        <item x="170"/>
        <item x="679"/>
        <item x="136"/>
        <item x="122"/>
        <item x="269"/>
        <item x="615"/>
        <item x="457"/>
        <item x="133"/>
        <item x="23"/>
        <item x="38"/>
        <item x="439"/>
        <item x="494"/>
        <item x="48"/>
        <item x="436"/>
        <item x="49"/>
        <item x="399"/>
        <item x="295"/>
        <item x="807"/>
        <item x="336"/>
        <item x="231"/>
        <item x="843"/>
        <item x="389"/>
        <item x="646"/>
        <item x="343"/>
        <item x="627"/>
        <item x="257"/>
        <item x="742"/>
        <item x="805"/>
        <item x="70"/>
        <item x="365"/>
        <item x="85"/>
        <item x="167"/>
        <item x="144"/>
        <item x="538"/>
        <item x="690"/>
        <item x="581"/>
        <item x="402"/>
        <item x="143"/>
        <item x="647"/>
        <item x="669"/>
        <item x="686"/>
        <item x="47"/>
        <item x="755"/>
        <item x="32"/>
        <item x="500"/>
        <item x="90"/>
        <item x="224"/>
        <item x="165"/>
        <item x="248"/>
        <item x="162"/>
        <item x="1"/>
        <item x="630"/>
        <item x="607"/>
        <item x="15"/>
        <item x="452"/>
        <item x="16"/>
        <item x="63"/>
        <item x="375"/>
        <item x="541"/>
        <item x="217"/>
        <item x="680"/>
        <item x="132"/>
        <item x="216"/>
        <item x="590"/>
        <item x="34"/>
        <item x="201"/>
        <item x="380"/>
        <item x="240"/>
        <item x="498"/>
        <item x="504"/>
        <item x="101"/>
        <item x="195"/>
        <item x="413"/>
        <item x="619"/>
        <item x="614"/>
        <item x="199"/>
        <item x="846"/>
        <item x="57"/>
        <item x="172"/>
        <item x="232"/>
        <item x="570"/>
        <item x="532"/>
        <item x="601"/>
        <item x="412"/>
        <item x="324"/>
        <item x="268"/>
        <item x="120"/>
        <item x="695"/>
        <item x="766"/>
        <item x="176"/>
        <item x="292"/>
        <item x="267"/>
        <item x="271"/>
        <item x="775"/>
        <item x="334"/>
        <item x="200"/>
        <item x="341"/>
        <item x="908"/>
        <item x="803"/>
        <item x="533"/>
        <item x="8"/>
        <item x="385"/>
        <item x="275"/>
        <item x="307"/>
        <item x="160"/>
        <item x="310"/>
        <item x="791"/>
        <item x="128"/>
        <item x="355"/>
        <item x="17"/>
        <item x="294"/>
        <item x="78"/>
        <item x="711"/>
        <item x="571"/>
        <item x="719"/>
        <item x="790"/>
        <item x="105"/>
        <item x="484"/>
        <item x="151"/>
        <item x="410"/>
        <item x="3"/>
        <item x="256"/>
        <item x="430"/>
        <item x="545"/>
        <item x="202"/>
        <item x="751"/>
        <item x="629"/>
        <item x="153"/>
        <item x="392"/>
        <item x="26"/>
        <item x="665"/>
        <item x="400"/>
        <item x="37"/>
        <item x="644"/>
        <item x="406"/>
        <item x="418"/>
        <item x="632"/>
        <item x="557"/>
        <item x="180"/>
        <item x="138"/>
        <item x="759"/>
        <item x="811"/>
        <item x="152"/>
        <item x="464"/>
        <item x="931"/>
        <item x="7"/>
        <item x="664"/>
        <item x="145"/>
        <item x="722"/>
        <item x="253"/>
        <item x="363"/>
        <item x="446"/>
        <item x="29"/>
        <item x="758"/>
        <item x="387"/>
        <item x="397"/>
        <item x="50"/>
        <item x="329"/>
        <item x="654"/>
        <item x="52"/>
        <item x="80"/>
        <item x="245"/>
        <item x="300"/>
        <item x="624"/>
        <item x="567"/>
        <item x="318"/>
        <item x="394"/>
        <item x="687"/>
        <item x="325"/>
        <item x="272"/>
        <item x="443"/>
        <item x="429"/>
        <item x="280"/>
        <item x="39"/>
        <item x="522"/>
        <item x="705"/>
        <item x="171"/>
        <item x="347"/>
        <item x="458"/>
        <item x="535"/>
        <item x="20"/>
        <item x="910"/>
        <item x="548"/>
        <item x="369"/>
        <item x="236"/>
        <item x="112"/>
        <item x="73"/>
        <item x="239"/>
        <item x="926"/>
        <item x="613"/>
        <item x="788"/>
        <item x="125"/>
        <item x="303"/>
        <item x="226"/>
        <item x="291"/>
        <item x="299"/>
        <item x="102"/>
        <item x="600"/>
        <item x="357"/>
        <item x="108"/>
        <item x="511"/>
        <item x="206"/>
        <item x="544"/>
        <item x="354"/>
        <item x="193"/>
        <item x="425"/>
        <item x="340"/>
        <item x="587"/>
        <item x="594"/>
        <item x="21"/>
        <item x="84"/>
        <item x="528"/>
        <item x="642"/>
        <item x="344"/>
        <item x="550"/>
        <item x="219"/>
        <item x="68"/>
        <item x="356"/>
        <item x="672"/>
        <item x="134"/>
        <item x="367"/>
        <item x="196"/>
        <item x="142"/>
        <item x="297"/>
        <item x="591"/>
        <item x="72"/>
        <item x="286"/>
        <item x="379"/>
        <item x="242"/>
        <item x="126"/>
        <item x="816"/>
        <item x="11"/>
        <item x="182"/>
        <item x="364"/>
        <item x="660"/>
        <item x="183"/>
        <item x="432"/>
        <item x="659"/>
        <item x="235"/>
        <item x="850"/>
        <item x="308"/>
        <item x="869"/>
        <item x="534"/>
        <item x="612"/>
        <item x="88"/>
        <item x="93"/>
        <item x="79"/>
        <item x="155"/>
        <item x="179"/>
        <item x="28"/>
        <item x="707"/>
        <item x="18"/>
        <item x="440"/>
        <item x="353"/>
        <item x="258"/>
        <item x="599"/>
        <item x="728"/>
        <item x="309"/>
        <item x="147"/>
        <item x="424"/>
        <item x="168"/>
        <item x="184"/>
        <item x="793"/>
        <item x="574"/>
        <item x="515"/>
        <item x="166"/>
        <item x="699"/>
        <item x="119"/>
        <item x="434"/>
        <item x="422"/>
        <item x="98"/>
        <item x="213"/>
        <item x="459"/>
        <item x="230"/>
        <item x="789"/>
        <item x="582"/>
        <item x="526"/>
        <item x="589"/>
        <item x="190"/>
        <item x="641"/>
        <item x="715"/>
        <item x="706"/>
        <item x="352"/>
        <item x="10"/>
        <item x="42"/>
        <item x="514"/>
        <item x="86"/>
        <item x="76"/>
        <item x="123"/>
        <item x="173"/>
        <item x="282"/>
        <item x="204"/>
        <item x="6"/>
        <item x="842"/>
        <item x="572"/>
        <item x="495"/>
        <item x="740"/>
        <item x="502"/>
        <item x="218"/>
        <item x="628"/>
        <item x="634"/>
        <item x="623"/>
        <item x="576"/>
        <item x="448"/>
        <item x="472"/>
        <item x="4"/>
        <item x="382"/>
        <item x="881"/>
        <item x="551"/>
        <item x="140"/>
        <item x="27"/>
        <item x="405"/>
        <item x="214"/>
        <item x="884"/>
        <item x="222"/>
        <item x="461"/>
        <item x="211"/>
        <item x="787"/>
        <item x="491"/>
        <item x="215"/>
        <item x="296"/>
        <item x="207"/>
        <item x="277"/>
        <item x="635"/>
        <item x="75"/>
        <item x="785"/>
        <item x="466"/>
        <item x="395"/>
        <item x="721"/>
        <item x="523"/>
        <item x="737"/>
        <item x="542"/>
        <item x="233"/>
        <item x="684"/>
        <item x="115"/>
        <item x="396"/>
        <item x="316"/>
        <item x="841"/>
        <item x="110"/>
        <item x="738"/>
        <item x="322"/>
        <item x="247"/>
        <item x="530"/>
        <item x="701"/>
        <item x="552"/>
        <item x="553"/>
        <item x="156"/>
        <item x="501"/>
        <item x="750"/>
        <item x="148"/>
        <item x="854"/>
        <item x="89"/>
        <item x="480"/>
        <item x="227"/>
        <item x="547"/>
        <item x="205"/>
        <item x="198"/>
        <item x="556"/>
        <item x="470"/>
        <item x="366"/>
        <item x="829"/>
        <item x="407"/>
        <item x="821"/>
        <item x="94"/>
        <item x="56"/>
        <item x="113"/>
        <item x="734"/>
        <item x="427"/>
        <item x="305"/>
        <item x="46"/>
        <item x="259"/>
        <item x="565"/>
        <item x="761"/>
        <item x="444"/>
        <item x="58"/>
        <item x="780"/>
        <item x="281"/>
        <item x="554"/>
        <item x="337"/>
        <item x="497"/>
        <item x="92"/>
        <item x="146"/>
        <item x="203"/>
        <item x="225"/>
        <item x="456"/>
        <item x="313"/>
        <item x="404"/>
        <item x="834"/>
        <item x="244"/>
        <item x="779"/>
        <item x="757"/>
        <item x="667"/>
        <item x="730"/>
        <item x="633"/>
        <item x="563"/>
        <item x="450"/>
        <item x="14"/>
        <item x="114"/>
        <item x="668"/>
        <item x="783"/>
        <item x="618"/>
        <item x="748"/>
        <item x="246"/>
        <item x="212"/>
        <item x="509"/>
        <item x="469"/>
        <item x="666"/>
        <item x="735"/>
        <item x="197"/>
        <item x="704"/>
        <item x="657"/>
        <item x="419"/>
        <item x="43"/>
        <item x="596"/>
        <item x="794"/>
        <item x="725"/>
        <item x="192"/>
        <item x="276"/>
        <item x="62"/>
        <item x="327"/>
        <item x="135"/>
        <item x="181"/>
        <item x="393"/>
        <item x="330"/>
        <item x="579"/>
        <item x="163"/>
        <item x="673"/>
        <item x="451"/>
        <item x="264"/>
        <item x="911"/>
        <item x="431"/>
        <item x="578"/>
        <item x="471"/>
        <item x="45"/>
        <item x="60"/>
        <item x="760"/>
        <item x="254"/>
        <item x="674"/>
        <item x="598"/>
        <item x="925"/>
        <item x="928"/>
        <item x="774"/>
        <item x="866"/>
        <item x="489"/>
        <item x="583"/>
        <item x="462"/>
        <item x="559"/>
        <item x="391"/>
        <item x="524"/>
        <item x="899"/>
        <item x="111"/>
        <item x="378"/>
        <item x="651"/>
        <item x="508"/>
        <item x="773"/>
        <item x="858"/>
        <item x="326"/>
        <item x="746"/>
        <item x="603"/>
        <item x="417"/>
        <item x="752"/>
        <item x="492"/>
        <item x="91"/>
        <item x="285"/>
        <item x="487"/>
        <item x="374"/>
        <item x="913"/>
        <item x="577"/>
        <item x="859"/>
        <item x="124"/>
        <item x="836"/>
        <item x="823"/>
        <item x="164"/>
        <item x="767"/>
        <item x="903"/>
        <item x="107"/>
        <item x="897"/>
        <item x="741"/>
        <item x="828"/>
        <item x="863"/>
        <item x="81"/>
        <item x="693"/>
        <item x="312"/>
        <item x="777"/>
        <item x="710"/>
        <item x="505"/>
        <item x="158"/>
        <item x="473"/>
        <item x="898"/>
        <item x="716"/>
        <item x="685"/>
        <item x="77"/>
        <item x="561"/>
        <item x="414"/>
        <item x="546"/>
        <item x="304"/>
        <item x="22"/>
        <item x="442"/>
        <item x="889"/>
        <item x="454"/>
        <item x="611"/>
        <item x="902"/>
        <item x="697"/>
        <item x="853"/>
        <item x="41"/>
        <item x="827"/>
        <item x="262"/>
        <item x="328"/>
        <item x="830"/>
        <item x="870"/>
        <item x="453"/>
        <item x="521"/>
        <item x="186"/>
        <item x="428"/>
        <item x="844"/>
        <item x="220"/>
        <item x="921"/>
        <item x="682"/>
        <item x="445"/>
        <item x="890"/>
        <item x="321"/>
        <item x="298"/>
        <item x="5"/>
        <item x="331"/>
        <item x="371"/>
        <item x="861"/>
        <item x="922"/>
        <item x="726"/>
        <item x="883"/>
        <item x="636"/>
        <item x="872"/>
        <item x="845"/>
        <item x="100"/>
        <item x="798"/>
        <item x="288"/>
        <item x="564"/>
        <item x="555"/>
        <item x="345"/>
        <item x="874"/>
        <item x="744"/>
        <item x="602"/>
        <item x="376"/>
        <item x="909"/>
        <item x="768"/>
        <item x="753"/>
        <item x="449"/>
        <item x="804"/>
        <item x="797"/>
        <item x="813"/>
        <item x="507"/>
        <item x="154"/>
        <item x="479"/>
        <item x="724"/>
        <item x="808"/>
        <item x="317"/>
        <item x="691"/>
        <item x="241"/>
        <item x="117"/>
        <item x="745"/>
        <item x="13"/>
        <item x="689"/>
        <item x="723"/>
        <item x="24"/>
        <item x="527"/>
        <item x="346"/>
        <item x="66"/>
        <item x="69"/>
        <item x="141"/>
        <item x="314"/>
        <item x="763"/>
        <item x="411"/>
        <item x="238"/>
        <item x="677"/>
        <item x="820"/>
        <item x="54"/>
        <item x="338"/>
        <item x="739"/>
        <item x="116"/>
        <item x="754"/>
        <item x="638"/>
        <item x="520"/>
        <item x="923"/>
        <item x="109"/>
        <item x="306"/>
        <item x="368"/>
        <item x="743"/>
        <item x="283"/>
        <item x="824"/>
        <item x="95"/>
        <item x="895"/>
        <item x="420"/>
        <item x="252"/>
        <item x="482"/>
        <item x="864"/>
        <item x="477"/>
        <item x="568"/>
        <item x="381"/>
        <item x="831"/>
        <item x="263"/>
        <item x="573"/>
        <item x="840"/>
        <item x="549"/>
        <item x="350"/>
        <item x="732"/>
        <item x="558"/>
        <item x="812"/>
        <item x="433"/>
        <item x="900"/>
        <item x="876"/>
        <item x="849"/>
        <item x="194"/>
        <item x="818"/>
        <item x="871"/>
        <item x="67"/>
        <item x="709"/>
        <item x="475"/>
        <item x="729"/>
        <item x="543"/>
        <item x="287"/>
        <item x="539"/>
        <item x="765"/>
        <item x="358"/>
        <item x="279"/>
        <item x="361"/>
        <item x="875"/>
        <item x="620"/>
        <item x="320"/>
        <item x="919"/>
        <item x="435"/>
        <item x="904"/>
        <item x="835"/>
        <item x="540"/>
        <item x="593"/>
        <item x="772"/>
        <item x="386"/>
        <item x="319"/>
        <item x="74"/>
        <item x="175"/>
        <item x="653"/>
        <item x="617"/>
        <item x="852"/>
        <item x="720"/>
        <item x="485"/>
        <item x="882"/>
        <item x="733"/>
        <item x="460"/>
        <item x="339"/>
        <item x="518"/>
        <item x="250"/>
        <item x="901"/>
        <item x="681"/>
        <item x="698"/>
        <item x="649"/>
        <item x="290"/>
        <item x="683"/>
        <item x="892"/>
        <item x="867"/>
        <item x="348"/>
        <item x="782"/>
        <item x="562"/>
        <item x="315"/>
        <item x="586"/>
        <item x="756"/>
        <item x="189"/>
        <item x="920"/>
        <item x="671"/>
        <item x="2"/>
        <item x="506"/>
        <item x="792"/>
        <item x="703"/>
        <item x="643"/>
        <item x="851"/>
        <item x="610"/>
        <item x="349"/>
        <item x="531"/>
        <item x="575"/>
        <item x="251"/>
        <item x="675"/>
        <item x="64"/>
        <item x="377"/>
        <item x="467"/>
        <item x="670"/>
        <item x="560"/>
        <item x="749"/>
        <item x="886"/>
        <item x="814"/>
        <item x="802"/>
        <item x="796"/>
        <item x="566"/>
        <item x="118"/>
        <item x="622"/>
        <item x="658"/>
        <item x="696"/>
        <item x="517"/>
        <item x="933"/>
        <item x="873"/>
        <item x="537"/>
        <item x="800"/>
        <item x="915"/>
        <item x="817"/>
        <item x="12"/>
        <item x="529"/>
        <item x="650"/>
        <item x="106"/>
        <item x="103"/>
        <item x="323"/>
        <item x="776"/>
        <item x="906"/>
        <item x="930"/>
        <item x="801"/>
        <item x="713"/>
        <item x="474"/>
        <item x="149"/>
        <item x="656"/>
        <item x="868"/>
        <item x="799"/>
        <item x="778"/>
        <item x="847"/>
        <item x="274"/>
        <item x="810"/>
        <item x="916"/>
        <item x="809"/>
        <item x="447"/>
        <item x="764"/>
        <item x="360"/>
        <item x="731"/>
        <item x="493"/>
        <item x="795"/>
        <item x="663"/>
        <item x="185"/>
        <item x="87"/>
        <item x="481"/>
        <item x="177"/>
        <item x="784"/>
        <item x="819"/>
        <item x="519"/>
        <item x="584"/>
        <item x="717"/>
        <item x="700"/>
        <item x="637"/>
        <item x="839"/>
        <item x="44"/>
        <item x="837"/>
        <item x="525"/>
        <item x="40"/>
        <item x="652"/>
        <item x="131"/>
        <item x="838"/>
        <item x="692"/>
        <item x="510"/>
        <item x="223"/>
        <item x="825"/>
        <item x="516"/>
        <item x="786"/>
        <item x="513"/>
        <item x="907"/>
        <item x="714"/>
        <item x="662"/>
        <item x="770"/>
        <item x="311"/>
        <item x="878"/>
        <item x="865"/>
        <item x="924"/>
        <item x="927"/>
        <item x="912"/>
        <item x="688"/>
        <item x="891"/>
        <item x="284"/>
        <item x="781"/>
        <item x="676"/>
        <item x="96"/>
        <item x="747"/>
        <item x="373"/>
        <item x="694"/>
        <item x="806"/>
        <item x="31"/>
        <item x="621"/>
        <item x="416"/>
        <item x="616"/>
        <item x="488"/>
        <item x="626"/>
        <item x="832"/>
        <item x="648"/>
        <item x="880"/>
        <item x="815"/>
        <item x="640"/>
        <item x="499"/>
        <item x="917"/>
        <item x="896"/>
        <item x="702"/>
        <item x="712"/>
        <item x="36"/>
        <item x="914"/>
        <item x="645"/>
        <item x="437"/>
        <item x="718"/>
        <item x="848"/>
        <item x="708"/>
        <item x="833"/>
        <item x="894"/>
        <item t="default"/>
      </items>
    </pivotField>
    <pivotField dataField="1" showAll="0"/>
    <pivotField numFmtId="15"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numFmtId="15" showAll="0"/>
    <pivotField showAll="0">
      <items count="5">
        <item x="0"/>
        <item x="2"/>
        <item x="1"/>
        <item x="3"/>
        <item t="default"/>
      </items>
    </pivotField>
    <pivotField axis="axisPage" showAll="0">
      <items count="6">
        <item x="0"/>
        <item x="3"/>
        <item x="4"/>
        <item x="2"/>
        <item x="1"/>
        <item t="default"/>
      </items>
    </pivotField>
    <pivotField showAll="0">
      <items count="6">
        <item x="3"/>
        <item x="4"/>
        <item x="1"/>
        <item x="0"/>
        <item x="2"/>
        <item t="default"/>
      </items>
    </pivotField>
    <pivotField showAll="0"/>
    <pivotField name="County Name" showAll="0"/>
    <pivotField showAll="0">
      <items count="16">
        <item x="7"/>
        <item x="3"/>
        <item x="1"/>
        <item x="2"/>
        <item x="5"/>
        <item x="0"/>
        <item x="4"/>
        <item x="6"/>
        <item x="9"/>
        <item x="8"/>
        <item x="14"/>
        <item x="11"/>
        <item x="13"/>
        <item x="10"/>
        <item x="12"/>
        <item t="default"/>
      </items>
    </pivotField>
    <pivotField axis="axisRow" showAll="0" sortType="descending">
      <items count="14">
        <item x="0"/>
        <item sd="0" x="1"/>
        <item sd="0" x="2"/>
        <item sd="0" x="3"/>
        <item sd="0" x="4"/>
        <item sd="0" x="5"/>
        <item sd="0" x="6"/>
        <item sd="0" x="7"/>
        <item sd="0" x="8"/>
        <item sd="0" x="9"/>
        <item sd="0" x="10"/>
        <item sd="0" x="11"/>
        <item sd="0" x="12"/>
        <item t="default"/>
      </items>
      <autoSortScope>
        <pivotArea dataOnly="0" outline="0" fieldPosition="0">
          <references count="1">
            <reference field="4294967294" count="1" selected="0">
              <x v="1"/>
            </reference>
          </references>
        </pivotArea>
      </autoSortScope>
    </pivotField>
    <pivotField showAll="0"/>
    <pivotField showAll="0">
      <items count="8">
        <item x="0"/>
        <item x="1"/>
        <item x="2"/>
        <item x="4"/>
        <item x="3"/>
        <item x="5"/>
        <item x="6"/>
        <item t="default"/>
      </items>
    </pivotField>
    <pivotField showAll="0">
      <items count="10">
        <item x="5"/>
        <item x="3"/>
        <item x="1"/>
        <item x="2"/>
        <item x="4"/>
        <item x="0"/>
        <item x="8"/>
        <item x="6"/>
        <item x="7"/>
        <item t="default"/>
      </items>
    </pivotField>
    <pivotField showAll="0">
      <items count="15">
        <item x="0"/>
        <item x="1"/>
        <item x="2"/>
        <item x="3"/>
        <item x="4"/>
        <item x="5"/>
        <item x="6"/>
        <item x="7"/>
        <item x="8"/>
        <item x="9"/>
        <item x="10"/>
        <item x="11"/>
        <item x="12"/>
        <item x="13"/>
        <item t="default"/>
      </items>
    </pivotField>
    <pivotField showAll="0">
      <items count="201">
        <item x="4"/>
        <item x="198"/>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199"/>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0"/>
        <item x="1"/>
        <item x="2"/>
        <item x="3"/>
        <item t="default"/>
      </items>
    </pivotField>
  </pivotFields>
  <rowFields count="1">
    <field x="13"/>
  </rowFields>
  <rowItems count="14">
    <i>
      <x v="9"/>
    </i>
    <i>
      <x/>
    </i>
    <i>
      <x v="5"/>
    </i>
    <i>
      <x v="3"/>
    </i>
    <i>
      <x v="11"/>
    </i>
    <i>
      <x v="4"/>
    </i>
    <i>
      <x v="8"/>
    </i>
    <i>
      <x v="10"/>
    </i>
    <i>
      <x v="6"/>
    </i>
    <i>
      <x v="7"/>
    </i>
    <i>
      <x v="12"/>
    </i>
    <i>
      <x v="1"/>
    </i>
    <i>
      <x v="2"/>
    </i>
    <i t="grand">
      <x/>
    </i>
  </rowItems>
  <colFields count="1">
    <field x="-2"/>
  </colFields>
  <colItems count="3">
    <i>
      <x/>
    </i>
    <i i="1">
      <x v="1"/>
    </i>
    <i i="2">
      <x v="2"/>
    </i>
  </colItems>
  <pageFields count="1">
    <pageField fld="8" item="1" hier="-1"/>
  </pageFields>
  <dataFields count="3">
    <dataField name="Count of TX ID" fld="0" subtotal="count" baseField="0" baseItem="0"/>
    <dataField name="Sum of Amount" fld="4" baseField="0" baseItem="0"/>
    <dataField name="Sum of Quantity" fld="2" baseField="0" baseItem="0"/>
  </dataFields>
  <formats count="1">
    <format dxfId="2">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170704AB-9B7A-4AA1-8749-328E34379BF4}" name="PivotTable6"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rowHeaderCaption="County">
  <location ref="A87:B146" firstHeaderRow="1" firstDataRow="1" firstDataCol="1" rowPageCount="1" colPageCount="1"/>
  <pivotFields count="19">
    <pivotField dataField="1" showAll="0"/>
    <pivotField multipleItemSelectionAllowed="1" showAll="0">
      <items count="21">
        <item h="1" x="14"/>
        <item h="1" x="10"/>
        <item h="1" x="12"/>
        <item h="1" x="15"/>
        <item x="4"/>
        <item h="1" x="7"/>
        <item h="1" x="6"/>
        <item h="1" x="19"/>
        <item h="1" x="18"/>
        <item h="1" x="11"/>
        <item h="1" x="17"/>
        <item h="1" x="5"/>
        <item x="0"/>
        <item h="1" x="2"/>
        <item h="1" x="9"/>
        <item h="1" x="16"/>
        <item h="1" x="1"/>
        <item h="1" x="13"/>
        <item h="1" x="8"/>
        <item h="1" x="3"/>
        <item t="default"/>
      </items>
    </pivotField>
    <pivotField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items count="935">
        <item x="178"/>
        <item x="159"/>
        <item x="97"/>
        <item x="441"/>
        <item x="265"/>
        <item x="401"/>
        <item x="0"/>
        <item x="408"/>
        <item x="229"/>
        <item x="370"/>
        <item x="61"/>
        <item x="463"/>
        <item x="860"/>
        <item x="604"/>
        <item x="426"/>
        <item x="608"/>
        <item x="877"/>
        <item x="932"/>
        <item x="822"/>
        <item x="150"/>
        <item x="335"/>
        <item x="885"/>
        <item x="888"/>
        <item x="169"/>
        <item x="609"/>
        <item x="826"/>
        <item x="905"/>
        <item x="862"/>
        <item x="270"/>
        <item x="221"/>
        <item x="503"/>
        <item x="476"/>
        <item x="536"/>
        <item x="388"/>
        <item x="678"/>
        <item x="455"/>
        <item x="83"/>
        <item x="255"/>
        <item x="137"/>
        <item x="35"/>
        <item x="496"/>
        <item x="398"/>
        <item x="342"/>
        <item x="261"/>
        <item x="857"/>
        <item x="655"/>
        <item x="879"/>
        <item x="639"/>
        <item x="569"/>
        <item x="384"/>
        <item x="929"/>
        <item x="771"/>
        <item x="727"/>
        <item x="161"/>
        <item x="893"/>
        <item x="25"/>
        <item x="228"/>
        <item x="130"/>
        <item x="71"/>
        <item x="53"/>
        <item x="606"/>
        <item x="762"/>
        <item x="383"/>
        <item x="856"/>
        <item x="99"/>
        <item x="465"/>
        <item x="585"/>
        <item x="333"/>
        <item x="104"/>
        <item x="129"/>
        <item x="30"/>
        <item x="359"/>
        <item x="55"/>
        <item x="918"/>
        <item x="415"/>
        <item x="266"/>
        <item x="478"/>
        <item x="82"/>
        <item x="157"/>
        <item x="490"/>
        <item x="260"/>
        <item x="736"/>
        <item x="127"/>
        <item x="293"/>
        <item x="580"/>
        <item x="468"/>
        <item x="289"/>
        <item x="390"/>
        <item x="588"/>
        <item x="65"/>
        <item x="438"/>
        <item x="191"/>
        <item x="210"/>
        <item x="302"/>
        <item x="332"/>
        <item x="592"/>
        <item x="33"/>
        <item x="301"/>
        <item x="421"/>
        <item x="595"/>
        <item x="237"/>
        <item x="597"/>
        <item x="208"/>
        <item x="9"/>
        <item x="243"/>
        <item x="351"/>
        <item x="188"/>
        <item x="625"/>
        <item x="409"/>
        <item x="887"/>
        <item x="59"/>
        <item x="372"/>
        <item x="121"/>
        <item x="139"/>
        <item x="234"/>
        <item x="174"/>
        <item x="483"/>
        <item x="273"/>
        <item x="209"/>
        <item x="661"/>
        <item x="512"/>
        <item x="51"/>
        <item x="278"/>
        <item x="249"/>
        <item x="362"/>
        <item x="605"/>
        <item x="486"/>
        <item x="187"/>
        <item x="769"/>
        <item x="403"/>
        <item x="19"/>
        <item x="631"/>
        <item x="855"/>
        <item x="423"/>
        <item x="170"/>
        <item x="679"/>
        <item x="136"/>
        <item x="122"/>
        <item x="269"/>
        <item x="615"/>
        <item x="457"/>
        <item x="133"/>
        <item x="23"/>
        <item x="38"/>
        <item x="439"/>
        <item x="494"/>
        <item x="48"/>
        <item x="436"/>
        <item x="49"/>
        <item x="399"/>
        <item x="295"/>
        <item x="807"/>
        <item x="336"/>
        <item x="231"/>
        <item x="843"/>
        <item x="389"/>
        <item x="646"/>
        <item x="343"/>
        <item x="627"/>
        <item x="257"/>
        <item x="742"/>
        <item x="805"/>
        <item x="70"/>
        <item x="365"/>
        <item x="85"/>
        <item x="167"/>
        <item x="144"/>
        <item x="538"/>
        <item x="690"/>
        <item x="581"/>
        <item x="402"/>
        <item x="143"/>
        <item x="647"/>
        <item x="669"/>
        <item x="686"/>
        <item x="47"/>
        <item x="755"/>
        <item x="32"/>
        <item x="500"/>
        <item x="90"/>
        <item x="224"/>
        <item x="165"/>
        <item x="248"/>
        <item x="162"/>
        <item x="1"/>
        <item x="630"/>
        <item x="607"/>
        <item x="15"/>
        <item x="452"/>
        <item x="16"/>
        <item x="63"/>
        <item x="375"/>
        <item x="541"/>
        <item x="217"/>
        <item x="680"/>
        <item x="132"/>
        <item x="216"/>
        <item x="590"/>
        <item x="34"/>
        <item x="201"/>
        <item x="380"/>
        <item x="240"/>
        <item x="498"/>
        <item x="504"/>
        <item x="101"/>
        <item x="195"/>
        <item x="413"/>
        <item x="619"/>
        <item x="614"/>
        <item x="199"/>
        <item x="846"/>
        <item x="57"/>
        <item x="172"/>
        <item x="232"/>
        <item x="570"/>
        <item x="532"/>
        <item x="601"/>
        <item x="412"/>
        <item x="324"/>
        <item x="268"/>
        <item x="120"/>
        <item x="695"/>
        <item x="766"/>
        <item x="176"/>
        <item x="292"/>
        <item x="267"/>
        <item x="271"/>
        <item x="775"/>
        <item x="334"/>
        <item x="200"/>
        <item x="341"/>
        <item x="908"/>
        <item x="803"/>
        <item x="533"/>
        <item x="8"/>
        <item x="385"/>
        <item x="275"/>
        <item x="307"/>
        <item x="160"/>
        <item x="310"/>
        <item x="791"/>
        <item x="128"/>
        <item x="355"/>
        <item x="17"/>
        <item x="294"/>
        <item x="78"/>
        <item x="711"/>
        <item x="571"/>
        <item x="719"/>
        <item x="790"/>
        <item x="105"/>
        <item x="484"/>
        <item x="151"/>
        <item x="410"/>
        <item x="3"/>
        <item x="256"/>
        <item x="430"/>
        <item x="545"/>
        <item x="202"/>
        <item x="751"/>
        <item x="629"/>
        <item x="153"/>
        <item x="392"/>
        <item x="26"/>
        <item x="665"/>
        <item x="400"/>
        <item x="37"/>
        <item x="644"/>
        <item x="406"/>
        <item x="418"/>
        <item x="632"/>
        <item x="557"/>
        <item x="180"/>
        <item x="138"/>
        <item x="759"/>
        <item x="811"/>
        <item x="152"/>
        <item x="464"/>
        <item x="931"/>
        <item x="7"/>
        <item x="664"/>
        <item x="145"/>
        <item x="722"/>
        <item x="253"/>
        <item x="363"/>
        <item x="446"/>
        <item x="29"/>
        <item x="758"/>
        <item x="387"/>
        <item x="397"/>
        <item x="50"/>
        <item x="329"/>
        <item x="654"/>
        <item x="52"/>
        <item x="80"/>
        <item x="245"/>
        <item x="300"/>
        <item x="624"/>
        <item x="567"/>
        <item x="318"/>
        <item x="394"/>
        <item x="687"/>
        <item x="325"/>
        <item x="272"/>
        <item x="443"/>
        <item x="429"/>
        <item x="280"/>
        <item x="39"/>
        <item x="522"/>
        <item x="705"/>
        <item x="171"/>
        <item x="347"/>
        <item x="458"/>
        <item x="535"/>
        <item x="20"/>
        <item x="910"/>
        <item x="548"/>
        <item x="369"/>
        <item x="236"/>
        <item x="112"/>
        <item x="73"/>
        <item x="239"/>
        <item x="926"/>
        <item x="613"/>
        <item x="788"/>
        <item x="125"/>
        <item x="303"/>
        <item x="226"/>
        <item x="291"/>
        <item x="299"/>
        <item x="102"/>
        <item x="600"/>
        <item x="357"/>
        <item x="108"/>
        <item x="511"/>
        <item x="206"/>
        <item x="544"/>
        <item x="354"/>
        <item x="193"/>
        <item x="425"/>
        <item x="340"/>
        <item x="587"/>
        <item x="594"/>
        <item x="21"/>
        <item x="84"/>
        <item x="528"/>
        <item x="642"/>
        <item x="344"/>
        <item x="550"/>
        <item x="219"/>
        <item x="68"/>
        <item x="356"/>
        <item x="672"/>
        <item x="134"/>
        <item x="367"/>
        <item x="196"/>
        <item x="142"/>
        <item x="297"/>
        <item x="591"/>
        <item x="72"/>
        <item x="286"/>
        <item x="379"/>
        <item x="242"/>
        <item x="126"/>
        <item x="816"/>
        <item x="11"/>
        <item x="182"/>
        <item x="364"/>
        <item x="660"/>
        <item x="183"/>
        <item x="432"/>
        <item x="659"/>
        <item x="235"/>
        <item x="850"/>
        <item x="308"/>
        <item x="869"/>
        <item x="534"/>
        <item x="612"/>
        <item x="88"/>
        <item x="93"/>
        <item x="79"/>
        <item x="155"/>
        <item x="179"/>
        <item x="28"/>
        <item x="707"/>
        <item x="18"/>
        <item x="440"/>
        <item x="353"/>
        <item x="258"/>
        <item x="599"/>
        <item x="728"/>
        <item x="309"/>
        <item x="147"/>
        <item x="424"/>
        <item x="168"/>
        <item x="184"/>
        <item x="793"/>
        <item x="574"/>
        <item x="515"/>
        <item x="166"/>
        <item x="699"/>
        <item x="119"/>
        <item x="434"/>
        <item x="422"/>
        <item x="98"/>
        <item x="213"/>
        <item x="459"/>
        <item x="230"/>
        <item x="789"/>
        <item x="582"/>
        <item x="526"/>
        <item x="589"/>
        <item x="190"/>
        <item x="641"/>
        <item x="715"/>
        <item x="706"/>
        <item x="352"/>
        <item x="10"/>
        <item x="42"/>
        <item x="514"/>
        <item x="86"/>
        <item x="76"/>
        <item x="123"/>
        <item x="173"/>
        <item x="282"/>
        <item x="204"/>
        <item x="6"/>
        <item x="842"/>
        <item x="572"/>
        <item x="495"/>
        <item x="740"/>
        <item x="502"/>
        <item x="218"/>
        <item x="628"/>
        <item x="634"/>
        <item x="623"/>
        <item x="576"/>
        <item x="448"/>
        <item x="472"/>
        <item x="4"/>
        <item x="382"/>
        <item x="881"/>
        <item x="551"/>
        <item x="140"/>
        <item x="27"/>
        <item x="405"/>
        <item x="214"/>
        <item x="884"/>
        <item x="222"/>
        <item x="461"/>
        <item x="211"/>
        <item x="787"/>
        <item x="491"/>
        <item x="215"/>
        <item x="296"/>
        <item x="207"/>
        <item x="277"/>
        <item x="635"/>
        <item x="75"/>
        <item x="785"/>
        <item x="466"/>
        <item x="395"/>
        <item x="721"/>
        <item x="523"/>
        <item x="737"/>
        <item x="542"/>
        <item x="233"/>
        <item x="684"/>
        <item x="115"/>
        <item x="396"/>
        <item x="316"/>
        <item x="841"/>
        <item x="110"/>
        <item x="738"/>
        <item x="322"/>
        <item x="247"/>
        <item x="530"/>
        <item x="701"/>
        <item x="552"/>
        <item x="553"/>
        <item x="156"/>
        <item x="501"/>
        <item x="750"/>
        <item x="148"/>
        <item x="854"/>
        <item x="89"/>
        <item x="480"/>
        <item x="227"/>
        <item x="547"/>
        <item x="205"/>
        <item x="198"/>
        <item x="556"/>
        <item x="470"/>
        <item x="366"/>
        <item x="829"/>
        <item x="407"/>
        <item x="821"/>
        <item x="94"/>
        <item x="56"/>
        <item x="113"/>
        <item x="734"/>
        <item x="427"/>
        <item x="305"/>
        <item x="46"/>
        <item x="259"/>
        <item x="565"/>
        <item x="761"/>
        <item x="444"/>
        <item x="58"/>
        <item x="780"/>
        <item x="281"/>
        <item x="554"/>
        <item x="337"/>
        <item x="497"/>
        <item x="92"/>
        <item x="146"/>
        <item x="203"/>
        <item x="225"/>
        <item x="456"/>
        <item x="313"/>
        <item x="404"/>
        <item x="834"/>
        <item x="244"/>
        <item x="779"/>
        <item x="757"/>
        <item x="667"/>
        <item x="730"/>
        <item x="633"/>
        <item x="563"/>
        <item x="450"/>
        <item x="14"/>
        <item x="114"/>
        <item x="668"/>
        <item x="783"/>
        <item x="618"/>
        <item x="748"/>
        <item x="246"/>
        <item x="212"/>
        <item x="509"/>
        <item x="469"/>
        <item x="666"/>
        <item x="735"/>
        <item x="197"/>
        <item x="704"/>
        <item x="657"/>
        <item x="419"/>
        <item x="43"/>
        <item x="596"/>
        <item x="794"/>
        <item x="725"/>
        <item x="192"/>
        <item x="276"/>
        <item x="62"/>
        <item x="327"/>
        <item x="135"/>
        <item x="181"/>
        <item x="393"/>
        <item x="330"/>
        <item x="579"/>
        <item x="163"/>
        <item x="673"/>
        <item x="451"/>
        <item x="264"/>
        <item x="911"/>
        <item x="431"/>
        <item x="578"/>
        <item x="471"/>
        <item x="45"/>
        <item x="60"/>
        <item x="760"/>
        <item x="254"/>
        <item x="674"/>
        <item x="598"/>
        <item x="925"/>
        <item x="928"/>
        <item x="774"/>
        <item x="866"/>
        <item x="489"/>
        <item x="583"/>
        <item x="462"/>
        <item x="559"/>
        <item x="391"/>
        <item x="524"/>
        <item x="899"/>
        <item x="111"/>
        <item x="378"/>
        <item x="651"/>
        <item x="508"/>
        <item x="773"/>
        <item x="858"/>
        <item x="326"/>
        <item x="746"/>
        <item x="603"/>
        <item x="417"/>
        <item x="752"/>
        <item x="492"/>
        <item x="91"/>
        <item x="285"/>
        <item x="487"/>
        <item x="374"/>
        <item x="913"/>
        <item x="577"/>
        <item x="859"/>
        <item x="124"/>
        <item x="836"/>
        <item x="823"/>
        <item x="164"/>
        <item x="767"/>
        <item x="903"/>
        <item x="107"/>
        <item x="897"/>
        <item x="741"/>
        <item x="828"/>
        <item x="863"/>
        <item x="81"/>
        <item x="693"/>
        <item x="312"/>
        <item x="777"/>
        <item x="710"/>
        <item x="505"/>
        <item x="158"/>
        <item x="473"/>
        <item x="898"/>
        <item x="716"/>
        <item x="685"/>
        <item x="77"/>
        <item x="561"/>
        <item x="414"/>
        <item x="546"/>
        <item x="304"/>
        <item x="22"/>
        <item x="442"/>
        <item x="889"/>
        <item x="454"/>
        <item x="611"/>
        <item x="902"/>
        <item x="697"/>
        <item x="853"/>
        <item x="41"/>
        <item x="827"/>
        <item x="262"/>
        <item x="328"/>
        <item x="830"/>
        <item x="870"/>
        <item x="453"/>
        <item x="521"/>
        <item x="186"/>
        <item x="428"/>
        <item x="844"/>
        <item x="220"/>
        <item x="921"/>
        <item x="682"/>
        <item x="445"/>
        <item x="890"/>
        <item x="321"/>
        <item x="298"/>
        <item x="5"/>
        <item x="331"/>
        <item x="371"/>
        <item x="861"/>
        <item x="922"/>
        <item x="726"/>
        <item x="883"/>
        <item x="636"/>
        <item x="872"/>
        <item x="845"/>
        <item x="100"/>
        <item x="798"/>
        <item x="288"/>
        <item x="564"/>
        <item x="555"/>
        <item x="345"/>
        <item x="874"/>
        <item x="744"/>
        <item x="602"/>
        <item x="376"/>
        <item x="909"/>
        <item x="768"/>
        <item x="753"/>
        <item x="449"/>
        <item x="804"/>
        <item x="797"/>
        <item x="813"/>
        <item x="507"/>
        <item x="154"/>
        <item x="479"/>
        <item x="724"/>
        <item x="808"/>
        <item x="317"/>
        <item x="691"/>
        <item x="241"/>
        <item x="117"/>
        <item x="745"/>
        <item x="13"/>
        <item x="689"/>
        <item x="723"/>
        <item x="24"/>
        <item x="527"/>
        <item x="346"/>
        <item x="66"/>
        <item x="69"/>
        <item x="141"/>
        <item x="314"/>
        <item x="763"/>
        <item x="411"/>
        <item x="238"/>
        <item x="677"/>
        <item x="820"/>
        <item x="54"/>
        <item x="338"/>
        <item x="739"/>
        <item x="116"/>
        <item x="754"/>
        <item x="638"/>
        <item x="520"/>
        <item x="923"/>
        <item x="109"/>
        <item x="306"/>
        <item x="368"/>
        <item x="743"/>
        <item x="283"/>
        <item x="824"/>
        <item x="95"/>
        <item x="895"/>
        <item x="420"/>
        <item x="252"/>
        <item x="482"/>
        <item x="864"/>
        <item x="477"/>
        <item x="568"/>
        <item x="381"/>
        <item x="831"/>
        <item x="263"/>
        <item x="573"/>
        <item x="840"/>
        <item x="549"/>
        <item x="350"/>
        <item x="732"/>
        <item x="558"/>
        <item x="812"/>
        <item x="433"/>
        <item x="900"/>
        <item x="876"/>
        <item x="849"/>
        <item x="194"/>
        <item x="818"/>
        <item x="871"/>
        <item x="67"/>
        <item x="709"/>
        <item x="475"/>
        <item x="729"/>
        <item x="543"/>
        <item x="287"/>
        <item x="539"/>
        <item x="765"/>
        <item x="358"/>
        <item x="279"/>
        <item x="361"/>
        <item x="875"/>
        <item x="620"/>
        <item x="320"/>
        <item x="919"/>
        <item x="435"/>
        <item x="904"/>
        <item x="835"/>
        <item x="540"/>
        <item x="593"/>
        <item x="772"/>
        <item x="386"/>
        <item x="319"/>
        <item x="74"/>
        <item x="175"/>
        <item x="653"/>
        <item x="617"/>
        <item x="852"/>
        <item x="720"/>
        <item x="485"/>
        <item x="882"/>
        <item x="733"/>
        <item x="460"/>
        <item x="339"/>
        <item x="518"/>
        <item x="250"/>
        <item x="901"/>
        <item x="681"/>
        <item x="698"/>
        <item x="649"/>
        <item x="290"/>
        <item x="683"/>
        <item x="892"/>
        <item x="867"/>
        <item x="348"/>
        <item x="782"/>
        <item x="562"/>
        <item x="315"/>
        <item x="586"/>
        <item x="756"/>
        <item x="189"/>
        <item x="920"/>
        <item x="671"/>
        <item x="2"/>
        <item x="506"/>
        <item x="792"/>
        <item x="703"/>
        <item x="643"/>
        <item x="851"/>
        <item x="610"/>
        <item x="349"/>
        <item x="531"/>
        <item x="575"/>
        <item x="251"/>
        <item x="675"/>
        <item x="64"/>
        <item x="377"/>
        <item x="467"/>
        <item x="670"/>
        <item x="560"/>
        <item x="749"/>
        <item x="886"/>
        <item x="814"/>
        <item x="802"/>
        <item x="796"/>
        <item x="566"/>
        <item x="118"/>
        <item x="622"/>
        <item x="658"/>
        <item x="696"/>
        <item x="517"/>
        <item x="933"/>
        <item x="873"/>
        <item x="537"/>
        <item x="800"/>
        <item x="915"/>
        <item x="817"/>
        <item x="12"/>
        <item x="529"/>
        <item x="650"/>
        <item x="106"/>
        <item x="103"/>
        <item x="323"/>
        <item x="776"/>
        <item x="906"/>
        <item x="930"/>
        <item x="801"/>
        <item x="713"/>
        <item x="474"/>
        <item x="149"/>
        <item x="656"/>
        <item x="868"/>
        <item x="799"/>
        <item x="778"/>
        <item x="847"/>
        <item x="274"/>
        <item x="810"/>
        <item x="916"/>
        <item x="809"/>
        <item x="447"/>
        <item x="764"/>
        <item x="360"/>
        <item x="731"/>
        <item x="493"/>
        <item x="795"/>
        <item x="663"/>
        <item x="185"/>
        <item x="87"/>
        <item x="481"/>
        <item x="177"/>
        <item x="784"/>
        <item x="819"/>
        <item x="519"/>
        <item x="584"/>
        <item x="717"/>
        <item x="700"/>
        <item x="637"/>
        <item x="839"/>
        <item x="44"/>
        <item x="837"/>
        <item x="525"/>
        <item x="40"/>
        <item x="652"/>
        <item x="131"/>
        <item x="838"/>
        <item x="692"/>
        <item x="510"/>
        <item x="223"/>
        <item x="825"/>
        <item x="516"/>
        <item x="786"/>
        <item x="513"/>
        <item x="907"/>
        <item x="714"/>
        <item x="662"/>
        <item x="770"/>
        <item x="311"/>
        <item x="878"/>
        <item x="865"/>
        <item x="924"/>
        <item x="927"/>
        <item x="912"/>
        <item x="688"/>
        <item x="891"/>
        <item x="284"/>
        <item x="781"/>
        <item x="676"/>
        <item x="96"/>
        <item x="747"/>
        <item x="373"/>
        <item x="694"/>
        <item x="806"/>
        <item x="31"/>
        <item x="621"/>
        <item x="416"/>
        <item x="616"/>
        <item x="488"/>
        <item x="626"/>
        <item x="832"/>
        <item x="648"/>
        <item x="880"/>
        <item x="815"/>
        <item x="640"/>
        <item x="499"/>
        <item x="917"/>
        <item x="896"/>
        <item x="702"/>
        <item x="712"/>
        <item x="36"/>
        <item x="914"/>
        <item x="645"/>
        <item x="437"/>
        <item x="718"/>
        <item x="848"/>
        <item x="708"/>
        <item x="833"/>
        <item x="894"/>
        <item t="default"/>
      </items>
    </pivotField>
    <pivotField showAll="0"/>
    <pivotField numFmtId="15"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numFmtId="15" showAll="0"/>
    <pivotField showAll="0">
      <items count="5">
        <item x="0"/>
        <item x="2"/>
        <item x="1"/>
        <item x="3"/>
        <item t="default"/>
      </items>
    </pivotField>
    <pivotField showAll="0">
      <items count="6">
        <item x="0"/>
        <item x="3"/>
        <item x="4"/>
        <item x="2"/>
        <item x="1"/>
        <item t="default"/>
      </items>
    </pivotField>
    <pivotField showAll="0">
      <items count="6">
        <item x="3"/>
        <item x="4"/>
        <item x="1"/>
        <item x="0"/>
        <item x="2"/>
        <item t="default"/>
      </items>
    </pivotField>
    <pivotField showAll="0"/>
    <pivotField name="County Name" axis="axisRow" showAll="0" sortType="descending">
      <items count="59">
        <item x="21"/>
        <item x="0"/>
        <item x="46"/>
        <item x="51"/>
        <item x="14"/>
        <item x="54"/>
        <item x="1"/>
        <item x="57"/>
        <item x="42"/>
        <item x="2"/>
        <item x="27"/>
        <item x="44"/>
        <item x="33"/>
        <item x="15"/>
        <item x="22"/>
        <item x="34"/>
        <item x="50"/>
        <item x="55"/>
        <item x="3"/>
        <item x="37"/>
        <item x="43"/>
        <item x="40"/>
        <item x="29"/>
        <item x="24"/>
        <item x="39"/>
        <item x="47"/>
        <item x="49"/>
        <item x="16"/>
        <item x="4"/>
        <item x="25"/>
        <item x="5"/>
        <item x="35"/>
        <item x="23"/>
        <item x="6"/>
        <item x="36"/>
        <item x="7"/>
        <item x="8"/>
        <item x="17"/>
        <item x="26"/>
        <item x="41"/>
        <item x="9"/>
        <item x="10"/>
        <item x="11"/>
        <item x="32"/>
        <item x="53"/>
        <item x="48"/>
        <item x="30"/>
        <item x="38"/>
        <item x="18"/>
        <item x="19"/>
        <item x="31"/>
        <item x="12"/>
        <item x="45"/>
        <item x="20"/>
        <item x="52"/>
        <item x="13"/>
        <item x="28"/>
        <item x="56"/>
        <item t="default"/>
      </items>
      <autoSortScope>
        <pivotArea dataOnly="0" outline="0" fieldPosition="0">
          <references count="1">
            <reference field="4294967294" count="1" selected="0">
              <x v="0"/>
            </reference>
          </references>
        </pivotArea>
      </autoSortScope>
    </pivotField>
    <pivotField showAll="0">
      <items count="16">
        <item x="7"/>
        <item x="3"/>
        <item x="1"/>
        <item x="2"/>
        <item x="5"/>
        <item x="0"/>
        <item x="4"/>
        <item x="6"/>
        <item x="9"/>
        <item x="8"/>
        <item x="14"/>
        <item x="11"/>
        <item x="13"/>
        <item x="10"/>
        <item x="12"/>
        <item t="default"/>
      </items>
    </pivotField>
    <pivotField showAll="0">
      <items count="14">
        <item x="0"/>
        <item sd="0" x="1"/>
        <item sd="0" x="2"/>
        <item sd="0" x="3"/>
        <item sd="0" x="4"/>
        <item sd="0" x="5"/>
        <item sd="0" x="6"/>
        <item sd="0" x="7"/>
        <item sd="0" x="8"/>
        <item sd="0" x="9"/>
        <item sd="0" x="10"/>
        <item sd="0" x="11"/>
        <item sd="0" x="12"/>
        <item t="default"/>
      </items>
    </pivotField>
    <pivotField showAll="0"/>
    <pivotField showAll="0">
      <items count="8">
        <item x="0"/>
        <item x="1"/>
        <item x="2"/>
        <item x="4"/>
        <item x="3"/>
        <item x="5"/>
        <item x="6"/>
        <item t="default"/>
      </items>
    </pivotField>
    <pivotField axis="axisPage" showAll="0">
      <items count="10">
        <item x="5"/>
        <item x="3"/>
        <item x="1"/>
        <item x="2"/>
        <item x="4"/>
        <item x="0"/>
        <item x="8"/>
        <item x="6"/>
        <item x="7"/>
        <item t="default"/>
      </items>
    </pivotField>
    <pivotField showAll="0">
      <items count="15">
        <item x="0"/>
        <item x="1"/>
        <item x="2"/>
        <item x="3"/>
        <item x="4"/>
        <item x="5"/>
        <item x="6"/>
        <item x="7"/>
        <item x="8"/>
        <item x="9"/>
        <item x="10"/>
        <item x="11"/>
        <item x="12"/>
        <item x="13"/>
        <item t="default"/>
      </items>
    </pivotField>
    <pivotField showAll="0">
      <items count="201">
        <item x="4"/>
        <item x="198"/>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199"/>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0"/>
        <item x="1"/>
        <item x="2"/>
        <item x="3"/>
        <item t="default"/>
      </items>
    </pivotField>
  </pivotFields>
  <rowFields count="1">
    <field x="11"/>
  </rowFields>
  <rowItems count="59">
    <i>
      <x v="18"/>
    </i>
    <i>
      <x v="36"/>
    </i>
    <i>
      <x v="33"/>
    </i>
    <i>
      <x v="42"/>
    </i>
    <i>
      <x/>
    </i>
    <i>
      <x v="6"/>
    </i>
    <i>
      <x v="40"/>
    </i>
    <i>
      <x v="35"/>
    </i>
    <i>
      <x v="37"/>
    </i>
    <i>
      <x v="14"/>
    </i>
    <i>
      <x v="9"/>
    </i>
    <i>
      <x v="49"/>
    </i>
    <i>
      <x v="48"/>
    </i>
    <i>
      <x v="55"/>
    </i>
    <i>
      <x v="29"/>
    </i>
    <i>
      <x v="41"/>
    </i>
    <i>
      <x v="32"/>
    </i>
    <i>
      <x v="53"/>
    </i>
    <i>
      <x v="30"/>
    </i>
    <i>
      <x v="38"/>
    </i>
    <i>
      <x v="23"/>
    </i>
    <i>
      <x v="15"/>
    </i>
    <i>
      <x v="11"/>
    </i>
    <i>
      <x v="27"/>
    </i>
    <i>
      <x v="19"/>
    </i>
    <i>
      <x v="12"/>
    </i>
    <i>
      <x v="44"/>
    </i>
    <i>
      <x v="20"/>
    </i>
    <i>
      <x v="28"/>
    </i>
    <i>
      <x v="50"/>
    </i>
    <i>
      <x v="34"/>
    </i>
    <i>
      <x v="8"/>
    </i>
    <i>
      <x v="16"/>
    </i>
    <i>
      <x v="43"/>
    </i>
    <i>
      <x v="26"/>
    </i>
    <i>
      <x v="47"/>
    </i>
    <i>
      <x v="3"/>
    </i>
    <i>
      <x v="54"/>
    </i>
    <i>
      <x v="56"/>
    </i>
    <i>
      <x v="2"/>
    </i>
    <i>
      <x v="46"/>
    </i>
    <i>
      <x v="10"/>
    </i>
    <i>
      <x v="39"/>
    </i>
    <i>
      <x v="22"/>
    </i>
    <i>
      <x v="13"/>
    </i>
    <i>
      <x v="52"/>
    </i>
    <i>
      <x v="21"/>
    </i>
    <i>
      <x v="4"/>
    </i>
    <i>
      <x v="5"/>
    </i>
    <i>
      <x v="51"/>
    </i>
    <i>
      <x v="31"/>
    </i>
    <i>
      <x v="25"/>
    </i>
    <i>
      <x v="24"/>
    </i>
    <i>
      <x v="1"/>
    </i>
    <i>
      <x v="17"/>
    </i>
    <i>
      <x v="57"/>
    </i>
    <i>
      <x v="7"/>
    </i>
    <i>
      <x v="45"/>
    </i>
    <i t="grand">
      <x/>
    </i>
  </rowItems>
  <colItems count="1">
    <i/>
  </colItems>
  <pageFields count="1">
    <pageField fld="16" hier="-1"/>
  </pageFields>
  <dataFields count="1">
    <dataField name="No. Of Orders Deliverd" fld="0" subtotal="count" baseField="0" baseItem="0"/>
  </dataFields>
  <formats count="1">
    <format dxfId="3">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B58001E6-D20A-4DD5-8D25-F32ACF06B2C2}" name="PivotTable4"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32:F54" firstHeaderRow="1" firstDataRow="2" firstDataCol="1"/>
  <pivotFields count="19">
    <pivotField dataField="1" showAll="0"/>
    <pivotField axis="axisRow" showAll="0" sortType="descending">
      <items count="21">
        <item x="14"/>
        <item x="10"/>
        <item x="12"/>
        <item x="15"/>
        <item x="4"/>
        <item x="7"/>
        <item x="6"/>
        <item x="19"/>
        <item x="18"/>
        <item x="11"/>
        <item x="17"/>
        <item x="5"/>
        <item x="0"/>
        <item x="2"/>
        <item x="9"/>
        <item x="16"/>
        <item x="1"/>
        <item x="13"/>
        <item x="8"/>
        <item x="3"/>
        <item t="default"/>
      </items>
      <autoSortScope>
        <pivotArea dataOnly="0" outline="0" fieldPosition="0">
          <references count="2">
            <reference field="4294967294" count="1" selected="0">
              <x v="0"/>
            </reference>
            <reference field="14" count="1" selected="0">
              <x v="0"/>
            </reference>
          </references>
        </pivotArea>
      </autoSortScope>
    </pivotField>
    <pivotField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items count="935">
        <item x="178"/>
        <item x="159"/>
        <item x="97"/>
        <item x="441"/>
        <item x="265"/>
        <item x="401"/>
        <item x="0"/>
        <item x="408"/>
        <item x="229"/>
        <item x="370"/>
        <item x="61"/>
        <item x="463"/>
        <item x="860"/>
        <item x="604"/>
        <item x="426"/>
        <item x="608"/>
        <item x="877"/>
        <item x="932"/>
        <item x="822"/>
        <item x="150"/>
        <item x="335"/>
        <item x="885"/>
        <item x="888"/>
        <item x="169"/>
        <item x="609"/>
        <item x="826"/>
        <item x="905"/>
        <item x="862"/>
        <item x="270"/>
        <item x="221"/>
        <item x="503"/>
        <item x="476"/>
        <item x="536"/>
        <item x="388"/>
        <item x="678"/>
        <item x="455"/>
        <item x="83"/>
        <item x="255"/>
        <item x="137"/>
        <item x="35"/>
        <item x="496"/>
        <item x="398"/>
        <item x="342"/>
        <item x="261"/>
        <item x="857"/>
        <item x="655"/>
        <item x="879"/>
        <item x="639"/>
        <item x="569"/>
        <item x="384"/>
        <item x="929"/>
        <item x="771"/>
        <item x="727"/>
        <item x="161"/>
        <item x="893"/>
        <item x="25"/>
        <item x="228"/>
        <item x="130"/>
        <item x="71"/>
        <item x="53"/>
        <item x="606"/>
        <item x="762"/>
        <item x="383"/>
        <item x="856"/>
        <item x="99"/>
        <item x="465"/>
        <item x="585"/>
        <item x="333"/>
        <item x="104"/>
        <item x="129"/>
        <item x="30"/>
        <item x="359"/>
        <item x="55"/>
        <item x="918"/>
        <item x="415"/>
        <item x="266"/>
        <item x="478"/>
        <item x="82"/>
        <item x="157"/>
        <item x="490"/>
        <item x="260"/>
        <item x="736"/>
        <item x="127"/>
        <item x="293"/>
        <item x="580"/>
        <item x="468"/>
        <item x="289"/>
        <item x="390"/>
        <item x="588"/>
        <item x="65"/>
        <item x="438"/>
        <item x="191"/>
        <item x="210"/>
        <item x="302"/>
        <item x="332"/>
        <item x="592"/>
        <item x="33"/>
        <item x="301"/>
        <item x="421"/>
        <item x="595"/>
        <item x="237"/>
        <item x="597"/>
        <item x="208"/>
        <item x="9"/>
        <item x="243"/>
        <item x="351"/>
        <item x="188"/>
        <item x="625"/>
        <item x="409"/>
        <item x="887"/>
        <item x="59"/>
        <item x="372"/>
        <item x="121"/>
        <item x="139"/>
        <item x="234"/>
        <item x="174"/>
        <item x="483"/>
        <item x="273"/>
        <item x="209"/>
        <item x="661"/>
        <item x="512"/>
        <item x="51"/>
        <item x="278"/>
        <item x="249"/>
        <item x="362"/>
        <item x="605"/>
        <item x="486"/>
        <item x="187"/>
        <item x="769"/>
        <item x="403"/>
        <item x="19"/>
        <item x="631"/>
        <item x="855"/>
        <item x="423"/>
        <item x="170"/>
        <item x="679"/>
        <item x="136"/>
        <item x="122"/>
        <item x="269"/>
        <item x="615"/>
        <item x="457"/>
        <item x="133"/>
        <item x="23"/>
        <item x="38"/>
        <item x="439"/>
        <item x="494"/>
        <item x="48"/>
        <item x="436"/>
        <item x="49"/>
        <item x="399"/>
        <item x="295"/>
        <item x="807"/>
        <item x="336"/>
        <item x="231"/>
        <item x="843"/>
        <item x="389"/>
        <item x="646"/>
        <item x="343"/>
        <item x="627"/>
        <item x="257"/>
        <item x="742"/>
        <item x="805"/>
        <item x="70"/>
        <item x="365"/>
        <item x="85"/>
        <item x="167"/>
        <item x="144"/>
        <item x="538"/>
        <item x="690"/>
        <item x="581"/>
        <item x="402"/>
        <item x="143"/>
        <item x="647"/>
        <item x="669"/>
        <item x="686"/>
        <item x="47"/>
        <item x="755"/>
        <item x="32"/>
        <item x="500"/>
        <item x="90"/>
        <item x="224"/>
        <item x="165"/>
        <item x="248"/>
        <item x="162"/>
        <item x="1"/>
        <item x="630"/>
        <item x="607"/>
        <item x="15"/>
        <item x="452"/>
        <item x="16"/>
        <item x="63"/>
        <item x="375"/>
        <item x="541"/>
        <item x="217"/>
        <item x="680"/>
        <item x="132"/>
        <item x="216"/>
        <item x="590"/>
        <item x="34"/>
        <item x="201"/>
        <item x="380"/>
        <item x="240"/>
        <item x="498"/>
        <item x="504"/>
        <item x="101"/>
        <item x="195"/>
        <item x="413"/>
        <item x="619"/>
        <item x="614"/>
        <item x="199"/>
        <item x="846"/>
        <item x="57"/>
        <item x="172"/>
        <item x="232"/>
        <item x="570"/>
        <item x="532"/>
        <item x="601"/>
        <item x="412"/>
        <item x="324"/>
        <item x="268"/>
        <item x="120"/>
        <item x="695"/>
        <item x="766"/>
        <item x="176"/>
        <item x="292"/>
        <item x="267"/>
        <item x="271"/>
        <item x="775"/>
        <item x="334"/>
        <item x="200"/>
        <item x="341"/>
        <item x="908"/>
        <item x="803"/>
        <item x="533"/>
        <item x="8"/>
        <item x="385"/>
        <item x="275"/>
        <item x="307"/>
        <item x="160"/>
        <item x="310"/>
        <item x="791"/>
        <item x="128"/>
        <item x="355"/>
        <item x="17"/>
        <item x="294"/>
        <item x="78"/>
        <item x="711"/>
        <item x="571"/>
        <item x="719"/>
        <item x="790"/>
        <item x="105"/>
        <item x="484"/>
        <item x="151"/>
        <item x="410"/>
        <item x="3"/>
        <item x="256"/>
        <item x="430"/>
        <item x="545"/>
        <item x="202"/>
        <item x="751"/>
        <item x="629"/>
        <item x="153"/>
        <item x="392"/>
        <item x="26"/>
        <item x="665"/>
        <item x="400"/>
        <item x="37"/>
        <item x="644"/>
        <item x="406"/>
        <item x="418"/>
        <item x="632"/>
        <item x="557"/>
        <item x="180"/>
        <item x="138"/>
        <item x="759"/>
        <item x="811"/>
        <item x="152"/>
        <item x="464"/>
        <item x="931"/>
        <item x="7"/>
        <item x="664"/>
        <item x="145"/>
        <item x="722"/>
        <item x="253"/>
        <item x="363"/>
        <item x="446"/>
        <item x="29"/>
        <item x="758"/>
        <item x="387"/>
        <item x="397"/>
        <item x="50"/>
        <item x="329"/>
        <item x="654"/>
        <item x="52"/>
        <item x="80"/>
        <item x="245"/>
        <item x="300"/>
        <item x="624"/>
        <item x="567"/>
        <item x="318"/>
        <item x="394"/>
        <item x="687"/>
        <item x="325"/>
        <item x="272"/>
        <item x="443"/>
        <item x="429"/>
        <item x="280"/>
        <item x="39"/>
        <item x="522"/>
        <item x="705"/>
        <item x="171"/>
        <item x="347"/>
        <item x="458"/>
        <item x="535"/>
        <item x="20"/>
        <item x="910"/>
        <item x="548"/>
        <item x="369"/>
        <item x="236"/>
        <item x="112"/>
        <item x="73"/>
        <item x="239"/>
        <item x="926"/>
        <item x="613"/>
        <item x="788"/>
        <item x="125"/>
        <item x="303"/>
        <item x="226"/>
        <item x="291"/>
        <item x="299"/>
        <item x="102"/>
        <item x="600"/>
        <item x="357"/>
        <item x="108"/>
        <item x="511"/>
        <item x="206"/>
        <item x="544"/>
        <item x="354"/>
        <item x="193"/>
        <item x="425"/>
        <item x="340"/>
        <item x="587"/>
        <item x="594"/>
        <item x="21"/>
        <item x="84"/>
        <item x="528"/>
        <item x="642"/>
        <item x="344"/>
        <item x="550"/>
        <item x="219"/>
        <item x="68"/>
        <item x="356"/>
        <item x="672"/>
        <item x="134"/>
        <item x="367"/>
        <item x="196"/>
        <item x="142"/>
        <item x="297"/>
        <item x="591"/>
        <item x="72"/>
        <item x="286"/>
        <item x="379"/>
        <item x="242"/>
        <item x="126"/>
        <item x="816"/>
        <item x="11"/>
        <item x="182"/>
        <item x="364"/>
        <item x="660"/>
        <item x="183"/>
        <item x="432"/>
        <item x="659"/>
        <item x="235"/>
        <item x="850"/>
        <item x="308"/>
        <item x="869"/>
        <item x="534"/>
        <item x="612"/>
        <item x="88"/>
        <item x="93"/>
        <item x="79"/>
        <item x="155"/>
        <item x="179"/>
        <item x="28"/>
        <item x="707"/>
        <item x="18"/>
        <item x="440"/>
        <item x="353"/>
        <item x="258"/>
        <item x="599"/>
        <item x="728"/>
        <item x="309"/>
        <item x="147"/>
        <item x="424"/>
        <item x="168"/>
        <item x="184"/>
        <item x="793"/>
        <item x="574"/>
        <item x="515"/>
        <item x="166"/>
        <item x="699"/>
        <item x="119"/>
        <item x="434"/>
        <item x="422"/>
        <item x="98"/>
        <item x="213"/>
        <item x="459"/>
        <item x="230"/>
        <item x="789"/>
        <item x="582"/>
        <item x="526"/>
        <item x="589"/>
        <item x="190"/>
        <item x="641"/>
        <item x="715"/>
        <item x="706"/>
        <item x="352"/>
        <item x="10"/>
        <item x="42"/>
        <item x="514"/>
        <item x="86"/>
        <item x="76"/>
        <item x="123"/>
        <item x="173"/>
        <item x="282"/>
        <item x="204"/>
        <item x="6"/>
        <item x="842"/>
        <item x="572"/>
        <item x="495"/>
        <item x="740"/>
        <item x="502"/>
        <item x="218"/>
        <item x="628"/>
        <item x="634"/>
        <item x="623"/>
        <item x="576"/>
        <item x="448"/>
        <item x="472"/>
        <item x="4"/>
        <item x="382"/>
        <item x="881"/>
        <item x="551"/>
        <item x="140"/>
        <item x="27"/>
        <item x="405"/>
        <item x="214"/>
        <item x="884"/>
        <item x="222"/>
        <item x="461"/>
        <item x="211"/>
        <item x="787"/>
        <item x="491"/>
        <item x="215"/>
        <item x="296"/>
        <item x="207"/>
        <item x="277"/>
        <item x="635"/>
        <item x="75"/>
        <item x="785"/>
        <item x="466"/>
        <item x="395"/>
        <item x="721"/>
        <item x="523"/>
        <item x="737"/>
        <item x="542"/>
        <item x="233"/>
        <item x="684"/>
        <item x="115"/>
        <item x="396"/>
        <item x="316"/>
        <item x="841"/>
        <item x="110"/>
        <item x="738"/>
        <item x="322"/>
        <item x="247"/>
        <item x="530"/>
        <item x="701"/>
        <item x="552"/>
        <item x="553"/>
        <item x="156"/>
        <item x="501"/>
        <item x="750"/>
        <item x="148"/>
        <item x="854"/>
        <item x="89"/>
        <item x="480"/>
        <item x="227"/>
        <item x="547"/>
        <item x="205"/>
        <item x="198"/>
        <item x="556"/>
        <item x="470"/>
        <item x="366"/>
        <item x="829"/>
        <item x="407"/>
        <item x="821"/>
        <item x="94"/>
        <item x="56"/>
        <item x="113"/>
        <item x="734"/>
        <item x="427"/>
        <item x="305"/>
        <item x="46"/>
        <item x="259"/>
        <item x="565"/>
        <item x="761"/>
        <item x="444"/>
        <item x="58"/>
        <item x="780"/>
        <item x="281"/>
        <item x="554"/>
        <item x="337"/>
        <item x="497"/>
        <item x="92"/>
        <item x="146"/>
        <item x="203"/>
        <item x="225"/>
        <item x="456"/>
        <item x="313"/>
        <item x="404"/>
        <item x="834"/>
        <item x="244"/>
        <item x="779"/>
        <item x="757"/>
        <item x="667"/>
        <item x="730"/>
        <item x="633"/>
        <item x="563"/>
        <item x="450"/>
        <item x="14"/>
        <item x="114"/>
        <item x="668"/>
        <item x="783"/>
        <item x="618"/>
        <item x="748"/>
        <item x="246"/>
        <item x="212"/>
        <item x="509"/>
        <item x="469"/>
        <item x="666"/>
        <item x="735"/>
        <item x="197"/>
        <item x="704"/>
        <item x="657"/>
        <item x="419"/>
        <item x="43"/>
        <item x="596"/>
        <item x="794"/>
        <item x="725"/>
        <item x="192"/>
        <item x="276"/>
        <item x="62"/>
        <item x="327"/>
        <item x="135"/>
        <item x="181"/>
        <item x="393"/>
        <item x="330"/>
        <item x="579"/>
        <item x="163"/>
        <item x="673"/>
        <item x="451"/>
        <item x="264"/>
        <item x="911"/>
        <item x="431"/>
        <item x="578"/>
        <item x="471"/>
        <item x="45"/>
        <item x="60"/>
        <item x="760"/>
        <item x="254"/>
        <item x="674"/>
        <item x="598"/>
        <item x="925"/>
        <item x="928"/>
        <item x="774"/>
        <item x="866"/>
        <item x="489"/>
        <item x="583"/>
        <item x="462"/>
        <item x="559"/>
        <item x="391"/>
        <item x="524"/>
        <item x="899"/>
        <item x="111"/>
        <item x="378"/>
        <item x="651"/>
        <item x="508"/>
        <item x="773"/>
        <item x="858"/>
        <item x="326"/>
        <item x="746"/>
        <item x="603"/>
        <item x="417"/>
        <item x="752"/>
        <item x="492"/>
        <item x="91"/>
        <item x="285"/>
        <item x="487"/>
        <item x="374"/>
        <item x="913"/>
        <item x="577"/>
        <item x="859"/>
        <item x="124"/>
        <item x="836"/>
        <item x="823"/>
        <item x="164"/>
        <item x="767"/>
        <item x="903"/>
        <item x="107"/>
        <item x="897"/>
        <item x="741"/>
        <item x="828"/>
        <item x="863"/>
        <item x="81"/>
        <item x="693"/>
        <item x="312"/>
        <item x="777"/>
        <item x="710"/>
        <item x="505"/>
        <item x="158"/>
        <item x="473"/>
        <item x="898"/>
        <item x="716"/>
        <item x="685"/>
        <item x="77"/>
        <item x="561"/>
        <item x="414"/>
        <item x="546"/>
        <item x="304"/>
        <item x="22"/>
        <item x="442"/>
        <item x="889"/>
        <item x="454"/>
        <item x="611"/>
        <item x="902"/>
        <item x="697"/>
        <item x="853"/>
        <item x="41"/>
        <item x="827"/>
        <item x="262"/>
        <item x="328"/>
        <item x="830"/>
        <item x="870"/>
        <item x="453"/>
        <item x="521"/>
        <item x="186"/>
        <item x="428"/>
        <item x="844"/>
        <item x="220"/>
        <item x="921"/>
        <item x="682"/>
        <item x="445"/>
        <item x="890"/>
        <item x="321"/>
        <item x="298"/>
        <item x="5"/>
        <item x="331"/>
        <item x="371"/>
        <item x="861"/>
        <item x="922"/>
        <item x="726"/>
        <item x="883"/>
        <item x="636"/>
        <item x="872"/>
        <item x="845"/>
        <item x="100"/>
        <item x="798"/>
        <item x="288"/>
        <item x="564"/>
        <item x="555"/>
        <item x="345"/>
        <item x="874"/>
        <item x="744"/>
        <item x="602"/>
        <item x="376"/>
        <item x="909"/>
        <item x="768"/>
        <item x="753"/>
        <item x="449"/>
        <item x="804"/>
        <item x="797"/>
        <item x="813"/>
        <item x="507"/>
        <item x="154"/>
        <item x="479"/>
        <item x="724"/>
        <item x="808"/>
        <item x="317"/>
        <item x="691"/>
        <item x="241"/>
        <item x="117"/>
        <item x="745"/>
        <item x="13"/>
        <item x="689"/>
        <item x="723"/>
        <item x="24"/>
        <item x="527"/>
        <item x="346"/>
        <item x="66"/>
        <item x="69"/>
        <item x="141"/>
        <item x="314"/>
        <item x="763"/>
        <item x="411"/>
        <item x="238"/>
        <item x="677"/>
        <item x="820"/>
        <item x="54"/>
        <item x="338"/>
        <item x="739"/>
        <item x="116"/>
        <item x="754"/>
        <item x="638"/>
        <item x="520"/>
        <item x="923"/>
        <item x="109"/>
        <item x="306"/>
        <item x="368"/>
        <item x="743"/>
        <item x="283"/>
        <item x="824"/>
        <item x="95"/>
        <item x="895"/>
        <item x="420"/>
        <item x="252"/>
        <item x="482"/>
        <item x="864"/>
        <item x="477"/>
        <item x="568"/>
        <item x="381"/>
        <item x="831"/>
        <item x="263"/>
        <item x="573"/>
        <item x="840"/>
        <item x="549"/>
        <item x="350"/>
        <item x="732"/>
        <item x="558"/>
        <item x="812"/>
        <item x="433"/>
        <item x="900"/>
        <item x="876"/>
        <item x="849"/>
        <item x="194"/>
        <item x="818"/>
        <item x="871"/>
        <item x="67"/>
        <item x="709"/>
        <item x="475"/>
        <item x="729"/>
        <item x="543"/>
        <item x="287"/>
        <item x="539"/>
        <item x="765"/>
        <item x="358"/>
        <item x="279"/>
        <item x="361"/>
        <item x="875"/>
        <item x="620"/>
        <item x="320"/>
        <item x="919"/>
        <item x="435"/>
        <item x="904"/>
        <item x="835"/>
        <item x="540"/>
        <item x="593"/>
        <item x="772"/>
        <item x="386"/>
        <item x="319"/>
        <item x="74"/>
        <item x="175"/>
        <item x="653"/>
        <item x="617"/>
        <item x="852"/>
        <item x="720"/>
        <item x="485"/>
        <item x="882"/>
        <item x="733"/>
        <item x="460"/>
        <item x="339"/>
        <item x="518"/>
        <item x="250"/>
        <item x="901"/>
        <item x="681"/>
        <item x="698"/>
        <item x="649"/>
        <item x="290"/>
        <item x="683"/>
        <item x="892"/>
        <item x="867"/>
        <item x="348"/>
        <item x="782"/>
        <item x="562"/>
        <item x="315"/>
        <item x="586"/>
        <item x="756"/>
        <item x="189"/>
        <item x="920"/>
        <item x="671"/>
        <item x="2"/>
        <item x="506"/>
        <item x="792"/>
        <item x="703"/>
        <item x="643"/>
        <item x="851"/>
        <item x="610"/>
        <item x="349"/>
        <item x="531"/>
        <item x="575"/>
        <item x="251"/>
        <item x="675"/>
        <item x="64"/>
        <item x="377"/>
        <item x="467"/>
        <item x="670"/>
        <item x="560"/>
        <item x="749"/>
        <item x="886"/>
        <item x="814"/>
        <item x="802"/>
        <item x="796"/>
        <item x="566"/>
        <item x="118"/>
        <item x="622"/>
        <item x="658"/>
        <item x="696"/>
        <item x="517"/>
        <item x="933"/>
        <item x="873"/>
        <item x="537"/>
        <item x="800"/>
        <item x="915"/>
        <item x="817"/>
        <item x="12"/>
        <item x="529"/>
        <item x="650"/>
        <item x="106"/>
        <item x="103"/>
        <item x="323"/>
        <item x="776"/>
        <item x="906"/>
        <item x="930"/>
        <item x="801"/>
        <item x="713"/>
        <item x="474"/>
        <item x="149"/>
        <item x="656"/>
        <item x="868"/>
        <item x="799"/>
        <item x="778"/>
        <item x="847"/>
        <item x="274"/>
        <item x="810"/>
        <item x="916"/>
        <item x="809"/>
        <item x="447"/>
        <item x="764"/>
        <item x="360"/>
        <item x="731"/>
        <item x="493"/>
        <item x="795"/>
        <item x="663"/>
        <item x="185"/>
        <item x="87"/>
        <item x="481"/>
        <item x="177"/>
        <item x="784"/>
        <item x="819"/>
        <item x="519"/>
        <item x="584"/>
        <item x="717"/>
        <item x="700"/>
        <item x="637"/>
        <item x="839"/>
        <item x="44"/>
        <item x="837"/>
        <item x="525"/>
        <item x="40"/>
        <item x="652"/>
        <item x="131"/>
        <item x="838"/>
        <item x="692"/>
        <item x="510"/>
        <item x="223"/>
        <item x="825"/>
        <item x="516"/>
        <item x="786"/>
        <item x="513"/>
        <item x="907"/>
        <item x="714"/>
        <item x="662"/>
        <item x="770"/>
        <item x="311"/>
        <item x="878"/>
        <item x="865"/>
        <item x="924"/>
        <item x="927"/>
        <item x="912"/>
        <item x="688"/>
        <item x="891"/>
        <item x="284"/>
        <item x="781"/>
        <item x="676"/>
        <item x="96"/>
        <item x="747"/>
        <item x="373"/>
        <item x="694"/>
        <item x="806"/>
        <item x="31"/>
        <item x="621"/>
        <item x="416"/>
        <item x="616"/>
        <item x="488"/>
        <item x="626"/>
        <item x="832"/>
        <item x="648"/>
        <item x="880"/>
        <item x="815"/>
        <item x="640"/>
        <item x="499"/>
        <item x="917"/>
        <item x="896"/>
        <item x="702"/>
        <item x="712"/>
        <item x="36"/>
        <item x="914"/>
        <item x="645"/>
        <item x="437"/>
        <item x="718"/>
        <item x="848"/>
        <item x="708"/>
        <item x="833"/>
        <item x="894"/>
        <item t="default"/>
      </items>
    </pivotField>
    <pivotField showAll="0"/>
    <pivotField numFmtId="15"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numFmtId="15" showAll="0"/>
    <pivotField showAll="0"/>
    <pivotField showAll="0"/>
    <pivotField showAll="0"/>
    <pivotField showAll="0"/>
    <pivotField showAll="0"/>
    <pivotField showAll="0">
      <items count="16">
        <item x="7"/>
        <item x="3"/>
        <item x="1"/>
        <item x="2"/>
        <item x="5"/>
        <item x="0"/>
        <item x="4"/>
        <item x="6"/>
        <item x="9"/>
        <item x="8"/>
        <item x="14"/>
        <item x="11"/>
        <item x="13"/>
        <item x="10"/>
        <item x="12"/>
        <item t="default"/>
      </items>
    </pivotField>
    <pivotField showAll="0"/>
    <pivotField axis="axisCol" showAll="0">
      <items count="5">
        <item x="2"/>
        <item x="1"/>
        <item x="3"/>
        <item x="0"/>
        <item t="default"/>
      </items>
    </pivotField>
    <pivotField showAll="0">
      <items count="8">
        <item x="0"/>
        <item x="1"/>
        <item x="2"/>
        <item x="4"/>
        <item x="3"/>
        <item x="5"/>
        <item x="6"/>
        <item t="default"/>
      </items>
    </pivotField>
    <pivotField showAll="0">
      <items count="10">
        <item x="5"/>
        <item x="3"/>
        <item x="1"/>
        <item x="2"/>
        <item x="4"/>
        <item x="0"/>
        <item x="8"/>
        <item x="6"/>
        <item x="7"/>
        <item t="default"/>
      </items>
    </pivotField>
    <pivotField showAll="0">
      <items count="15">
        <item x="0"/>
        <item x="1"/>
        <item x="2"/>
        <item x="3"/>
        <item x="4"/>
        <item x="5"/>
        <item x="6"/>
        <item x="7"/>
        <item x="8"/>
        <item x="9"/>
        <item x="10"/>
        <item x="11"/>
        <item x="12"/>
        <item x="13"/>
        <item t="default"/>
      </items>
    </pivotField>
    <pivotField showAll="0">
      <items count="201">
        <item x="4"/>
        <item x="198"/>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199"/>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0"/>
        <item x="1"/>
        <item x="2"/>
        <item x="3"/>
        <item t="default"/>
      </items>
    </pivotField>
  </pivotFields>
  <rowFields count="1">
    <field x="1"/>
  </rowFields>
  <rowItems count="21">
    <i>
      <x v="18"/>
    </i>
    <i>
      <x v="13"/>
    </i>
    <i>
      <x v="6"/>
    </i>
    <i>
      <x v="16"/>
    </i>
    <i>
      <x v="12"/>
    </i>
    <i>
      <x v="14"/>
    </i>
    <i>
      <x v="1"/>
    </i>
    <i>
      <x v="4"/>
    </i>
    <i>
      <x v="5"/>
    </i>
    <i>
      <x v="11"/>
    </i>
    <i>
      <x v="2"/>
    </i>
    <i>
      <x v="9"/>
    </i>
    <i>
      <x v="19"/>
    </i>
    <i>
      <x v="10"/>
    </i>
    <i>
      <x v="3"/>
    </i>
    <i>
      <x v="15"/>
    </i>
    <i>
      <x v="8"/>
    </i>
    <i>
      <x/>
    </i>
    <i>
      <x v="17"/>
    </i>
    <i>
      <x v="7"/>
    </i>
    <i t="grand">
      <x/>
    </i>
  </rowItems>
  <colFields count="1">
    <field x="14"/>
  </colFields>
  <colItems count="5">
    <i>
      <x/>
    </i>
    <i>
      <x v="1"/>
    </i>
    <i>
      <x v="2"/>
    </i>
    <i>
      <x v="3"/>
    </i>
    <i t="grand">
      <x/>
    </i>
  </colItems>
  <dataFields count="1">
    <dataField name="Count of TX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78007B44-FA6A-4F26-8D49-69F0E0D362EF}" name="PivotTable3"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rowHeaderCaption="Week Number">
  <location ref="H32:I46" firstHeaderRow="1" firstDataRow="1" firstDataCol="1"/>
  <pivotFields count="19">
    <pivotField dataField="1" showAll="0"/>
    <pivotField showAll="0"/>
    <pivotField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items count="935">
        <item x="178"/>
        <item x="159"/>
        <item x="97"/>
        <item x="441"/>
        <item x="265"/>
        <item x="401"/>
        <item x="0"/>
        <item x="408"/>
        <item x="229"/>
        <item x="370"/>
        <item x="61"/>
        <item x="463"/>
        <item x="860"/>
        <item x="604"/>
        <item x="426"/>
        <item x="608"/>
        <item x="877"/>
        <item x="932"/>
        <item x="822"/>
        <item x="150"/>
        <item x="335"/>
        <item x="885"/>
        <item x="888"/>
        <item x="169"/>
        <item x="609"/>
        <item x="826"/>
        <item x="905"/>
        <item x="862"/>
        <item x="270"/>
        <item x="221"/>
        <item x="503"/>
        <item x="476"/>
        <item x="536"/>
        <item x="388"/>
        <item x="678"/>
        <item x="455"/>
        <item x="83"/>
        <item x="255"/>
        <item x="137"/>
        <item x="35"/>
        <item x="496"/>
        <item x="398"/>
        <item x="342"/>
        <item x="261"/>
        <item x="857"/>
        <item x="655"/>
        <item x="879"/>
        <item x="639"/>
        <item x="569"/>
        <item x="384"/>
        <item x="929"/>
        <item x="771"/>
        <item x="727"/>
        <item x="161"/>
        <item x="893"/>
        <item x="25"/>
        <item x="228"/>
        <item x="130"/>
        <item x="71"/>
        <item x="53"/>
        <item x="606"/>
        <item x="762"/>
        <item x="383"/>
        <item x="856"/>
        <item x="99"/>
        <item x="465"/>
        <item x="585"/>
        <item x="333"/>
        <item x="104"/>
        <item x="129"/>
        <item x="30"/>
        <item x="359"/>
        <item x="55"/>
        <item x="918"/>
        <item x="415"/>
        <item x="266"/>
        <item x="478"/>
        <item x="82"/>
        <item x="157"/>
        <item x="490"/>
        <item x="260"/>
        <item x="736"/>
        <item x="127"/>
        <item x="293"/>
        <item x="580"/>
        <item x="468"/>
        <item x="289"/>
        <item x="390"/>
        <item x="588"/>
        <item x="65"/>
        <item x="438"/>
        <item x="191"/>
        <item x="210"/>
        <item x="302"/>
        <item x="332"/>
        <item x="592"/>
        <item x="33"/>
        <item x="301"/>
        <item x="421"/>
        <item x="595"/>
        <item x="237"/>
        <item x="597"/>
        <item x="208"/>
        <item x="9"/>
        <item x="243"/>
        <item x="351"/>
        <item x="188"/>
        <item x="625"/>
        <item x="409"/>
        <item x="887"/>
        <item x="59"/>
        <item x="372"/>
        <item x="121"/>
        <item x="139"/>
        <item x="234"/>
        <item x="174"/>
        <item x="483"/>
        <item x="273"/>
        <item x="209"/>
        <item x="661"/>
        <item x="512"/>
        <item x="51"/>
        <item x="278"/>
        <item x="249"/>
        <item x="362"/>
        <item x="605"/>
        <item x="486"/>
        <item x="187"/>
        <item x="769"/>
        <item x="403"/>
        <item x="19"/>
        <item x="631"/>
        <item x="855"/>
        <item x="423"/>
        <item x="170"/>
        <item x="679"/>
        <item x="136"/>
        <item x="122"/>
        <item x="269"/>
        <item x="615"/>
        <item x="457"/>
        <item x="133"/>
        <item x="23"/>
        <item x="38"/>
        <item x="439"/>
        <item x="494"/>
        <item x="48"/>
        <item x="436"/>
        <item x="49"/>
        <item x="399"/>
        <item x="295"/>
        <item x="807"/>
        <item x="336"/>
        <item x="231"/>
        <item x="843"/>
        <item x="389"/>
        <item x="646"/>
        <item x="343"/>
        <item x="627"/>
        <item x="257"/>
        <item x="742"/>
        <item x="805"/>
        <item x="70"/>
        <item x="365"/>
        <item x="85"/>
        <item x="167"/>
        <item x="144"/>
        <item x="538"/>
        <item x="690"/>
        <item x="581"/>
        <item x="402"/>
        <item x="143"/>
        <item x="647"/>
        <item x="669"/>
        <item x="686"/>
        <item x="47"/>
        <item x="755"/>
        <item x="32"/>
        <item x="500"/>
        <item x="90"/>
        <item x="224"/>
        <item x="165"/>
        <item x="248"/>
        <item x="162"/>
        <item x="1"/>
        <item x="630"/>
        <item x="607"/>
        <item x="15"/>
        <item x="452"/>
        <item x="16"/>
        <item x="63"/>
        <item x="375"/>
        <item x="541"/>
        <item x="217"/>
        <item x="680"/>
        <item x="132"/>
        <item x="216"/>
        <item x="590"/>
        <item x="34"/>
        <item x="201"/>
        <item x="380"/>
        <item x="240"/>
        <item x="498"/>
        <item x="504"/>
        <item x="101"/>
        <item x="195"/>
        <item x="413"/>
        <item x="619"/>
        <item x="614"/>
        <item x="199"/>
        <item x="846"/>
        <item x="57"/>
        <item x="172"/>
        <item x="232"/>
        <item x="570"/>
        <item x="532"/>
        <item x="601"/>
        <item x="412"/>
        <item x="324"/>
        <item x="268"/>
        <item x="120"/>
        <item x="695"/>
        <item x="766"/>
        <item x="176"/>
        <item x="292"/>
        <item x="267"/>
        <item x="271"/>
        <item x="775"/>
        <item x="334"/>
        <item x="200"/>
        <item x="341"/>
        <item x="908"/>
        <item x="803"/>
        <item x="533"/>
        <item x="8"/>
        <item x="385"/>
        <item x="275"/>
        <item x="307"/>
        <item x="160"/>
        <item x="310"/>
        <item x="791"/>
        <item x="128"/>
        <item x="355"/>
        <item x="17"/>
        <item x="294"/>
        <item x="78"/>
        <item x="711"/>
        <item x="571"/>
        <item x="719"/>
        <item x="790"/>
        <item x="105"/>
        <item x="484"/>
        <item x="151"/>
        <item x="410"/>
        <item x="3"/>
        <item x="256"/>
        <item x="430"/>
        <item x="545"/>
        <item x="202"/>
        <item x="751"/>
        <item x="629"/>
        <item x="153"/>
        <item x="392"/>
        <item x="26"/>
        <item x="665"/>
        <item x="400"/>
        <item x="37"/>
        <item x="644"/>
        <item x="406"/>
        <item x="418"/>
        <item x="632"/>
        <item x="557"/>
        <item x="180"/>
        <item x="138"/>
        <item x="759"/>
        <item x="811"/>
        <item x="152"/>
        <item x="464"/>
        <item x="931"/>
        <item x="7"/>
        <item x="664"/>
        <item x="145"/>
        <item x="722"/>
        <item x="253"/>
        <item x="363"/>
        <item x="446"/>
        <item x="29"/>
        <item x="758"/>
        <item x="387"/>
        <item x="397"/>
        <item x="50"/>
        <item x="329"/>
        <item x="654"/>
        <item x="52"/>
        <item x="80"/>
        <item x="245"/>
        <item x="300"/>
        <item x="624"/>
        <item x="567"/>
        <item x="318"/>
        <item x="394"/>
        <item x="687"/>
        <item x="325"/>
        <item x="272"/>
        <item x="443"/>
        <item x="429"/>
        <item x="280"/>
        <item x="39"/>
        <item x="522"/>
        <item x="705"/>
        <item x="171"/>
        <item x="347"/>
        <item x="458"/>
        <item x="535"/>
        <item x="20"/>
        <item x="910"/>
        <item x="548"/>
        <item x="369"/>
        <item x="236"/>
        <item x="112"/>
        <item x="73"/>
        <item x="239"/>
        <item x="926"/>
        <item x="613"/>
        <item x="788"/>
        <item x="125"/>
        <item x="303"/>
        <item x="226"/>
        <item x="291"/>
        <item x="299"/>
        <item x="102"/>
        <item x="600"/>
        <item x="357"/>
        <item x="108"/>
        <item x="511"/>
        <item x="206"/>
        <item x="544"/>
        <item x="354"/>
        <item x="193"/>
        <item x="425"/>
        <item x="340"/>
        <item x="587"/>
        <item x="594"/>
        <item x="21"/>
        <item x="84"/>
        <item x="528"/>
        <item x="642"/>
        <item x="344"/>
        <item x="550"/>
        <item x="219"/>
        <item x="68"/>
        <item x="356"/>
        <item x="672"/>
        <item x="134"/>
        <item x="367"/>
        <item x="196"/>
        <item x="142"/>
        <item x="297"/>
        <item x="591"/>
        <item x="72"/>
        <item x="286"/>
        <item x="379"/>
        <item x="242"/>
        <item x="126"/>
        <item x="816"/>
        <item x="11"/>
        <item x="182"/>
        <item x="364"/>
        <item x="660"/>
        <item x="183"/>
        <item x="432"/>
        <item x="659"/>
        <item x="235"/>
        <item x="850"/>
        <item x="308"/>
        <item x="869"/>
        <item x="534"/>
        <item x="612"/>
        <item x="88"/>
        <item x="93"/>
        <item x="79"/>
        <item x="155"/>
        <item x="179"/>
        <item x="28"/>
        <item x="707"/>
        <item x="18"/>
        <item x="440"/>
        <item x="353"/>
        <item x="258"/>
        <item x="599"/>
        <item x="728"/>
        <item x="309"/>
        <item x="147"/>
        <item x="424"/>
        <item x="168"/>
        <item x="184"/>
        <item x="793"/>
        <item x="574"/>
        <item x="515"/>
        <item x="166"/>
        <item x="699"/>
        <item x="119"/>
        <item x="434"/>
        <item x="422"/>
        <item x="98"/>
        <item x="213"/>
        <item x="459"/>
        <item x="230"/>
        <item x="789"/>
        <item x="582"/>
        <item x="526"/>
        <item x="589"/>
        <item x="190"/>
        <item x="641"/>
        <item x="715"/>
        <item x="706"/>
        <item x="352"/>
        <item x="10"/>
        <item x="42"/>
        <item x="514"/>
        <item x="86"/>
        <item x="76"/>
        <item x="123"/>
        <item x="173"/>
        <item x="282"/>
        <item x="204"/>
        <item x="6"/>
        <item x="842"/>
        <item x="572"/>
        <item x="495"/>
        <item x="740"/>
        <item x="502"/>
        <item x="218"/>
        <item x="628"/>
        <item x="634"/>
        <item x="623"/>
        <item x="576"/>
        <item x="448"/>
        <item x="472"/>
        <item x="4"/>
        <item x="382"/>
        <item x="881"/>
        <item x="551"/>
        <item x="140"/>
        <item x="27"/>
        <item x="405"/>
        <item x="214"/>
        <item x="884"/>
        <item x="222"/>
        <item x="461"/>
        <item x="211"/>
        <item x="787"/>
        <item x="491"/>
        <item x="215"/>
        <item x="296"/>
        <item x="207"/>
        <item x="277"/>
        <item x="635"/>
        <item x="75"/>
        <item x="785"/>
        <item x="466"/>
        <item x="395"/>
        <item x="721"/>
        <item x="523"/>
        <item x="737"/>
        <item x="542"/>
        <item x="233"/>
        <item x="684"/>
        <item x="115"/>
        <item x="396"/>
        <item x="316"/>
        <item x="841"/>
        <item x="110"/>
        <item x="738"/>
        <item x="322"/>
        <item x="247"/>
        <item x="530"/>
        <item x="701"/>
        <item x="552"/>
        <item x="553"/>
        <item x="156"/>
        <item x="501"/>
        <item x="750"/>
        <item x="148"/>
        <item x="854"/>
        <item x="89"/>
        <item x="480"/>
        <item x="227"/>
        <item x="547"/>
        <item x="205"/>
        <item x="198"/>
        <item x="556"/>
        <item x="470"/>
        <item x="366"/>
        <item x="829"/>
        <item x="407"/>
        <item x="821"/>
        <item x="94"/>
        <item x="56"/>
        <item x="113"/>
        <item x="734"/>
        <item x="427"/>
        <item x="305"/>
        <item x="46"/>
        <item x="259"/>
        <item x="565"/>
        <item x="761"/>
        <item x="444"/>
        <item x="58"/>
        <item x="780"/>
        <item x="281"/>
        <item x="554"/>
        <item x="337"/>
        <item x="497"/>
        <item x="92"/>
        <item x="146"/>
        <item x="203"/>
        <item x="225"/>
        <item x="456"/>
        <item x="313"/>
        <item x="404"/>
        <item x="834"/>
        <item x="244"/>
        <item x="779"/>
        <item x="757"/>
        <item x="667"/>
        <item x="730"/>
        <item x="633"/>
        <item x="563"/>
        <item x="450"/>
        <item x="14"/>
        <item x="114"/>
        <item x="668"/>
        <item x="783"/>
        <item x="618"/>
        <item x="748"/>
        <item x="246"/>
        <item x="212"/>
        <item x="509"/>
        <item x="469"/>
        <item x="666"/>
        <item x="735"/>
        <item x="197"/>
        <item x="704"/>
        <item x="657"/>
        <item x="419"/>
        <item x="43"/>
        <item x="596"/>
        <item x="794"/>
        <item x="725"/>
        <item x="192"/>
        <item x="276"/>
        <item x="62"/>
        <item x="327"/>
        <item x="135"/>
        <item x="181"/>
        <item x="393"/>
        <item x="330"/>
        <item x="579"/>
        <item x="163"/>
        <item x="673"/>
        <item x="451"/>
        <item x="264"/>
        <item x="911"/>
        <item x="431"/>
        <item x="578"/>
        <item x="471"/>
        <item x="45"/>
        <item x="60"/>
        <item x="760"/>
        <item x="254"/>
        <item x="674"/>
        <item x="598"/>
        <item x="925"/>
        <item x="928"/>
        <item x="774"/>
        <item x="866"/>
        <item x="489"/>
        <item x="583"/>
        <item x="462"/>
        <item x="559"/>
        <item x="391"/>
        <item x="524"/>
        <item x="899"/>
        <item x="111"/>
        <item x="378"/>
        <item x="651"/>
        <item x="508"/>
        <item x="773"/>
        <item x="858"/>
        <item x="326"/>
        <item x="746"/>
        <item x="603"/>
        <item x="417"/>
        <item x="752"/>
        <item x="492"/>
        <item x="91"/>
        <item x="285"/>
        <item x="487"/>
        <item x="374"/>
        <item x="913"/>
        <item x="577"/>
        <item x="859"/>
        <item x="124"/>
        <item x="836"/>
        <item x="823"/>
        <item x="164"/>
        <item x="767"/>
        <item x="903"/>
        <item x="107"/>
        <item x="897"/>
        <item x="741"/>
        <item x="828"/>
        <item x="863"/>
        <item x="81"/>
        <item x="693"/>
        <item x="312"/>
        <item x="777"/>
        <item x="710"/>
        <item x="505"/>
        <item x="158"/>
        <item x="473"/>
        <item x="898"/>
        <item x="716"/>
        <item x="685"/>
        <item x="77"/>
        <item x="561"/>
        <item x="414"/>
        <item x="546"/>
        <item x="304"/>
        <item x="22"/>
        <item x="442"/>
        <item x="889"/>
        <item x="454"/>
        <item x="611"/>
        <item x="902"/>
        <item x="697"/>
        <item x="853"/>
        <item x="41"/>
        <item x="827"/>
        <item x="262"/>
        <item x="328"/>
        <item x="830"/>
        <item x="870"/>
        <item x="453"/>
        <item x="521"/>
        <item x="186"/>
        <item x="428"/>
        <item x="844"/>
        <item x="220"/>
        <item x="921"/>
        <item x="682"/>
        <item x="445"/>
        <item x="890"/>
        <item x="321"/>
        <item x="298"/>
        <item x="5"/>
        <item x="331"/>
        <item x="371"/>
        <item x="861"/>
        <item x="922"/>
        <item x="726"/>
        <item x="883"/>
        <item x="636"/>
        <item x="872"/>
        <item x="845"/>
        <item x="100"/>
        <item x="798"/>
        <item x="288"/>
        <item x="564"/>
        <item x="555"/>
        <item x="345"/>
        <item x="874"/>
        <item x="744"/>
        <item x="602"/>
        <item x="376"/>
        <item x="909"/>
        <item x="768"/>
        <item x="753"/>
        <item x="449"/>
        <item x="804"/>
        <item x="797"/>
        <item x="813"/>
        <item x="507"/>
        <item x="154"/>
        <item x="479"/>
        <item x="724"/>
        <item x="808"/>
        <item x="317"/>
        <item x="691"/>
        <item x="241"/>
        <item x="117"/>
        <item x="745"/>
        <item x="13"/>
        <item x="689"/>
        <item x="723"/>
        <item x="24"/>
        <item x="527"/>
        <item x="346"/>
        <item x="66"/>
        <item x="69"/>
        <item x="141"/>
        <item x="314"/>
        <item x="763"/>
        <item x="411"/>
        <item x="238"/>
        <item x="677"/>
        <item x="820"/>
        <item x="54"/>
        <item x="338"/>
        <item x="739"/>
        <item x="116"/>
        <item x="754"/>
        <item x="638"/>
        <item x="520"/>
        <item x="923"/>
        <item x="109"/>
        <item x="306"/>
        <item x="368"/>
        <item x="743"/>
        <item x="283"/>
        <item x="824"/>
        <item x="95"/>
        <item x="895"/>
        <item x="420"/>
        <item x="252"/>
        <item x="482"/>
        <item x="864"/>
        <item x="477"/>
        <item x="568"/>
        <item x="381"/>
        <item x="831"/>
        <item x="263"/>
        <item x="573"/>
        <item x="840"/>
        <item x="549"/>
        <item x="350"/>
        <item x="732"/>
        <item x="558"/>
        <item x="812"/>
        <item x="433"/>
        <item x="900"/>
        <item x="876"/>
        <item x="849"/>
        <item x="194"/>
        <item x="818"/>
        <item x="871"/>
        <item x="67"/>
        <item x="709"/>
        <item x="475"/>
        <item x="729"/>
        <item x="543"/>
        <item x="287"/>
        <item x="539"/>
        <item x="765"/>
        <item x="358"/>
        <item x="279"/>
        <item x="361"/>
        <item x="875"/>
        <item x="620"/>
        <item x="320"/>
        <item x="919"/>
        <item x="435"/>
        <item x="904"/>
        <item x="835"/>
        <item x="540"/>
        <item x="593"/>
        <item x="772"/>
        <item x="386"/>
        <item x="319"/>
        <item x="74"/>
        <item x="175"/>
        <item x="653"/>
        <item x="617"/>
        <item x="852"/>
        <item x="720"/>
        <item x="485"/>
        <item x="882"/>
        <item x="733"/>
        <item x="460"/>
        <item x="339"/>
        <item x="518"/>
        <item x="250"/>
        <item x="901"/>
        <item x="681"/>
        <item x="698"/>
        <item x="649"/>
        <item x="290"/>
        <item x="683"/>
        <item x="892"/>
        <item x="867"/>
        <item x="348"/>
        <item x="782"/>
        <item x="562"/>
        <item x="315"/>
        <item x="586"/>
        <item x="756"/>
        <item x="189"/>
        <item x="920"/>
        <item x="671"/>
        <item x="2"/>
        <item x="506"/>
        <item x="792"/>
        <item x="703"/>
        <item x="643"/>
        <item x="851"/>
        <item x="610"/>
        <item x="349"/>
        <item x="531"/>
        <item x="575"/>
        <item x="251"/>
        <item x="675"/>
        <item x="64"/>
        <item x="377"/>
        <item x="467"/>
        <item x="670"/>
        <item x="560"/>
        <item x="749"/>
        <item x="886"/>
        <item x="814"/>
        <item x="802"/>
        <item x="796"/>
        <item x="566"/>
        <item x="118"/>
        <item x="622"/>
        <item x="658"/>
        <item x="696"/>
        <item x="517"/>
        <item x="933"/>
        <item x="873"/>
        <item x="537"/>
        <item x="800"/>
        <item x="915"/>
        <item x="817"/>
        <item x="12"/>
        <item x="529"/>
        <item x="650"/>
        <item x="106"/>
        <item x="103"/>
        <item x="323"/>
        <item x="776"/>
        <item x="906"/>
        <item x="930"/>
        <item x="801"/>
        <item x="713"/>
        <item x="474"/>
        <item x="149"/>
        <item x="656"/>
        <item x="868"/>
        <item x="799"/>
        <item x="778"/>
        <item x="847"/>
        <item x="274"/>
        <item x="810"/>
        <item x="916"/>
        <item x="809"/>
        <item x="447"/>
        <item x="764"/>
        <item x="360"/>
        <item x="731"/>
        <item x="493"/>
        <item x="795"/>
        <item x="663"/>
        <item x="185"/>
        <item x="87"/>
        <item x="481"/>
        <item x="177"/>
        <item x="784"/>
        <item x="819"/>
        <item x="519"/>
        <item x="584"/>
        <item x="717"/>
        <item x="700"/>
        <item x="637"/>
        <item x="839"/>
        <item x="44"/>
        <item x="837"/>
        <item x="525"/>
        <item x="40"/>
        <item x="652"/>
        <item x="131"/>
        <item x="838"/>
        <item x="692"/>
        <item x="510"/>
        <item x="223"/>
        <item x="825"/>
        <item x="516"/>
        <item x="786"/>
        <item x="513"/>
        <item x="907"/>
        <item x="714"/>
        <item x="662"/>
        <item x="770"/>
        <item x="311"/>
        <item x="878"/>
        <item x="865"/>
        <item x="924"/>
        <item x="927"/>
        <item x="912"/>
        <item x="688"/>
        <item x="891"/>
        <item x="284"/>
        <item x="781"/>
        <item x="676"/>
        <item x="96"/>
        <item x="747"/>
        <item x="373"/>
        <item x="694"/>
        <item x="806"/>
        <item x="31"/>
        <item x="621"/>
        <item x="416"/>
        <item x="616"/>
        <item x="488"/>
        <item x="626"/>
        <item x="832"/>
        <item x="648"/>
        <item x="880"/>
        <item x="815"/>
        <item x="640"/>
        <item x="499"/>
        <item x="917"/>
        <item x="896"/>
        <item x="702"/>
        <item x="712"/>
        <item x="36"/>
        <item x="914"/>
        <item x="645"/>
        <item x="437"/>
        <item x="718"/>
        <item x="848"/>
        <item x="708"/>
        <item x="833"/>
        <item x="894"/>
        <item t="default"/>
      </items>
    </pivotField>
    <pivotField showAll="0"/>
    <pivotField numFmtId="15"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numFmtId="15" showAll="0"/>
    <pivotField showAll="0"/>
    <pivotField showAll="0"/>
    <pivotField showAll="0"/>
    <pivotField showAll="0"/>
    <pivotField name="County Name" axis="axisRow" showAll="0" measureFilter="1" sortType="descending">
      <items count="59">
        <item x="21"/>
        <item x="0"/>
        <item x="46"/>
        <item x="51"/>
        <item x="14"/>
        <item x="54"/>
        <item x="1"/>
        <item x="57"/>
        <item x="42"/>
        <item x="2"/>
        <item x="27"/>
        <item x="44"/>
        <item x="33"/>
        <item x="15"/>
        <item x="22"/>
        <item x="34"/>
        <item x="50"/>
        <item x="55"/>
        <item x="3"/>
        <item x="37"/>
        <item x="43"/>
        <item x="40"/>
        <item x="29"/>
        <item x="24"/>
        <item x="39"/>
        <item x="47"/>
        <item x="49"/>
        <item x="16"/>
        <item x="4"/>
        <item x="25"/>
        <item x="5"/>
        <item x="35"/>
        <item x="23"/>
        <item x="6"/>
        <item x="36"/>
        <item x="7"/>
        <item x="8"/>
        <item x="17"/>
        <item x="26"/>
        <item x="41"/>
        <item x="9"/>
        <item x="10"/>
        <item x="11"/>
        <item x="32"/>
        <item x="53"/>
        <item x="48"/>
        <item x="30"/>
        <item x="38"/>
        <item x="18"/>
        <item x="19"/>
        <item x="31"/>
        <item x="12"/>
        <item x="45"/>
        <item x="20"/>
        <item x="52"/>
        <item x="13"/>
        <item x="28"/>
        <item x="56"/>
        <item t="default"/>
      </items>
      <autoSortScope>
        <pivotArea dataOnly="0" outline="0" fieldPosition="0">
          <references count="1">
            <reference field="4294967294" count="1" selected="0">
              <x v="0"/>
            </reference>
          </references>
        </pivotArea>
      </autoSortScope>
    </pivotField>
    <pivotField showAll="0">
      <items count="16">
        <item x="7"/>
        <item x="3"/>
        <item x="1"/>
        <item x="2"/>
        <item x="5"/>
        <item x="0"/>
        <item x="4"/>
        <item x="6"/>
        <item x="9"/>
        <item x="8"/>
        <item x="14"/>
        <item x="11"/>
        <item x="13"/>
        <item x="10"/>
        <item x="12"/>
        <item t="default"/>
      </items>
    </pivotField>
    <pivotField axis="axisRow" showAll="0">
      <items count="14">
        <item sd="0" x="0"/>
        <item sd="0" x="1"/>
        <item sd="0" x="2"/>
        <item sd="0" x="3"/>
        <item sd="0" x="4"/>
        <item sd="0" x="5"/>
        <item sd="0" x="6"/>
        <item sd="0" x="7"/>
        <item sd="0" x="8"/>
        <item sd="0" x="9"/>
        <item sd="0" x="10"/>
        <item sd="0" x="11"/>
        <item sd="0" x="12"/>
        <item t="default"/>
      </items>
    </pivotField>
    <pivotField showAll="0"/>
    <pivotField showAll="0">
      <items count="8">
        <item x="0"/>
        <item x="1"/>
        <item x="2"/>
        <item x="4"/>
        <item x="3"/>
        <item x="5"/>
        <item x="6"/>
        <item t="default"/>
      </items>
    </pivotField>
    <pivotField showAll="0">
      <items count="10">
        <item x="5"/>
        <item x="3"/>
        <item x="1"/>
        <item x="2"/>
        <item x="4"/>
        <item x="0"/>
        <item x="8"/>
        <item x="6"/>
        <item x="7"/>
        <item t="default"/>
      </items>
    </pivotField>
    <pivotField showAll="0">
      <items count="15">
        <item x="0"/>
        <item x="1"/>
        <item x="2"/>
        <item x="3"/>
        <item x="4"/>
        <item x="5"/>
        <item x="6"/>
        <item x="7"/>
        <item x="8"/>
        <item x="9"/>
        <item x="10"/>
        <item x="11"/>
        <item x="12"/>
        <item x="13"/>
        <item t="default"/>
      </items>
    </pivotField>
    <pivotField showAll="0">
      <items count="201">
        <item x="4"/>
        <item x="198"/>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199"/>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0"/>
        <item x="1"/>
        <item x="2"/>
        <item x="3"/>
        <item t="default"/>
      </items>
    </pivotField>
  </pivotFields>
  <rowFields count="2">
    <field x="13"/>
    <field x="11"/>
  </rowFields>
  <rowItems count="14">
    <i>
      <x/>
    </i>
    <i>
      <x v="1"/>
    </i>
    <i>
      <x v="2"/>
    </i>
    <i>
      <x v="3"/>
    </i>
    <i>
      <x v="4"/>
    </i>
    <i>
      <x v="5"/>
    </i>
    <i>
      <x v="6"/>
    </i>
    <i>
      <x v="7"/>
    </i>
    <i>
      <x v="8"/>
    </i>
    <i>
      <x v="9"/>
    </i>
    <i>
      <x v="10"/>
    </i>
    <i>
      <x v="11"/>
    </i>
    <i>
      <x v="12"/>
    </i>
    <i t="grand">
      <x/>
    </i>
  </rowItems>
  <colItems count="1">
    <i/>
  </colItems>
  <dataFields count="1">
    <dataField name="Maximum Order Count" fld="0" subtotal="count" baseField="13" baseItem="0"/>
  </dataFields>
  <formats count="1">
    <format dxfId="4">
      <pivotArea dataOnly="0" labelOnly="1" outline="0" axis="axisValues" fieldPosition="0"/>
    </format>
  </formats>
  <pivotTableStyleInfo name="PivotStyleLight16" showRowHeaders="1" showColHeaders="1" showRowStripes="0" showColStripes="0" showLastColumn="1"/>
  <filters count="1">
    <filter fld="11" type="count" evalOrder="-1" id="2" iMeasureFld="0">
      <autoFilter ref="A1">
        <filterColumn colId="0">
          <top10 val="1" filterVal="1"/>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59D455EC-B0E8-4913-9EC8-5967E9FB5D3F}" name="PivotTable2"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F3:BM25" firstHeaderRow="1" firstDataRow="2" firstDataCol="1"/>
  <pivotFields count="19">
    <pivotField showAll="0"/>
    <pivotField axis="axisRow" showAll="0" sortType="descending">
      <items count="21">
        <item x="14"/>
        <item x="10"/>
        <item x="12"/>
        <item x="15"/>
        <item x="4"/>
        <item x="7"/>
        <item x="6"/>
        <item x="19"/>
        <item x="18"/>
        <item x="11"/>
        <item x="17"/>
        <item x="5"/>
        <item x="0"/>
        <item x="2"/>
        <item x="9"/>
        <item x="16"/>
        <item x="1"/>
        <item x="13"/>
        <item x="8"/>
        <item x="3"/>
        <item t="default"/>
      </items>
      <autoSortScope>
        <pivotArea dataOnly="0" outline="0" fieldPosition="0">
          <references count="2">
            <reference field="4294967294" count="1" selected="0">
              <x v="0"/>
            </reference>
            <reference field="11" count="1" selected="0">
              <x v="42"/>
            </reference>
          </references>
        </pivotArea>
      </autoSortScope>
    </pivotField>
    <pivotField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items count="935">
        <item x="178"/>
        <item x="159"/>
        <item x="97"/>
        <item x="441"/>
        <item x="265"/>
        <item x="401"/>
        <item x="0"/>
        <item x="408"/>
        <item x="229"/>
        <item x="370"/>
        <item x="61"/>
        <item x="463"/>
        <item x="860"/>
        <item x="604"/>
        <item x="426"/>
        <item x="608"/>
        <item x="877"/>
        <item x="932"/>
        <item x="822"/>
        <item x="150"/>
        <item x="335"/>
        <item x="885"/>
        <item x="888"/>
        <item x="169"/>
        <item x="609"/>
        <item x="826"/>
        <item x="905"/>
        <item x="862"/>
        <item x="270"/>
        <item x="221"/>
        <item x="503"/>
        <item x="476"/>
        <item x="536"/>
        <item x="388"/>
        <item x="678"/>
        <item x="455"/>
        <item x="83"/>
        <item x="255"/>
        <item x="137"/>
        <item x="35"/>
        <item x="496"/>
        <item x="398"/>
        <item x="342"/>
        <item x="261"/>
        <item x="857"/>
        <item x="655"/>
        <item x="879"/>
        <item x="639"/>
        <item x="569"/>
        <item x="384"/>
        <item x="929"/>
        <item x="771"/>
        <item x="727"/>
        <item x="161"/>
        <item x="893"/>
        <item x="25"/>
        <item x="228"/>
        <item x="130"/>
        <item x="71"/>
        <item x="53"/>
        <item x="606"/>
        <item x="762"/>
        <item x="383"/>
        <item x="856"/>
        <item x="99"/>
        <item x="465"/>
        <item x="585"/>
        <item x="333"/>
        <item x="104"/>
        <item x="129"/>
        <item x="30"/>
        <item x="359"/>
        <item x="55"/>
        <item x="918"/>
        <item x="415"/>
        <item x="266"/>
        <item x="478"/>
        <item x="82"/>
        <item x="157"/>
        <item x="490"/>
        <item x="260"/>
        <item x="736"/>
        <item x="127"/>
        <item x="293"/>
        <item x="580"/>
        <item x="468"/>
        <item x="289"/>
        <item x="390"/>
        <item x="588"/>
        <item x="65"/>
        <item x="438"/>
        <item x="191"/>
        <item x="210"/>
        <item x="302"/>
        <item x="332"/>
        <item x="592"/>
        <item x="33"/>
        <item x="301"/>
        <item x="421"/>
        <item x="595"/>
        <item x="237"/>
        <item x="597"/>
        <item x="208"/>
        <item x="9"/>
        <item x="243"/>
        <item x="351"/>
        <item x="188"/>
        <item x="625"/>
        <item x="409"/>
        <item x="887"/>
        <item x="59"/>
        <item x="372"/>
        <item x="121"/>
        <item x="139"/>
        <item x="234"/>
        <item x="174"/>
        <item x="483"/>
        <item x="273"/>
        <item x="209"/>
        <item x="661"/>
        <item x="512"/>
        <item x="51"/>
        <item x="278"/>
        <item x="249"/>
        <item x="362"/>
        <item x="605"/>
        <item x="486"/>
        <item x="187"/>
        <item x="769"/>
        <item x="403"/>
        <item x="19"/>
        <item x="631"/>
        <item x="855"/>
        <item x="423"/>
        <item x="170"/>
        <item x="679"/>
        <item x="136"/>
        <item x="122"/>
        <item x="269"/>
        <item x="615"/>
        <item x="457"/>
        <item x="133"/>
        <item x="23"/>
        <item x="38"/>
        <item x="439"/>
        <item x="494"/>
        <item x="48"/>
        <item x="436"/>
        <item x="49"/>
        <item x="399"/>
        <item x="295"/>
        <item x="807"/>
        <item x="336"/>
        <item x="231"/>
        <item x="843"/>
        <item x="389"/>
        <item x="646"/>
        <item x="343"/>
        <item x="627"/>
        <item x="257"/>
        <item x="742"/>
        <item x="805"/>
        <item x="70"/>
        <item x="365"/>
        <item x="85"/>
        <item x="167"/>
        <item x="144"/>
        <item x="538"/>
        <item x="690"/>
        <item x="581"/>
        <item x="402"/>
        <item x="143"/>
        <item x="647"/>
        <item x="669"/>
        <item x="686"/>
        <item x="47"/>
        <item x="755"/>
        <item x="32"/>
        <item x="500"/>
        <item x="90"/>
        <item x="224"/>
        <item x="165"/>
        <item x="248"/>
        <item x="162"/>
        <item x="1"/>
        <item x="630"/>
        <item x="607"/>
        <item x="15"/>
        <item x="452"/>
        <item x="16"/>
        <item x="63"/>
        <item x="375"/>
        <item x="541"/>
        <item x="217"/>
        <item x="680"/>
        <item x="132"/>
        <item x="216"/>
        <item x="590"/>
        <item x="34"/>
        <item x="201"/>
        <item x="380"/>
        <item x="240"/>
        <item x="498"/>
        <item x="504"/>
        <item x="101"/>
        <item x="195"/>
        <item x="413"/>
        <item x="619"/>
        <item x="614"/>
        <item x="199"/>
        <item x="846"/>
        <item x="57"/>
        <item x="172"/>
        <item x="232"/>
        <item x="570"/>
        <item x="532"/>
        <item x="601"/>
        <item x="412"/>
        <item x="324"/>
        <item x="268"/>
        <item x="120"/>
        <item x="695"/>
        <item x="766"/>
        <item x="176"/>
        <item x="292"/>
        <item x="267"/>
        <item x="271"/>
        <item x="775"/>
        <item x="334"/>
        <item x="200"/>
        <item x="341"/>
        <item x="908"/>
        <item x="803"/>
        <item x="533"/>
        <item x="8"/>
        <item x="385"/>
        <item x="275"/>
        <item x="307"/>
        <item x="160"/>
        <item x="310"/>
        <item x="791"/>
        <item x="128"/>
        <item x="355"/>
        <item x="17"/>
        <item x="294"/>
        <item x="78"/>
        <item x="711"/>
        <item x="571"/>
        <item x="719"/>
        <item x="790"/>
        <item x="105"/>
        <item x="484"/>
        <item x="151"/>
        <item x="410"/>
        <item x="3"/>
        <item x="256"/>
        <item x="430"/>
        <item x="545"/>
        <item x="202"/>
        <item x="751"/>
        <item x="629"/>
        <item x="153"/>
        <item x="392"/>
        <item x="26"/>
        <item x="665"/>
        <item x="400"/>
        <item x="37"/>
        <item x="644"/>
        <item x="406"/>
        <item x="418"/>
        <item x="632"/>
        <item x="557"/>
        <item x="180"/>
        <item x="138"/>
        <item x="759"/>
        <item x="811"/>
        <item x="152"/>
        <item x="464"/>
        <item x="931"/>
        <item x="7"/>
        <item x="664"/>
        <item x="145"/>
        <item x="722"/>
        <item x="253"/>
        <item x="363"/>
        <item x="446"/>
        <item x="29"/>
        <item x="758"/>
        <item x="387"/>
        <item x="397"/>
        <item x="50"/>
        <item x="329"/>
        <item x="654"/>
        <item x="52"/>
        <item x="80"/>
        <item x="245"/>
        <item x="300"/>
        <item x="624"/>
        <item x="567"/>
        <item x="318"/>
        <item x="394"/>
        <item x="687"/>
        <item x="325"/>
        <item x="272"/>
        <item x="443"/>
        <item x="429"/>
        <item x="280"/>
        <item x="39"/>
        <item x="522"/>
        <item x="705"/>
        <item x="171"/>
        <item x="347"/>
        <item x="458"/>
        <item x="535"/>
        <item x="20"/>
        <item x="910"/>
        <item x="548"/>
        <item x="369"/>
        <item x="236"/>
        <item x="112"/>
        <item x="73"/>
        <item x="239"/>
        <item x="926"/>
        <item x="613"/>
        <item x="788"/>
        <item x="125"/>
        <item x="303"/>
        <item x="226"/>
        <item x="291"/>
        <item x="299"/>
        <item x="102"/>
        <item x="600"/>
        <item x="357"/>
        <item x="108"/>
        <item x="511"/>
        <item x="206"/>
        <item x="544"/>
        <item x="354"/>
        <item x="193"/>
        <item x="425"/>
        <item x="340"/>
        <item x="587"/>
        <item x="594"/>
        <item x="21"/>
        <item x="84"/>
        <item x="528"/>
        <item x="642"/>
        <item x="344"/>
        <item x="550"/>
        <item x="219"/>
        <item x="68"/>
        <item x="356"/>
        <item x="672"/>
        <item x="134"/>
        <item x="367"/>
        <item x="196"/>
        <item x="142"/>
        <item x="297"/>
        <item x="591"/>
        <item x="72"/>
        <item x="286"/>
        <item x="379"/>
        <item x="242"/>
        <item x="126"/>
        <item x="816"/>
        <item x="11"/>
        <item x="182"/>
        <item x="364"/>
        <item x="660"/>
        <item x="183"/>
        <item x="432"/>
        <item x="659"/>
        <item x="235"/>
        <item x="850"/>
        <item x="308"/>
        <item x="869"/>
        <item x="534"/>
        <item x="612"/>
        <item x="88"/>
        <item x="93"/>
        <item x="79"/>
        <item x="155"/>
        <item x="179"/>
        <item x="28"/>
        <item x="707"/>
        <item x="18"/>
        <item x="440"/>
        <item x="353"/>
        <item x="258"/>
        <item x="599"/>
        <item x="728"/>
        <item x="309"/>
        <item x="147"/>
        <item x="424"/>
        <item x="168"/>
        <item x="184"/>
        <item x="793"/>
        <item x="574"/>
        <item x="515"/>
        <item x="166"/>
        <item x="699"/>
        <item x="119"/>
        <item x="434"/>
        <item x="422"/>
        <item x="98"/>
        <item x="213"/>
        <item x="459"/>
        <item x="230"/>
        <item x="789"/>
        <item x="582"/>
        <item x="526"/>
        <item x="589"/>
        <item x="190"/>
        <item x="641"/>
        <item x="715"/>
        <item x="706"/>
        <item x="352"/>
        <item x="10"/>
        <item x="42"/>
        <item x="514"/>
        <item x="86"/>
        <item x="76"/>
        <item x="123"/>
        <item x="173"/>
        <item x="282"/>
        <item x="204"/>
        <item x="6"/>
        <item x="842"/>
        <item x="572"/>
        <item x="495"/>
        <item x="740"/>
        <item x="502"/>
        <item x="218"/>
        <item x="628"/>
        <item x="634"/>
        <item x="623"/>
        <item x="576"/>
        <item x="448"/>
        <item x="472"/>
        <item x="4"/>
        <item x="382"/>
        <item x="881"/>
        <item x="551"/>
        <item x="140"/>
        <item x="27"/>
        <item x="405"/>
        <item x="214"/>
        <item x="884"/>
        <item x="222"/>
        <item x="461"/>
        <item x="211"/>
        <item x="787"/>
        <item x="491"/>
        <item x="215"/>
        <item x="296"/>
        <item x="207"/>
        <item x="277"/>
        <item x="635"/>
        <item x="75"/>
        <item x="785"/>
        <item x="466"/>
        <item x="395"/>
        <item x="721"/>
        <item x="523"/>
        <item x="737"/>
        <item x="542"/>
        <item x="233"/>
        <item x="684"/>
        <item x="115"/>
        <item x="396"/>
        <item x="316"/>
        <item x="841"/>
        <item x="110"/>
        <item x="738"/>
        <item x="322"/>
        <item x="247"/>
        <item x="530"/>
        <item x="701"/>
        <item x="552"/>
        <item x="553"/>
        <item x="156"/>
        <item x="501"/>
        <item x="750"/>
        <item x="148"/>
        <item x="854"/>
        <item x="89"/>
        <item x="480"/>
        <item x="227"/>
        <item x="547"/>
        <item x="205"/>
        <item x="198"/>
        <item x="556"/>
        <item x="470"/>
        <item x="366"/>
        <item x="829"/>
        <item x="407"/>
        <item x="821"/>
        <item x="94"/>
        <item x="56"/>
        <item x="113"/>
        <item x="734"/>
        <item x="427"/>
        <item x="305"/>
        <item x="46"/>
        <item x="259"/>
        <item x="565"/>
        <item x="761"/>
        <item x="444"/>
        <item x="58"/>
        <item x="780"/>
        <item x="281"/>
        <item x="554"/>
        <item x="337"/>
        <item x="497"/>
        <item x="92"/>
        <item x="146"/>
        <item x="203"/>
        <item x="225"/>
        <item x="456"/>
        <item x="313"/>
        <item x="404"/>
        <item x="834"/>
        <item x="244"/>
        <item x="779"/>
        <item x="757"/>
        <item x="667"/>
        <item x="730"/>
        <item x="633"/>
        <item x="563"/>
        <item x="450"/>
        <item x="14"/>
        <item x="114"/>
        <item x="668"/>
        <item x="783"/>
        <item x="618"/>
        <item x="748"/>
        <item x="246"/>
        <item x="212"/>
        <item x="509"/>
        <item x="469"/>
        <item x="666"/>
        <item x="735"/>
        <item x="197"/>
        <item x="704"/>
        <item x="657"/>
        <item x="419"/>
        <item x="43"/>
        <item x="596"/>
        <item x="794"/>
        <item x="725"/>
        <item x="192"/>
        <item x="276"/>
        <item x="62"/>
        <item x="327"/>
        <item x="135"/>
        <item x="181"/>
        <item x="393"/>
        <item x="330"/>
        <item x="579"/>
        <item x="163"/>
        <item x="673"/>
        <item x="451"/>
        <item x="264"/>
        <item x="911"/>
        <item x="431"/>
        <item x="578"/>
        <item x="471"/>
        <item x="45"/>
        <item x="60"/>
        <item x="760"/>
        <item x="254"/>
        <item x="674"/>
        <item x="598"/>
        <item x="925"/>
        <item x="928"/>
        <item x="774"/>
        <item x="866"/>
        <item x="489"/>
        <item x="583"/>
        <item x="462"/>
        <item x="559"/>
        <item x="391"/>
        <item x="524"/>
        <item x="899"/>
        <item x="111"/>
        <item x="378"/>
        <item x="651"/>
        <item x="508"/>
        <item x="773"/>
        <item x="858"/>
        <item x="326"/>
        <item x="746"/>
        <item x="603"/>
        <item x="417"/>
        <item x="752"/>
        <item x="492"/>
        <item x="91"/>
        <item x="285"/>
        <item x="487"/>
        <item x="374"/>
        <item x="913"/>
        <item x="577"/>
        <item x="859"/>
        <item x="124"/>
        <item x="836"/>
        <item x="823"/>
        <item x="164"/>
        <item x="767"/>
        <item x="903"/>
        <item x="107"/>
        <item x="897"/>
        <item x="741"/>
        <item x="828"/>
        <item x="863"/>
        <item x="81"/>
        <item x="693"/>
        <item x="312"/>
        <item x="777"/>
        <item x="710"/>
        <item x="505"/>
        <item x="158"/>
        <item x="473"/>
        <item x="898"/>
        <item x="716"/>
        <item x="685"/>
        <item x="77"/>
        <item x="561"/>
        <item x="414"/>
        <item x="546"/>
        <item x="304"/>
        <item x="22"/>
        <item x="442"/>
        <item x="889"/>
        <item x="454"/>
        <item x="611"/>
        <item x="902"/>
        <item x="697"/>
        <item x="853"/>
        <item x="41"/>
        <item x="827"/>
        <item x="262"/>
        <item x="328"/>
        <item x="830"/>
        <item x="870"/>
        <item x="453"/>
        <item x="521"/>
        <item x="186"/>
        <item x="428"/>
        <item x="844"/>
        <item x="220"/>
        <item x="921"/>
        <item x="682"/>
        <item x="445"/>
        <item x="890"/>
        <item x="321"/>
        <item x="298"/>
        <item x="5"/>
        <item x="331"/>
        <item x="371"/>
        <item x="861"/>
        <item x="922"/>
        <item x="726"/>
        <item x="883"/>
        <item x="636"/>
        <item x="872"/>
        <item x="845"/>
        <item x="100"/>
        <item x="798"/>
        <item x="288"/>
        <item x="564"/>
        <item x="555"/>
        <item x="345"/>
        <item x="874"/>
        <item x="744"/>
        <item x="602"/>
        <item x="376"/>
        <item x="909"/>
        <item x="768"/>
        <item x="753"/>
        <item x="449"/>
        <item x="804"/>
        <item x="797"/>
        <item x="813"/>
        <item x="507"/>
        <item x="154"/>
        <item x="479"/>
        <item x="724"/>
        <item x="808"/>
        <item x="317"/>
        <item x="691"/>
        <item x="241"/>
        <item x="117"/>
        <item x="745"/>
        <item x="13"/>
        <item x="689"/>
        <item x="723"/>
        <item x="24"/>
        <item x="527"/>
        <item x="346"/>
        <item x="66"/>
        <item x="69"/>
        <item x="141"/>
        <item x="314"/>
        <item x="763"/>
        <item x="411"/>
        <item x="238"/>
        <item x="677"/>
        <item x="820"/>
        <item x="54"/>
        <item x="338"/>
        <item x="739"/>
        <item x="116"/>
        <item x="754"/>
        <item x="638"/>
        <item x="520"/>
        <item x="923"/>
        <item x="109"/>
        <item x="306"/>
        <item x="368"/>
        <item x="743"/>
        <item x="283"/>
        <item x="824"/>
        <item x="95"/>
        <item x="895"/>
        <item x="420"/>
        <item x="252"/>
        <item x="482"/>
        <item x="864"/>
        <item x="477"/>
        <item x="568"/>
        <item x="381"/>
        <item x="831"/>
        <item x="263"/>
        <item x="573"/>
        <item x="840"/>
        <item x="549"/>
        <item x="350"/>
        <item x="732"/>
        <item x="558"/>
        <item x="812"/>
        <item x="433"/>
        <item x="900"/>
        <item x="876"/>
        <item x="849"/>
        <item x="194"/>
        <item x="818"/>
        <item x="871"/>
        <item x="67"/>
        <item x="709"/>
        <item x="475"/>
        <item x="729"/>
        <item x="543"/>
        <item x="287"/>
        <item x="539"/>
        <item x="765"/>
        <item x="358"/>
        <item x="279"/>
        <item x="361"/>
        <item x="875"/>
        <item x="620"/>
        <item x="320"/>
        <item x="919"/>
        <item x="435"/>
        <item x="904"/>
        <item x="835"/>
        <item x="540"/>
        <item x="593"/>
        <item x="772"/>
        <item x="386"/>
        <item x="319"/>
        <item x="74"/>
        <item x="175"/>
        <item x="653"/>
        <item x="617"/>
        <item x="852"/>
        <item x="720"/>
        <item x="485"/>
        <item x="882"/>
        <item x="733"/>
        <item x="460"/>
        <item x="339"/>
        <item x="518"/>
        <item x="250"/>
        <item x="901"/>
        <item x="681"/>
        <item x="698"/>
        <item x="649"/>
        <item x="290"/>
        <item x="683"/>
        <item x="892"/>
        <item x="867"/>
        <item x="348"/>
        <item x="782"/>
        <item x="562"/>
        <item x="315"/>
        <item x="586"/>
        <item x="756"/>
        <item x="189"/>
        <item x="920"/>
        <item x="671"/>
        <item x="2"/>
        <item x="506"/>
        <item x="792"/>
        <item x="703"/>
        <item x="643"/>
        <item x="851"/>
        <item x="610"/>
        <item x="349"/>
        <item x="531"/>
        <item x="575"/>
        <item x="251"/>
        <item x="675"/>
        <item x="64"/>
        <item x="377"/>
        <item x="467"/>
        <item x="670"/>
        <item x="560"/>
        <item x="749"/>
        <item x="886"/>
        <item x="814"/>
        <item x="802"/>
        <item x="796"/>
        <item x="566"/>
        <item x="118"/>
        <item x="622"/>
        <item x="658"/>
        <item x="696"/>
        <item x="517"/>
        <item x="933"/>
        <item x="873"/>
        <item x="537"/>
        <item x="800"/>
        <item x="915"/>
        <item x="817"/>
        <item x="12"/>
        <item x="529"/>
        <item x="650"/>
        <item x="106"/>
        <item x="103"/>
        <item x="323"/>
        <item x="776"/>
        <item x="906"/>
        <item x="930"/>
        <item x="801"/>
        <item x="713"/>
        <item x="474"/>
        <item x="149"/>
        <item x="656"/>
        <item x="868"/>
        <item x="799"/>
        <item x="778"/>
        <item x="847"/>
        <item x="274"/>
        <item x="810"/>
        <item x="916"/>
        <item x="809"/>
        <item x="447"/>
        <item x="764"/>
        <item x="360"/>
        <item x="731"/>
        <item x="493"/>
        <item x="795"/>
        <item x="663"/>
        <item x="185"/>
        <item x="87"/>
        <item x="481"/>
        <item x="177"/>
        <item x="784"/>
        <item x="819"/>
        <item x="519"/>
        <item x="584"/>
        <item x="717"/>
        <item x="700"/>
        <item x="637"/>
        <item x="839"/>
        <item x="44"/>
        <item x="837"/>
        <item x="525"/>
        <item x="40"/>
        <item x="652"/>
        <item x="131"/>
        <item x="838"/>
        <item x="692"/>
        <item x="510"/>
        <item x="223"/>
        <item x="825"/>
        <item x="516"/>
        <item x="786"/>
        <item x="513"/>
        <item x="907"/>
        <item x="714"/>
        <item x="662"/>
        <item x="770"/>
        <item x="311"/>
        <item x="878"/>
        <item x="865"/>
        <item x="924"/>
        <item x="927"/>
        <item x="912"/>
        <item x="688"/>
        <item x="891"/>
        <item x="284"/>
        <item x="781"/>
        <item x="676"/>
        <item x="96"/>
        <item x="747"/>
        <item x="373"/>
        <item x="694"/>
        <item x="806"/>
        <item x="31"/>
        <item x="621"/>
        <item x="416"/>
        <item x="616"/>
        <item x="488"/>
        <item x="626"/>
        <item x="832"/>
        <item x="648"/>
        <item x="880"/>
        <item x="815"/>
        <item x="640"/>
        <item x="499"/>
        <item x="917"/>
        <item x="896"/>
        <item x="702"/>
        <item x="712"/>
        <item x="36"/>
        <item x="914"/>
        <item x="645"/>
        <item x="437"/>
        <item x="718"/>
        <item x="848"/>
        <item x="708"/>
        <item x="833"/>
        <item x="894"/>
        <item t="default"/>
      </items>
    </pivotField>
    <pivotField dataField="1" showAll="0"/>
    <pivotField numFmtId="15"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numFmtId="15" showAll="0"/>
    <pivotField showAll="0"/>
    <pivotField showAll="0"/>
    <pivotField showAll="0"/>
    <pivotField showAll="0"/>
    <pivotField axis="axisCol" showAll="0" sortType="descending">
      <items count="59">
        <item x="21"/>
        <item x="0"/>
        <item x="46"/>
        <item x="51"/>
        <item x="14"/>
        <item x="54"/>
        <item x="1"/>
        <item x="57"/>
        <item x="42"/>
        <item x="2"/>
        <item x="27"/>
        <item x="44"/>
        <item x="33"/>
        <item x="15"/>
        <item x="22"/>
        <item x="34"/>
        <item x="50"/>
        <item x="55"/>
        <item x="3"/>
        <item x="37"/>
        <item x="43"/>
        <item x="40"/>
        <item x="29"/>
        <item x="24"/>
        <item x="39"/>
        <item x="47"/>
        <item x="49"/>
        <item x="16"/>
        <item x="4"/>
        <item x="25"/>
        <item x="5"/>
        <item x="35"/>
        <item x="23"/>
        <item x="6"/>
        <item x="36"/>
        <item x="7"/>
        <item x="8"/>
        <item x="17"/>
        <item x="26"/>
        <item x="41"/>
        <item x="9"/>
        <item x="10"/>
        <item x="11"/>
        <item x="32"/>
        <item x="53"/>
        <item x="48"/>
        <item x="30"/>
        <item x="38"/>
        <item x="18"/>
        <item x="19"/>
        <item x="31"/>
        <item x="12"/>
        <item x="45"/>
        <item x="20"/>
        <item x="52"/>
        <item x="13"/>
        <item x="28"/>
        <item x="56"/>
        <item t="default"/>
      </items>
      <autoSortScope>
        <pivotArea dataOnly="0" outline="0" fieldPosition="0">
          <references count="1">
            <reference field="4294967294" count="1" selected="0">
              <x v="0"/>
            </reference>
          </references>
        </pivotArea>
      </autoSortScope>
    </pivotField>
    <pivotField showAll="0">
      <items count="16">
        <item x="7"/>
        <item x="3"/>
        <item x="1"/>
        <item x="2"/>
        <item x="5"/>
        <item x="0"/>
        <item x="4"/>
        <item x="6"/>
        <item x="9"/>
        <item x="8"/>
        <item x="14"/>
        <item x="11"/>
        <item x="13"/>
        <item x="10"/>
        <item x="12"/>
        <item t="default"/>
      </items>
    </pivotField>
    <pivotField showAll="0"/>
    <pivotField showAll="0"/>
    <pivotField showAll="0">
      <items count="8">
        <item x="0"/>
        <item x="1"/>
        <item x="2"/>
        <item x="4"/>
        <item x="3"/>
        <item x="5"/>
        <item x="6"/>
        <item t="default"/>
      </items>
    </pivotField>
    <pivotField showAll="0">
      <items count="10">
        <item x="5"/>
        <item x="3"/>
        <item x="1"/>
        <item x="2"/>
        <item x="4"/>
        <item x="0"/>
        <item x="8"/>
        <item x="6"/>
        <item x="7"/>
        <item t="default"/>
      </items>
    </pivotField>
    <pivotField showAll="0">
      <items count="15">
        <item x="0"/>
        <item x="1"/>
        <item x="2"/>
        <item x="3"/>
        <item x="4"/>
        <item x="5"/>
        <item x="6"/>
        <item x="7"/>
        <item x="8"/>
        <item x="9"/>
        <item x="10"/>
        <item x="11"/>
        <item x="12"/>
        <item x="13"/>
        <item t="default"/>
      </items>
    </pivotField>
    <pivotField showAll="0">
      <items count="201">
        <item x="4"/>
        <item x="198"/>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199"/>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0"/>
        <item x="1"/>
        <item x="2"/>
        <item x="3"/>
        <item t="default"/>
      </items>
    </pivotField>
  </pivotFields>
  <rowFields count="1">
    <field x="1"/>
  </rowFields>
  <rowItems count="21">
    <i>
      <x v="13"/>
    </i>
    <i>
      <x v="16"/>
    </i>
    <i>
      <x v="6"/>
    </i>
    <i>
      <x v="1"/>
    </i>
    <i>
      <x v="19"/>
    </i>
    <i>
      <x v="18"/>
    </i>
    <i>
      <x v="5"/>
    </i>
    <i>
      <x v="17"/>
    </i>
    <i>
      <x v="15"/>
    </i>
    <i>
      <x v="4"/>
    </i>
    <i>
      <x v="11"/>
    </i>
    <i>
      <x v="10"/>
    </i>
    <i>
      <x v="14"/>
    </i>
    <i>
      <x v="2"/>
    </i>
    <i>
      <x v="8"/>
    </i>
    <i>
      <x v="9"/>
    </i>
    <i>
      <x v="3"/>
    </i>
    <i>
      <x/>
    </i>
    <i>
      <x v="12"/>
    </i>
    <i>
      <x v="7"/>
    </i>
    <i t="grand">
      <x/>
    </i>
  </rowItems>
  <colFields count="1">
    <field x="11"/>
  </colFields>
  <colItems count="59">
    <i>
      <x v="18"/>
    </i>
    <i>
      <x v="36"/>
    </i>
    <i>
      <x v="33"/>
    </i>
    <i>
      <x v="42"/>
    </i>
    <i>
      <x/>
    </i>
    <i>
      <x v="37"/>
    </i>
    <i>
      <x v="35"/>
    </i>
    <i>
      <x v="48"/>
    </i>
    <i>
      <x v="40"/>
    </i>
    <i>
      <x v="6"/>
    </i>
    <i>
      <x v="9"/>
    </i>
    <i>
      <x v="14"/>
    </i>
    <i>
      <x v="49"/>
    </i>
    <i>
      <x v="55"/>
    </i>
    <i>
      <x v="29"/>
    </i>
    <i>
      <x v="30"/>
    </i>
    <i>
      <x v="32"/>
    </i>
    <i>
      <x v="27"/>
    </i>
    <i>
      <x v="38"/>
    </i>
    <i>
      <x v="41"/>
    </i>
    <i>
      <x v="53"/>
    </i>
    <i>
      <x v="44"/>
    </i>
    <i>
      <x v="47"/>
    </i>
    <i>
      <x v="23"/>
    </i>
    <i>
      <x v="19"/>
    </i>
    <i>
      <x v="12"/>
    </i>
    <i>
      <x v="43"/>
    </i>
    <i>
      <x v="16"/>
    </i>
    <i>
      <x v="11"/>
    </i>
    <i>
      <x v="8"/>
    </i>
    <i>
      <x v="28"/>
    </i>
    <i>
      <x v="26"/>
    </i>
    <i>
      <x v="15"/>
    </i>
    <i>
      <x v="20"/>
    </i>
    <i>
      <x v="54"/>
    </i>
    <i>
      <x v="34"/>
    </i>
    <i>
      <x v="3"/>
    </i>
    <i>
      <x v="50"/>
    </i>
    <i>
      <x v="13"/>
    </i>
    <i>
      <x v="2"/>
    </i>
    <i>
      <x v="56"/>
    </i>
    <i>
      <x v="21"/>
    </i>
    <i>
      <x v="39"/>
    </i>
    <i>
      <x v="10"/>
    </i>
    <i>
      <x v="46"/>
    </i>
    <i>
      <x v="4"/>
    </i>
    <i>
      <x v="51"/>
    </i>
    <i>
      <x v="7"/>
    </i>
    <i>
      <x v="57"/>
    </i>
    <i>
      <x v="22"/>
    </i>
    <i>
      <x v="31"/>
    </i>
    <i>
      <x v="25"/>
    </i>
    <i>
      <x v="52"/>
    </i>
    <i>
      <x v="5"/>
    </i>
    <i>
      <x v="45"/>
    </i>
    <i>
      <x v="24"/>
    </i>
    <i>
      <x v="17"/>
    </i>
    <i>
      <x v="1"/>
    </i>
    <i t="grand">
      <x/>
    </i>
  </colItems>
  <dataFields count="1">
    <dataField name="Sum of Amount"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E8407C04-0421-44C6-B769-7F31B738B8CB}" name="PivotTable8"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rowHeaderCaption="Product">
  <location ref="E85:F106" firstHeaderRow="1" firstDataRow="1" firstDataCol="1"/>
  <pivotFields count="19">
    <pivotField showAll="0"/>
    <pivotField axis="axisRow" showAll="0">
      <items count="21">
        <item x="14"/>
        <item x="10"/>
        <item x="12"/>
        <item x="15"/>
        <item x="4"/>
        <item x="7"/>
        <item x="6"/>
        <item x="19"/>
        <item x="18"/>
        <item x="11"/>
        <item x="17"/>
        <item x="5"/>
        <item x="0"/>
        <item x="2"/>
        <item x="9"/>
        <item x="16"/>
        <item x="1"/>
        <item x="13"/>
        <item x="8"/>
        <item x="3"/>
        <item t="default"/>
      </items>
    </pivotField>
    <pivotField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items count="935">
        <item x="178"/>
        <item x="159"/>
        <item x="97"/>
        <item x="441"/>
        <item x="265"/>
        <item x="401"/>
        <item x="0"/>
        <item x="408"/>
        <item x="229"/>
        <item x="370"/>
        <item x="61"/>
        <item x="463"/>
        <item x="860"/>
        <item x="604"/>
        <item x="426"/>
        <item x="608"/>
        <item x="877"/>
        <item x="932"/>
        <item x="822"/>
        <item x="150"/>
        <item x="335"/>
        <item x="885"/>
        <item x="888"/>
        <item x="169"/>
        <item x="609"/>
        <item x="826"/>
        <item x="905"/>
        <item x="862"/>
        <item x="270"/>
        <item x="221"/>
        <item x="503"/>
        <item x="476"/>
        <item x="536"/>
        <item x="388"/>
        <item x="678"/>
        <item x="455"/>
        <item x="83"/>
        <item x="255"/>
        <item x="137"/>
        <item x="35"/>
        <item x="496"/>
        <item x="398"/>
        <item x="342"/>
        <item x="261"/>
        <item x="857"/>
        <item x="655"/>
        <item x="879"/>
        <item x="639"/>
        <item x="569"/>
        <item x="384"/>
        <item x="929"/>
        <item x="771"/>
        <item x="727"/>
        <item x="161"/>
        <item x="893"/>
        <item x="25"/>
        <item x="228"/>
        <item x="130"/>
        <item x="71"/>
        <item x="53"/>
        <item x="606"/>
        <item x="762"/>
        <item x="383"/>
        <item x="856"/>
        <item x="99"/>
        <item x="465"/>
        <item x="585"/>
        <item x="333"/>
        <item x="104"/>
        <item x="129"/>
        <item x="30"/>
        <item x="359"/>
        <item x="55"/>
        <item x="918"/>
        <item x="415"/>
        <item x="266"/>
        <item x="478"/>
        <item x="82"/>
        <item x="157"/>
        <item x="490"/>
        <item x="260"/>
        <item x="736"/>
        <item x="127"/>
        <item x="293"/>
        <item x="580"/>
        <item x="468"/>
        <item x="289"/>
        <item x="390"/>
        <item x="588"/>
        <item x="65"/>
        <item x="438"/>
        <item x="191"/>
        <item x="210"/>
        <item x="302"/>
        <item x="332"/>
        <item x="592"/>
        <item x="33"/>
        <item x="301"/>
        <item x="421"/>
        <item x="595"/>
        <item x="237"/>
        <item x="597"/>
        <item x="208"/>
        <item x="9"/>
        <item x="243"/>
        <item x="351"/>
        <item x="188"/>
        <item x="625"/>
        <item x="409"/>
        <item x="887"/>
        <item x="59"/>
        <item x="372"/>
        <item x="121"/>
        <item x="139"/>
        <item x="234"/>
        <item x="174"/>
        <item x="483"/>
        <item x="273"/>
        <item x="209"/>
        <item x="661"/>
        <item x="512"/>
        <item x="51"/>
        <item x="278"/>
        <item x="249"/>
        <item x="362"/>
        <item x="605"/>
        <item x="486"/>
        <item x="187"/>
        <item x="769"/>
        <item x="403"/>
        <item x="19"/>
        <item x="631"/>
        <item x="855"/>
        <item x="423"/>
        <item x="170"/>
        <item x="679"/>
        <item x="136"/>
        <item x="122"/>
        <item x="269"/>
        <item x="615"/>
        <item x="457"/>
        <item x="133"/>
        <item x="23"/>
        <item x="38"/>
        <item x="439"/>
        <item x="494"/>
        <item x="48"/>
        <item x="436"/>
        <item x="49"/>
        <item x="399"/>
        <item x="295"/>
        <item x="807"/>
        <item x="336"/>
        <item x="231"/>
        <item x="843"/>
        <item x="389"/>
        <item x="646"/>
        <item x="343"/>
        <item x="627"/>
        <item x="257"/>
        <item x="742"/>
        <item x="805"/>
        <item x="70"/>
        <item x="365"/>
        <item x="85"/>
        <item x="167"/>
        <item x="144"/>
        <item x="538"/>
        <item x="690"/>
        <item x="581"/>
        <item x="402"/>
        <item x="143"/>
        <item x="647"/>
        <item x="669"/>
        <item x="686"/>
        <item x="47"/>
        <item x="755"/>
        <item x="32"/>
        <item x="500"/>
        <item x="90"/>
        <item x="224"/>
        <item x="165"/>
        <item x="248"/>
        <item x="162"/>
        <item x="1"/>
        <item x="630"/>
        <item x="607"/>
        <item x="15"/>
        <item x="452"/>
        <item x="16"/>
        <item x="63"/>
        <item x="375"/>
        <item x="541"/>
        <item x="217"/>
        <item x="680"/>
        <item x="132"/>
        <item x="216"/>
        <item x="590"/>
        <item x="34"/>
        <item x="201"/>
        <item x="380"/>
        <item x="240"/>
        <item x="498"/>
        <item x="504"/>
        <item x="101"/>
        <item x="195"/>
        <item x="413"/>
        <item x="619"/>
        <item x="614"/>
        <item x="199"/>
        <item x="846"/>
        <item x="57"/>
        <item x="172"/>
        <item x="232"/>
        <item x="570"/>
        <item x="532"/>
        <item x="601"/>
        <item x="412"/>
        <item x="324"/>
        <item x="268"/>
        <item x="120"/>
        <item x="695"/>
        <item x="766"/>
        <item x="176"/>
        <item x="292"/>
        <item x="267"/>
        <item x="271"/>
        <item x="775"/>
        <item x="334"/>
        <item x="200"/>
        <item x="341"/>
        <item x="908"/>
        <item x="803"/>
        <item x="533"/>
        <item x="8"/>
        <item x="385"/>
        <item x="275"/>
        <item x="307"/>
        <item x="160"/>
        <item x="310"/>
        <item x="791"/>
        <item x="128"/>
        <item x="355"/>
        <item x="17"/>
        <item x="294"/>
        <item x="78"/>
        <item x="711"/>
        <item x="571"/>
        <item x="719"/>
        <item x="790"/>
        <item x="105"/>
        <item x="484"/>
        <item x="151"/>
        <item x="410"/>
        <item x="3"/>
        <item x="256"/>
        <item x="430"/>
        <item x="545"/>
        <item x="202"/>
        <item x="751"/>
        <item x="629"/>
        <item x="153"/>
        <item x="392"/>
        <item x="26"/>
        <item x="665"/>
        <item x="400"/>
        <item x="37"/>
        <item x="644"/>
        <item x="406"/>
        <item x="418"/>
        <item x="632"/>
        <item x="557"/>
        <item x="180"/>
        <item x="138"/>
        <item x="759"/>
        <item x="811"/>
        <item x="152"/>
        <item x="464"/>
        <item x="931"/>
        <item x="7"/>
        <item x="664"/>
        <item x="145"/>
        <item x="722"/>
        <item x="253"/>
        <item x="363"/>
        <item x="446"/>
        <item x="29"/>
        <item x="758"/>
        <item x="387"/>
        <item x="397"/>
        <item x="50"/>
        <item x="329"/>
        <item x="654"/>
        <item x="52"/>
        <item x="80"/>
        <item x="245"/>
        <item x="300"/>
        <item x="624"/>
        <item x="567"/>
        <item x="318"/>
        <item x="394"/>
        <item x="687"/>
        <item x="325"/>
        <item x="272"/>
        <item x="443"/>
        <item x="429"/>
        <item x="280"/>
        <item x="39"/>
        <item x="522"/>
        <item x="705"/>
        <item x="171"/>
        <item x="347"/>
        <item x="458"/>
        <item x="535"/>
        <item x="20"/>
        <item x="910"/>
        <item x="548"/>
        <item x="369"/>
        <item x="236"/>
        <item x="112"/>
        <item x="73"/>
        <item x="239"/>
        <item x="926"/>
        <item x="613"/>
        <item x="788"/>
        <item x="125"/>
        <item x="303"/>
        <item x="226"/>
        <item x="291"/>
        <item x="299"/>
        <item x="102"/>
        <item x="600"/>
        <item x="357"/>
        <item x="108"/>
        <item x="511"/>
        <item x="206"/>
        <item x="544"/>
        <item x="354"/>
        <item x="193"/>
        <item x="425"/>
        <item x="340"/>
        <item x="587"/>
        <item x="594"/>
        <item x="21"/>
        <item x="84"/>
        <item x="528"/>
        <item x="642"/>
        <item x="344"/>
        <item x="550"/>
        <item x="219"/>
        <item x="68"/>
        <item x="356"/>
        <item x="672"/>
        <item x="134"/>
        <item x="367"/>
        <item x="196"/>
        <item x="142"/>
        <item x="297"/>
        <item x="591"/>
        <item x="72"/>
        <item x="286"/>
        <item x="379"/>
        <item x="242"/>
        <item x="126"/>
        <item x="816"/>
        <item x="11"/>
        <item x="182"/>
        <item x="364"/>
        <item x="660"/>
        <item x="183"/>
        <item x="432"/>
        <item x="659"/>
        <item x="235"/>
        <item x="850"/>
        <item x="308"/>
        <item x="869"/>
        <item x="534"/>
        <item x="612"/>
        <item x="88"/>
        <item x="93"/>
        <item x="79"/>
        <item x="155"/>
        <item x="179"/>
        <item x="28"/>
        <item x="707"/>
        <item x="18"/>
        <item x="440"/>
        <item x="353"/>
        <item x="258"/>
        <item x="599"/>
        <item x="728"/>
        <item x="309"/>
        <item x="147"/>
        <item x="424"/>
        <item x="168"/>
        <item x="184"/>
        <item x="793"/>
        <item x="574"/>
        <item x="515"/>
        <item x="166"/>
        <item x="699"/>
        <item x="119"/>
        <item x="434"/>
        <item x="422"/>
        <item x="98"/>
        <item x="213"/>
        <item x="459"/>
        <item x="230"/>
        <item x="789"/>
        <item x="582"/>
        <item x="526"/>
        <item x="589"/>
        <item x="190"/>
        <item x="641"/>
        <item x="715"/>
        <item x="706"/>
        <item x="352"/>
        <item x="10"/>
        <item x="42"/>
        <item x="514"/>
        <item x="86"/>
        <item x="76"/>
        <item x="123"/>
        <item x="173"/>
        <item x="282"/>
        <item x="204"/>
        <item x="6"/>
        <item x="842"/>
        <item x="572"/>
        <item x="495"/>
        <item x="740"/>
        <item x="502"/>
        <item x="218"/>
        <item x="628"/>
        <item x="634"/>
        <item x="623"/>
        <item x="576"/>
        <item x="448"/>
        <item x="472"/>
        <item x="4"/>
        <item x="382"/>
        <item x="881"/>
        <item x="551"/>
        <item x="140"/>
        <item x="27"/>
        <item x="405"/>
        <item x="214"/>
        <item x="884"/>
        <item x="222"/>
        <item x="461"/>
        <item x="211"/>
        <item x="787"/>
        <item x="491"/>
        <item x="215"/>
        <item x="296"/>
        <item x="207"/>
        <item x="277"/>
        <item x="635"/>
        <item x="75"/>
        <item x="785"/>
        <item x="466"/>
        <item x="395"/>
        <item x="721"/>
        <item x="523"/>
        <item x="737"/>
        <item x="542"/>
        <item x="233"/>
        <item x="684"/>
        <item x="115"/>
        <item x="396"/>
        <item x="316"/>
        <item x="841"/>
        <item x="110"/>
        <item x="738"/>
        <item x="322"/>
        <item x="247"/>
        <item x="530"/>
        <item x="701"/>
        <item x="552"/>
        <item x="553"/>
        <item x="156"/>
        <item x="501"/>
        <item x="750"/>
        <item x="148"/>
        <item x="854"/>
        <item x="89"/>
        <item x="480"/>
        <item x="227"/>
        <item x="547"/>
        <item x="205"/>
        <item x="198"/>
        <item x="556"/>
        <item x="470"/>
        <item x="366"/>
        <item x="829"/>
        <item x="407"/>
        <item x="821"/>
        <item x="94"/>
        <item x="56"/>
        <item x="113"/>
        <item x="734"/>
        <item x="427"/>
        <item x="305"/>
        <item x="46"/>
        <item x="259"/>
        <item x="565"/>
        <item x="761"/>
        <item x="444"/>
        <item x="58"/>
        <item x="780"/>
        <item x="281"/>
        <item x="554"/>
        <item x="337"/>
        <item x="497"/>
        <item x="92"/>
        <item x="146"/>
        <item x="203"/>
        <item x="225"/>
        <item x="456"/>
        <item x="313"/>
        <item x="404"/>
        <item x="834"/>
        <item x="244"/>
        <item x="779"/>
        <item x="757"/>
        <item x="667"/>
        <item x="730"/>
        <item x="633"/>
        <item x="563"/>
        <item x="450"/>
        <item x="14"/>
        <item x="114"/>
        <item x="668"/>
        <item x="783"/>
        <item x="618"/>
        <item x="748"/>
        <item x="246"/>
        <item x="212"/>
        <item x="509"/>
        <item x="469"/>
        <item x="666"/>
        <item x="735"/>
        <item x="197"/>
        <item x="704"/>
        <item x="657"/>
        <item x="419"/>
        <item x="43"/>
        <item x="596"/>
        <item x="794"/>
        <item x="725"/>
        <item x="192"/>
        <item x="276"/>
        <item x="62"/>
        <item x="327"/>
        <item x="135"/>
        <item x="181"/>
        <item x="393"/>
        <item x="330"/>
        <item x="579"/>
        <item x="163"/>
        <item x="673"/>
        <item x="451"/>
        <item x="264"/>
        <item x="911"/>
        <item x="431"/>
        <item x="578"/>
        <item x="471"/>
        <item x="45"/>
        <item x="60"/>
        <item x="760"/>
        <item x="254"/>
        <item x="674"/>
        <item x="598"/>
        <item x="925"/>
        <item x="928"/>
        <item x="774"/>
        <item x="866"/>
        <item x="489"/>
        <item x="583"/>
        <item x="462"/>
        <item x="559"/>
        <item x="391"/>
        <item x="524"/>
        <item x="899"/>
        <item x="111"/>
        <item x="378"/>
        <item x="651"/>
        <item x="508"/>
        <item x="773"/>
        <item x="858"/>
        <item x="326"/>
        <item x="746"/>
        <item x="603"/>
        <item x="417"/>
        <item x="752"/>
        <item x="492"/>
        <item x="91"/>
        <item x="285"/>
        <item x="487"/>
        <item x="374"/>
        <item x="913"/>
        <item x="577"/>
        <item x="859"/>
        <item x="124"/>
        <item x="836"/>
        <item x="823"/>
        <item x="164"/>
        <item x="767"/>
        <item x="903"/>
        <item x="107"/>
        <item x="897"/>
        <item x="741"/>
        <item x="828"/>
        <item x="863"/>
        <item x="81"/>
        <item x="693"/>
        <item x="312"/>
        <item x="777"/>
        <item x="710"/>
        <item x="505"/>
        <item x="158"/>
        <item x="473"/>
        <item x="898"/>
        <item x="716"/>
        <item x="685"/>
        <item x="77"/>
        <item x="561"/>
        <item x="414"/>
        <item x="546"/>
        <item x="304"/>
        <item x="22"/>
        <item x="442"/>
        <item x="889"/>
        <item x="454"/>
        <item x="611"/>
        <item x="902"/>
        <item x="697"/>
        <item x="853"/>
        <item x="41"/>
        <item x="827"/>
        <item x="262"/>
        <item x="328"/>
        <item x="830"/>
        <item x="870"/>
        <item x="453"/>
        <item x="521"/>
        <item x="186"/>
        <item x="428"/>
        <item x="844"/>
        <item x="220"/>
        <item x="921"/>
        <item x="682"/>
        <item x="445"/>
        <item x="890"/>
        <item x="321"/>
        <item x="298"/>
        <item x="5"/>
        <item x="331"/>
        <item x="371"/>
        <item x="861"/>
        <item x="922"/>
        <item x="726"/>
        <item x="883"/>
        <item x="636"/>
        <item x="872"/>
        <item x="845"/>
        <item x="100"/>
        <item x="798"/>
        <item x="288"/>
        <item x="564"/>
        <item x="555"/>
        <item x="345"/>
        <item x="874"/>
        <item x="744"/>
        <item x="602"/>
        <item x="376"/>
        <item x="909"/>
        <item x="768"/>
        <item x="753"/>
        <item x="449"/>
        <item x="804"/>
        <item x="797"/>
        <item x="813"/>
        <item x="507"/>
        <item x="154"/>
        <item x="479"/>
        <item x="724"/>
        <item x="808"/>
        <item x="317"/>
        <item x="691"/>
        <item x="241"/>
        <item x="117"/>
        <item x="745"/>
        <item x="13"/>
        <item x="689"/>
        <item x="723"/>
        <item x="24"/>
        <item x="527"/>
        <item x="346"/>
        <item x="66"/>
        <item x="69"/>
        <item x="141"/>
        <item x="314"/>
        <item x="763"/>
        <item x="411"/>
        <item x="238"/>
        <item x="677"/>
        <item x="820"/>
        <item x="54"/>
        <item x="338"/>
        <item x="739"/>
        <item x="116"/>
        <item x="754"/>
        <item x="638"/>
        <item x="520"/>
        <item x="923"/>
        <item x="109"/>
        <item x="306"/>
        <item x="368"/>
        <item x="743"/>
        <item x="283"/>
        <item x="824"/>
        <item x="95"/>
        <item x="895"/>
        <item x="420"/>
        <item x="252"/>
        <item x="482"/>
        <item x="864"/>
        <item x="477"/>
        <item x="568"/>
        <item x="381"/>
        <item x="831"/>
        <item x="263"/>
        <item x="573"/>
        <item x="840"/>
        <item x="549"/>
        <item x="350"/>
        <item x="732"/>
        <item x="558"/>
        <item x="812"/>
        <item x="433"/>
        <item x="900"/>
        <item x="876"/>
        <item x="849"/>
        <item x="194"/>
        <item x="818"/>
        <item x="871"/>
        <item x="67"/>
        <item x="709"/>
        <item x="475"/>
        <item x="729"/>
        <item x="543"/>
        <item x="287"/>
        <item x="539"/>
        <item x="765"/>
        <item x="358"/>
        <item x="279"/>
        <item x="361"/>
        <item x="875"/>
        <item x="620"/>
        <item x="320"/>
        <item x="919"/>
        <item x="435"/>
        <item x="904"/>
        <item x="835"/>
        <item x="540"/>
        <item x="593"/>
        <item x="772"/>
        <item x="386"/>
        <item x="319"/>
        <item x="74"/>
        <item x="175"/>
        <item x="653"/>
        <item x="617"/>
        <item x="852"/>
        <item x="720"/>
        <item x="485"/>
        <item x="882"/>
        <item x="733"/>
        <item x="460"/>
        <item x="339"/>
        <item x="518"/>
        <item x="250"/>
        <item x="901"/>
        <item x="681"/>
        <item x="698"/>
        <item x="649"/>
        <item x="290"/>
        <item x="683"/>
        <item x="892"/>
        <item x="867"/>
        <item x="348"/>
        <item x="782"/>
        <item x="562"/>
        <item x="315"/>
        <item x="586"/>
        <item x="756"/>
        <item x="189"/>
        <item x="920"/>
        <item x="671"/>
        <item x="2"/>
        <item x="506"/>
        <item x="792"/>
        <item x="703"/>
        <item x="643"/>
        <item x="851"/>
        <item x="610"/>
        <item x="349"/>
        <item x="531"/>
        <item x="575"/>
        <item x="251"/>
        <item x="675"/>
        <item x="64"/>
        <item x="377"/>
        <item x="467"/>
        <item x="670"/>
        <item x="560"/>
        <item x="749"/>
        <item x="886"/>
        <item x="814"/>
        <item x="802"/>
        <item x="796"/>
        <item x="566"/>
        <item x="118"/>
        <item x="622"/>
        <item x="658"/>
        <item x="696"/>
        <item x="517"/>
        <item x="933"/>
        <item x="873"/>
        <item x="537"/>
        <item x="800"/>
        <item x="915"/>
        <item x="817"/>
        <item x="12"/>
        <item x="529"/>
        <item x="650"/>
        <item x="106"/>
        <item x="103"/>
        <item x="323"/>
        <item x="776"/>
        <item x="906"/>
        <item x="930"/>
        <item x="801"/>
        <item x="713"/>
        <item x="474"/>
        <item x="149"/>
        <item x="656"/>
        <item x="868"/>
        <item x="799"/>
        <item x="778"/>
        <item x="847"/>
        <item x="274"/>
        <item x="810"/>
        <item x="916"/>
        <item x="809"/>
        <item x="447"/>
        <item x="764"/>
        <item x="360"/>
        <item x="731"/>
        <item x="493"/>
        <item x="795"/>
        <item x="663"/>
        <item x="185"/>
        <item x="87"/>
        <item x="481"/>
        <item x="177"/>
        <item x="784"/>
        <item x="819"/>
        <item x="519"/>
        <item x="584"/>
        <item x="717"/>
        <item x="700"/>
        <item x="637"/>
        <item x="839"/>
        <item x="44"/>
        <item x="837"/>
        <item x="525"/>
        <item x="40"/>
        <item x="652"/>
        <item x="131"/>
        <item x="838"/>
        <item x="692"/>
        <item x="510"/>
        <item x="223"/>
        <item x="825"/>
        <item x="516"/>
        <item x="786"/>
        <item x="513"/>
        <item x="907"/>
        <item x="714"/>
        <item x="662"/>
        <item x="770"/>
        <item x="311"/>
        <item x="878"/>
        <item x="865"/>
        <item x="924"/>
        <item x="927"/>
        <item x="912"/>
        <item x="688"/>
        <item x="891"/>
        <item x="284"/>
        <item x="781"/>
        <item x="676"/>
        <item x="96"/>
        <item x="747"/>
        <item x="373"/>
        <item x="694"/>
        <item x="806"/>
        <item x="31"/>
        <item x="621"/>
        <item x="416"/>
        <item x="616"/>
        <item x="488"/>
        <item x="626"/>
        <item x="832"/>
        <item x="648"/>
        <item x="880"/>
        <item x="815"/>
        <item x="640"/>
        <item x="499"/>
        <item x="917"/>
        <item x="896"/>
        <item x="702"/>
        <item x="712"/>
        <item x="36"/>
        <item x="914"/>
        <item x="645"/>
        <item x="437"/>
        <item x="718"/>
        <item x="848"/>
        <item x="708"/>
        <item x="833"/>
        <item x="894"/>
        <item t="default"/>
      </items>
    </pivotField>
    <pivotField showAll="0"/>
    <pivotField numFmtId="15"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numFmtId="15" showAll="0"/>
    <pivotField showAll="0">
      <items count="5">
        <item x="0"/>
        <item x="2"/>
        <item x="1"/>
        <item x="3"/>
        <item t="default"/>
      </items>
    </pivotField>
    <pivotField showAll="0">
      <items count="6">
        <item x="0"/>
        <item x="3"/>
        <item x="4"/>
        <item x="2"/>
        <item x="1"/>
        <item t="default"/>
      </items>
    </pivotField>
    <pivotField dataField="1" showAll="0">
      <items count="6">
        <item x="3"/>
        <item x="4"/>
        <item x="1"/>
        <item x="0"/>
        <item x="2"/>
        <item t="default"/>
      </items>
    </pivotField>
    <pivotField showAll="0"/>
    <pivotField name="County Name" showAll="0"/>
    <pivotField showAll="0">
      <items count="16">
        <item x="7"/>
        <item x="3"/>
        <item x="1"/>
        <item x="2"/>
        <item x="5"/>
        <item x="0"/>
        <item x="4"/>
        <item x="6"/>
        <item x="9"/>
        <item x="8"/>
        <item x="14"/>
        <item x="11"/>
        <item x="13"/>
        <item x="10"/>
        <item x="12"/>
        <item t="default"/>
      </items>
    </pivotField>
    <pivotField showAll="0">
      <items count="14">
        <item x="0"/>
        <item sd="0" x="1"/>
        <item sd="0" x="2"/>
        <item sd="0" x="3"/>
        <item sd="0" x="4"/>
        <item sd="0" x="5"/>
        <item sd="0" x="6"/>
        <item sd="0" x="7"/>
        <item sd="0" x="8"/>
        <item sd="0" x="9"/>
        <item sd="0" x="10"/>
        <item sd="0" x="11"/>
        <item sd="0" x="12"/>
        <item t="default"/>
      </items>
    </pivotField>
    <pivotField showAll="0"/>
    <pivotField showAll="0">
      <items count="8">
        <item x="0"/>
        <item x="1"/>
        <item x="2"/>
        <item x="4"/>
        <item x="3"/>
        <item x="5"/>
        <item x="6"/>
        <item t="default"/>
      </items>
    </pivotField>
    <pivotField showAll="0">
      <items count="10">
        <item x="5"/>
        <item x="3"/>
        <item x="1"/>
        <item x="2"/>
        <item x="4"/>
        <item x="0"/>
        <item x="8"/>
        <item x="6"/>
        <item x="7"/>
        <item t="default"/>
      </items>
    </pivotField>
    <pivotField showAll="0">
      <items count="15">
        <item x="0"/>
        <item x="1"/>
        <item x="2"/>
        <item x="3"/>
        <item x="4"/>
        <item x="5"/>
        <item x="6"/>
        <item x="7"/>
        <item x="8"/>
        <item x="9"/>
        <item x="10"/>
        <item x="11"/>
        <item x="12"/>
        <item x="13"/>
        <item t="default"/>
      </items>
    </pivotField>
    <pivotField showAll="0">
      <items count="201">
        <item x="4"/>
        <item x="198"/>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199"/>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0"/>
        <item x="1"/>
        <item x="2"/>
        <item x="3"/>
        <item t="default"/>
      </items>
    </pivotField>
  </pivotFields>
  <rowFields count="1">
    <field x="1"/>
  </rowFields>
  <rowItems count="21">
    <i>
      <x/>
    </i>
    <i>
      <x v="1"/>
    </i>
    <i>
      <x v="2"/>
    </i>
    <i>
      <x v="3"/>
    </i>
    <i>
      <x v="4"/>
    </i>
    <i>
      <x v="5"/>
    </i>
    <i>
      <x v="6"/>
    </i>
    <i>
      <x v="7"/>
    </i>
    <i>
      <x v="8"/>
    </i>
    <i>
      <x v="9"/>
    </i>
    <i>
      <x v="10"/>
    </i>
    <i>
      <x v="11"/>
    </i>
    <i>
      <x v="12"/>
    </i>
    <i>
      <x v="13"/>
    </i>
    <i>
      <x v="14"/>
    </i>
    <i>
      <x v="15"/>
    </i>
    <i>
      <x v="16"/>
    </i>
    <i>
      <x v="17"/>
    </i>
    <i>
      <x v="18"/>
    </i>
    <i>
      <x v="19"/>
    </i>
    <i t="grand">
      <x/>
    </i>
  </rowItems>
  <colItems count="1">
    <i/>
  </colItems>
  <dataFields count="1">
    <dataField name="Average of Rating C" fld="9" subtotal="average" baseField="1" baseItem="12"/>
  </dataFields>
  <formats count="1">
    <format dxfId="5">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Mode" xr10:uid="{782023E0-D69A-42FE-BB2F-A332D36CED14}" sourceName="Order Mode">
  <pivotTables>
    <pivotTable tabId="7" name="PvtRating"/>
    <pivotTable tabId="7" name="PvtCounty"/>
    <pivotTable tabId="7" name="PvtGender"/>
    <pivotTable tabId="7" name="PvtProduct"/>
    <pivotTable tabId="7" name="PvtQuantity"/>
    <pivotTable tabId="7" name="PvtShipment"/>
    <pivotTable tabId="7" name="PvtWeek"/>
    <pivotTable tabId="7" name="PivotTable11"/>
    <pivotTable tabId="7" name="PvtCheck"/>
    <pivotTable tabId="7" name="PivotTable7"/>
  </pivotTables>
  <data>
    <tabular pivotCacheId="204959488">
      <items count="5">
        <i x="0" s="1"/>
        <i x="3" s="1"/>
        <i x="4" s="1"/>
        <i x="2"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_Value" xr10:uid="{3E9CE4AA-FB8A-4537-AC9C-80D7F16E8F38}" sourceName="Gender Value">
  <pivotTables>
    <pivotTable tabId="7" name="PvtRating"/>
    <pivotTable tabId="7" name="PvtCounty"/>
    <pivotTable tabId="7" name="PvtQuantity"/>
    <pivotTable tabId="7" name="PvtShipment"/>
    <pivotTable tabId="7" name="PvtWeek"/>
    <pivotTable tabId="7" name="PvtCheck"/>
    <pivotTable tabId="7" name="PivotTable7"/>
  </pivotTables>
  <data>
    <tabular pivotCacheId="204959488">
      <items count="4">
        <i x="2" s="1"/>
        <i x="1" s="1"/>
        <i x="3"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 Mode" xr10:uid="{17B59146-6DC5-4A84-B6E4-052E77D89B49}" cache="Slicer_Order_Mode" caption="Mode" style="SlicerStyleDark2 2 2" rowHeight="241300"/>
  <slicer name="Gender Value" xr10:uid="{EA75C996-6D9A-4945-9F6C-41E8C7A1F093}" cache="Slicer_Gender_Value" caption="Gender" style="SlicerStyleDark2 2 2"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 Mode 1" xr10:uid="{1209E243-84CE-456C-99F8-3BBD7760CCBC}" cache="Slicer_Order_Mode" caption="Order Mode" rowHeight="241300"/>
  <slicer name="Gender Value 1" xr10:uid="{81F7AA2F-1C3E-48DF-83F1-7E63754B6551}" cache="Slicer_Gender_Value" caption="Gender Value"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2EEAC7A-86FC-461F-9D5F-511044F2AF9D}" name="orders" displayName="orders" ref="A1:O2401" totalsRowShown="0">
  <sortState xmlns:xlrd2="http://schemas.microsoft.com/office/spreadsheetml/2017/richdata2" ref="A2029:O2217">
    <sortCondition descending="1" ref="E2029:E2401"/>
  </sortState>
  <tableColumns count="15">
    <tableColumn id="1" xr3:uid="{835BDA26-C722-4E6F-9298-258C54C0B701}" name="TX ID"/>
    <tableColumn id="2" xr3:uid="{D1EF005A-5696-4529-BA61-93E2EAA2107A}" name="Product"/>
    <tableColumn id="3" xr3:uid="{D49C5075-88A8-4A63-A107-04CDE748DF73}" name="Quantity"/>
    <tableColumn id="4" xr3:uid="{165FB9D7-E05A-4AF9-8E1E-85C779E2F26A}" name="Unit Price"/>
    <tableColumn id="5" xr3:uid="{ADAB0B65-CB79-438E-8639-84ED9A249D6D}" name="Amount"/>
    <tableColumn id="6" xr3:uid="{F1CF05F9-0D26-457F-8C26-9F73C63CDAC6}" name="Order Date" dataDxfId="10"/>
    <tableColumn id="7" xr3:uid="{43BB5DBF-46E1-4185-80C0-4361F55A385C}" name="Ship Date" dataDxfId="9"/>
    <tableColumn id="8" xr3:uid="{414130C9-4E38-42D6-9A5C-4680F86C86A0}" name="Customer Gender"/>
    <tableColumn id="9" xr3:uid="{8BBEC465-D535-4FE0-8A17-D6D08BC95D63}" name="Order Mode"/>
    <tableColumn id="10" xr3:uid="{9F8B8E2F-389A-43C1-A866-C7B34C836FA7}" name="Rating C"/>
    <tableColumn id="15" xr3:uid="{6AB4A82F-B440-4251-B6F1-F7FEC368BCB0}" name="State"/>
    <tableColumn id="14" xr3:uid="{7677905C-5061-4DD9-BB0A-9B3AD4D72582}" name="County"/>
    <tableColumn id="11" xr3:uid="{B121C182-B0E1-414B-A82C-D2FE9133B15C}" name="Days to Deliver" dataDxfId="8">
      <calculatedColumnFormula>orders[[#This Row],[Ship Date]]-orders[[#This Row],[Order Date]]</calculatedColumnFormula>
    </tableColumn>
    <tableColumn id="12" xr3:uid="{B071C0DA-87A9-4516-B4D9-4F5B7D3FF44A}" name="Weeknum" dataDxfId="7">
      <calculatedColumnFormula>WEEKNUM(orders[[#This Row],[Order Date]])</calculatedColumnFormula>
    </tableColumn>
    <tableColumn id="13" xr3:uid="{B8EA9E28-7541-4E76-9935-C26438661A18}" name="Gender Value" dataDxfId="6">
      <calculatedColumnFormula>_xlfn.IFS(orders[[#This Row],[Customer Gender]]="M","Male", orders[[#This Row],[Customer Gender]]="F","Female", orders[[#This Row],[Customer Gender]]="O","Other", TRUE,"Unknown")</calculatedColumnFormula>
    </tableColumn>
  </tableColumns>
  <tableStyleInfo name="TableStyleMedium19" showFirstColumn="0" showLastColumn="0" showRowStripes="1" showColumnStripes="0"/>
</table>
</file>

<file path=xl/theme/theme1.xml><?xml version="1.0" encoding="utf-8"?>
<a:theme xmlns:a="http://schemas.openxmlformats.org/drawingml/2006/main" name="Office Theme">
  <a:themeElements>
    <a:clrScheme name="My_Color">
      <a:dk1>
        <a:sysClr val="windowText" lastClr="000000"/>
      </a:dk1>
      <a:lt1>
        <a:sysClr val="window" lastClr="FFFFFF"/>
      </a:lt1>
      <a:dk2>
        <a:srgbClr val="323232"/>
      </a:dk2>
      <a:lt2>
        <a:srgbClr val="E5C243"/>
      </a:lt2>
      <a:accent1>
        <a:srgbClr val="9FBFAD"/>
      </a:accent1>
      <a:accent2>
        <a:srgbClr val="748C76"/>
      </a:accent2>
      <a:accent3>
        <a:srgbClr val="505947"/>
      </a:accent3>
      <a:accent4>
        <a:srgbClr val="BF7F5A"/>
      </a:accent4>
      <a:accent5>
        <a:srgbClr val="BF3939"/>
      </a:accent5>
      <a:accent6>
        <a:srgbClr val="4887E6"/>
      </a:accent6>
      <a:hlink>
        <a:srgbClr val="6B9F25"/>
      </a:hlink>
      <a:folHlink>
        <a:srgbClr val="B26B02"/>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2.bin"/><Relationship Id="rId4" Type="http://schemas.microsoft.com/office/2007/relationships/slicer" Target="../slicers/slicer1.xml"/></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drawing" Target="../drawings/drawing2.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rinterSettings" Target="../printerSettings/printerSettings3.bin"/><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microsoft.com/office/2007/relationships/slicer" Target="../slicers/slicer2.xml"/></Relationships>
</file>

<file path=xl/worksheets/_rels/sheet5.xml.rels><?xml version="1.0" encoding="UTF-8" standalone="yes"?>
<Relationships xmlns="http://schemas.openxmlformats.org/package/2006/relationships"><Relationship Id="rId3" Type="http://schemas.openxmlformats.org/officeDocument/2006/relationships/printerSettings" Target="../printerSettings/printerSettings4.bin"/><Relationship Id="rId2" Type="http://schemas.openxmlformats.org/officeDocument/2006/relationships/pivotTable" Target="../pivotTables/pivotTable13.xml"/><Relationship Id="rId1" Type="http://schemas.openxmlformats.org/officeDocument/2006/relationships/pivotTable" Target="../pivotTables/pivotTable12.xml"/></Relationships>
</file>

<file path=xl/worksheets/_rels/sheet6.xml.rels><?xml version="1.0" encoding="UTF-8" standalone="yes"?>
<Relationships xmlns="http://schemas.openxmlformats.org/package/2006/relationships"><Relationship Id="rId8" Type="http://schemas.openxmlformats.org/officeDocument/2006/relationships/pivotTable" Target="../pivotTables/pivotTable21.xml"/><Relationship Id="rId3" Type="http://schemas.openxmlformats.org/officeDocument/2006/relationships/pivotTable" Target="../pivotTables/pivotTable16.xml"/><Relationship Id="rId7" Type="http://schemas.openxmlformats.org/officeDocument/2006/relationships/pivotTable" Target="../pivotTables/pivotTable20.xml"/><Relationship Id="rId2" Type="http://schemas.openxmlformats.org/officeDocument/2006/relationships/pivotTable" Target="../pivotTables/pivotTable15.xml"/><Relationship Id="rId1" Type="http://schemas.openxmlformats.org/officeDocument/2006/relationships/pivotTable" Target="../pivotTables/pivotTable14.xml"/><Relationship Id="rId6" Type="http://schemas.openxmlformats.org/officeDocument/2006/relationships/pivotTable" Target="../pivotTables/pivotTable19.xml"/><Relationship Id="rId5" Type="http://schemas.openxmlformats.org/officeDocument/2006/relationships/pivotTable" Target="../pivotTables/pivotTable18.xml"/><Relationship Id="rId10" Type="http://schemas.openxmlformats.org/officeDocument/2006/relationships/pivotTable" Target="../pivotTables/pivotTable23.xml"/><Relationship Id="rId4" Type="http://schemas.openxmlformats.org/officeDocument/2006/relationships/pivotTable" Target="../pivotTables/pivotTable17.xml"/><Relationship Id="rId9" Type="http://schemas.openxmlformats.org/officeDocument/2006/relationships/pivotTable" Target="../pivotTables/pivotTable2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61506A-3745-48E8-B122-40859F30BC7D}">
  <sheetPr codeName="Sheet7"/>
  <dimension ref="A1:AB2401"/>
  <sheetViews>
    <sheetView workbookViewId="0">
      <selection activeCell="E1" sqref="E1:E1048576"/>
    </sheetView>
  </sheetViews>
  <sheetFormatPr defaultRowHeight="14.25"/>
  <cols>
    <col min="2" max="2" width="19.125" bestFit="1" customWidth="1"/>
    <col min="3" max="3" width="8.125" bestFit="1" customWidth="1"/>
    <col min="4" max="4" width="9.125" bestFit="1" customWidth="1"/>
    <col min="5" max="5" width="7.5" bestFit="1" customWidth="1"/>
    <col min="6" max="6" width="10" bestFit="1" customWidth="1"/>
    <col min="7" max="7" width="9.5" bestFit="1" customWidth="1"/>
    <col min="8" max="8" width="15.625" bestFit="1" customWidth="1"/>
    <col min="9" max="9" width="10.625" bestFit="1" customWidth="1"/>
    <col min="10" max="10" width="7.75" bestFit="1" customWidth="1"/>
    <col min="11" max="11" width="8.75" bestFit="1" customWidth="1"/>
    <col min="12" max="12" width="19.625" bestFit="1" customWidth="1"/>
    <col min="13" max="13" width="13.375" bestFit="1" customWidth="1"/>
    <col min="14" max="14" width="9.375" bestFit="1" customWidth="1"/>
    <col min="15" max="15" width="12.125" bestFit="1" customWidth="1"/>
  </cols>
  <sheetData>
    <row r="1" spans="1:28">
      <c r="A1" t="s">
        <v>0</v>
      </c>
      <c r="B1" t="s">
        <v>1</v>
      </c>
      <c r="C1" t="s">
        <v>2</v>
      </c>
      <c r="D1" t="s">
        <v>3</v>
      </c>
      <c r="E1" t="s">
        <v>4</v>
      </c>
      <c r="F1" t="s">
        <v>5</v>
      </c>
      <c r="G1" t="s">
        <v>6</v>
      </c>
      <c r="H1" t="s">
        <v>7</v>
      </c>
      <c r="I1" t="s">
        <v>8</v>
      </c>
      <c r="J1" t="s">
        <v>9</v>
      </c>
      <c r="K1" t="s">
        <v>10</v>
      </c>
      <c r="L1" t="s">
        <v>11</v>
      </c>
      <c r="M1" s="2" t="s">
        <v>12</v>
      </c>
      <c r="N1" s="2" t="s">
        <v>13</v>
      </c>
      <c r="O1" s="2" t="s">
        <v>14</v>
      </c>
    </row>
    <row r="2" spans="1:28">
      <c r="A2" t="s">
        <v>15</v>
      </c>
      <c r="B2" t="s">
        <v>16</v>
      </c>
      <c r="C2">
        <v>1</v>
      </c>
      <c r="D2">
        <v>10.9</v>
      </c>
      <c r="E2">
        <v>10.9</v>
      </c>
      <c r="F2" s="1">
        <v>45658</v>
      </c>
      <c r="G2" s="1">
        <v>45663</v>
      </c>
      <c r="H2" t="s">
        <v>17</v>
      </c>
      <c r="I2" t="s">
        <v>18</v>
      </c>
      <c r="J2">
        <v>4</v>
      </c>
      <c r="K2" t="s">
        <v>19</v>
      </c>
      <c r="L2" t="s">
        <v>20</v>
      </c>
      <c r="M2">
        <f>orders[[#This Row],[Ship Date]]-orders[[#This Row],[Order Date]]</f>
        <v>5</v>
      </c>
      <c r="N2">
        <f>WEEKNUM(orders[[#This Row],[Order Date]])</f>
        <v>1</v>
      </c>
      <c r="O2" t="str">
        <f>_xlfn.IFS(orders[[#This Row],[Customer Gender]]="M","Male", orders[[#This Row],[Customer Gender]]="F","Female", orders[[#This Row],[Customer Gender]]="O","Other", TRUE,"Unknown")</f>
        <v>Unknown</v>
      </c>
    </row>
    <row r="3" spans="1:28" ht="15">
      <c r="A3" t="s">
        <v>21</v>
      </c>
      <c r="B3" t="s">
        <v>22</v>
      </c>
      <c r="C3">
        <v>2</v>
      </c>
      <c r="D3">
        <v>30.6</v>
      </c>
      <c r="E3">
        <v>61.2</v>
      </c>
      <c r="F3" s="1">
        <v>45658</v>
      </c>
      <c r="G3" s="1">
        <v>45660</v>
      </c>
      <c r="H3" t="s">
        <v>23</v>
      </c>
      <c r="I3" t="s">
        <v>18</v>
      </c>
      <c r="J3">
        <v>4</v>
      </c>
      <c r="K3" t="s">
        <v>19</v>
      </c>
      <c r="L3" t="s">
        <v>24</v>
      </c>
      <c r="M3">
        <f>orders[[#This Row],[Ship Date]]-orders[[#This Row],[Order Date]]</f>
        <v>2</v>
      </c>
      <c r="N3">
        <f>WEEKNUM(orders[[#This Row],[Order Date]])</f>
        <v>1</v>
      </c>
      <c r="O3" t="str">
        <f>_xlfn.IFS(orders[[#This Row],[Customer Gender]]="M","Male", orders[[#This Row],[Customer Gender]]="F","Female", orders[[#This Row],[Customer Gender]]="O","Other", TRUE,"Unknown")</f>
        <v>Male</v>
      </c>
      <c r="Q3" s="15" t="s">
        <v>2535</v>
      </c>
      <c r="R3" s="15"/>
      <c r="S3" s="15"/>
      <c r="T3" s="15"/>
      <c r="U3" s="15"/>
      <c r="V3" s="15"/>
      <c r="W3" s="15"/>
      <c r="X3" s="15"/>
      <c r="Y3" s="15"/>
      <c r="Z3" s="15"/>
      <c r="AA3" s="15"/>
      <c r="AB3" s="15"/>
    </row>
    <row r="4" spans="1:28">
      <c r="A4" t="s">
        <v>25</v>
      </c>
      <c r="B4" t="s">
        <v>26</v>
      </c>
      <c r="C4">
        <v>3</v>
      </c>
      <c r="D4">
        <v>109.4</v>
      </c>
      <c r="E4">
        <v>328.20000000000005</v>
      </c>
      <c r="F4" s="1">
        <v>45658</v>
      </c>
      <c r="G4" s="1">
        <v>45661</v>
      </c>
      <c r="H4" t="s">
        <v>27</v>
      </c>
      <c r="I4" t="s">
        <v>18</v>
      </c>
      <c r="J4">
        <v>3</v>
      </c>
      <c r="K4" t="s">
        <v>19</v>
      </c>
      <c r="L4" t="s">
        <v>28</v>
      </c>
      <c r="M4">
        <f>orders[[#This Row],[Ship Date]]-orders[[#This Row],[Order Date]]</f>
        <v>3</v>
      </c>
      <c r="N4">
        <f>WEEKNUM(orders[[#This Row],[Order Date]])</f>
        <v>1</v>
      </c>
      <c r="O4" t="str">
        <f>_xlfn.IFS(orders[[#This Row],[Customer Gender]]="M","Male", orders[[#This Row],[Customer Gender]]="F","Female", orders[[#This Row],[Customer Gender]]="O","Other", TRUE,"Unknown")</f>
        <v>Female</v>
      </c>
      <c r="Q4" t="s">
        <v>2532</v>
      </c>
      <c r="R4" t="s">
        <v>1</v>
      </c>
      <c r="S4" t="s">
        <v>2</v>
      </c>
      <c r="T4" t="s">
        <v>3</v>
      </c>
      <c r="U4" t="s">
        <v>4</v>
      </c>
      <c r="V4" t="s">
        <v>5</v>
      </c>
      <c r="W4" t="s">
        <v>6</v>
      </c>
      <c r="X4" t="s">
        <v>2533</v>
      </c>
      <c r="Y4" t="s">
        <v>8</v>
      </c>
      <c r="Z4" t="s">
        <v>2519</v>
      </c>
      <c r="AA4" t="s">
        <v>10</v>
      </c>
      <c r="AB4" t="s">
        <v>2534</v>
      </c>
    </row>
    <row r="5" spans="1:28">
      <c r="A5" t="s">
        <v>29</v>
      </c>
      <c r="B5" t="s">
        <v>30</v>
      </c>
      <c r="C5">
        <v>7</v>
      </c>
      <c r="D5">
        <v>37.700000000000003</v>
      </c>
      <c r="E5">
        <v>263.90000000000003</v>
      </c>
      <c r="F5" s="1">
        <v>45658</v>
      </c>
      <c r="G5" s="1">
        <v>45659</v>
      </c>
      <c r="H5" t="s">
        <v>27</v>
      </c>
      <c r="I5" t="s">
        <v>18</v>
      </c>
      <c r="J5">
        <v>4</v>
      </c>
      <c r="K5" t="s">
        <v>19</v>
      </c>
      <c r="L5" t="s">
        <v>28</v>
      </c>
      <c r="M5">
        <f>orders[[#This Row],[Ship Date]]-orders[[#This Row],[Order Date]]</f>
        <v>1</v>
      </c>
      <c r="N5">
        <f>WEEKNUM(orders[[#This Row],[Order Date]])</f>
        <v>1</v>
      </c>
      <c r="O5" t="str">
        <f>_xlfn.IFS(orders[[#This Row],[Customer Gender]]="M","Male", orders[[#This Row],[Customer Gender]]="F","Female", orders[[#This Row],[Customer Gender]]="O","Other", TRUE,"Unknown")</f>
        <v>Female</v>
      </c>
      <c r="Q5">
        <f>COUNTBLANK(orders[TX ID])</f>
        <v>0</v>
      </c>
      <c r="R5">
        <f>COUNTBLANK(orders[Product])</f>
        <v>0</v>
      </c>
      <c r="S5">
        <f>COUNTBLANK(orders[Quantity])</f>
        <v>0</v>
      </c>
      <c r="T5">
        <f>COUNTBLANK(orders[Unit Price])</f>
        <v>0</v>
      </c>
      <c r="U5">
        <f>COUNTBLANK(orders[Amount])</f>
        <v>0</v>
      </c>
      <c r="V5">
        <f>COUNTBLANK(orders[Order Date])</f>
        <v>0</v>
      </c>
      <c r="W5">
        <f>COUNTBLANK(orders[Ship Date])</f>
        <v>0</v>
      </c>
      <c r="X5">
        <f>COUNTBLANK(orders[Customer Gender])</f>
        <v>135</v>
      </c>
      <c r="Y5">
        <f>COUNTBLANK(orders[Order Mode])</f>
        <v>0</v>
      </c>
      <c r="Z5">
        <f>COUNTBLANK(orders[Rating C])</f>
        <v>0</v>
      </c>
      <c r="AA5">
        <f>COUNTBLANK(orders[State])</f>
        <v>0</v>
      </c>
      <c r="AB5">
        <f>COUNTBLANK(orders[County])</f>
        <v>0</v>
      </c>
    </row>
    <row r="6" spans="1:28">
      <c r="A6" t="s">
        <v>31</v>
      </c>
      <c r="B6" t="s">
        <v>32</v>
      </c>
      <c r="C6">
        <v>3</v>
      </c>
      <c r="D6">
        <v>56.7</v>
      </c>
      <c r="E6">
        <v>170.10000000000002</v>
      </c>
      <c r="F6" s="1">
        <v>45658</v>
      </c>
      <c r="G6" s="1">
        <v>45661</v>
      </c>
      <c r="H6" t="s">
        <v>27</v>
      </c>
      <c r="I6" t="s">
        <v>18</v>
      </c>
      <c r="J6">
        <v>5</v>
      </c>
      <c r="K6" t="s">
        <v>19</v>
      </c>
      <c r="L6" t="s">
        <v>33</v>
      </c>
      <c r="M6">
        <f>orders[[#This Row],[Ship Date]]-orders[[#This Row],[Order Date]]</f>
        <v>3</v>
      </c>
      <c r="N6">
        <f>WEEKNUM(orders[[#This Row],[Order Date]])</f>
        <v>1</v>
      </c>
      <c r="O6" t="str">
        <f>_xlfn.IFS(orders[[#This Row],[Customer Gender]]="M","Male", orders[[#This Row],[Customer Gender]]="F","Female", orders[[#This Row],[Customer Gender]]="O","Other", TRUE,"Unknown")</f>
        <v>Female</v>
      </c>
    </row>
    <row r="7" spans="1:28">
      <c r="A7" t="s">
        <v>34</v>
      </c>
      <c r="B7" t="s">
        <v>22</v>
      </c>
      <c r="C7">
        <v>12</v>
      </c>
      <c r="D7">
        <v>83.5</v>
      </c>
      <c r="E7">
        <v>1002</v>
      </c>
      <c r="F7" s="1">
        <v>45658</v>
      </c>
      <c r="G7" s="1">
        <v>45661</v>
      </c>
      <c r="H7" t="s">
        <v>23</v>
      </c>
      <c r="I7" t="s">
        <v>35</v>
      </c>
      <c r="J7">
        <v>4</v>
      </c>
      <c r="K7" t="s">
        <v>19</v>
      </c>
      <c r="L7" t="s">
        <v>33</v>
      </c>
      <c r="M7">
        <f>orders[[#This Row],[Ship Date]]-orders[[#This Row],[Order Date]]</f>
        <v>3</v>
      </c>
      <c r="N7">
        <f>WEEKNUM(orders[[#This Row],[Order Date]])</f>
        <v>1</v>
      </c>
      <c r="O7" t="str">
        <f>_xlfn.IFS(orders[[#This Row],[Customer Gender]]="M","Male", orders[[#This Row],[Customer Gender]]="F","Female", orders[[#This Row],[Customer Gender]]="O","Other", TRUE,"Unknown")</f>
        <v>Male</v>
      </c>
    </row>
    <row r="8" spans="1:28">
      <c r="A8" t="s">
        <v>36</v>
      </c>
      <c r="B8" t="s">
        <v>37</v>
      </c>
      <c r="C8">
        <v>1</v>
      </c>
      <c r="D8">
        <v>55.3</v>
      </c>
      <c r="E8">
        <v>55.3</v>
      </c>
      <c r="F8" s="1">
        <v>45658</v>
      </c>
      <c r="G8" s="1">
        <v>45659</v>
      </c>
      <c r="H8" t="s">
        <v>27</v>
      </c>
      <c r="I8" t="s">
        <v>18</v>
      </c>
      <c r="J8">
        <v>4</v>
      </c>
      <c r="K8" t="s">
        <v>19</v>
      </c>
      <c r="L8" t="s">
        <v>33</v>
      </c>
      <c r="M8">
        <f>orders[[#This Row],[Ship Date]]-orders[[#This Row],[Order Date]]</f>
        <v>1</v>
      </c>
      <c r="N8">
        <f>WEEKNUM(orders[[#This Row],[Order Date]])</f>
        <v>1</v>
      </c>
      <c r="O8" t="str">
        <f>_xlfn.IFS(orders[[#This Row],[Customer Gender]]="M","Male", orders[[#This Row],[Customer Gender]]="F","Female", orders[[#This Row],[Customer Gender]]="O","Other", TRUE,"Unknown")</f>
        <v>Female</v>
      </c>
    </row>
    <row r="9" spans="1:28">
      <c r="A9" t="s">
        <v>38</v>
      </c>
      <c r="B9" t="s">
        <v>39</v>
      </c>
      <c r="C9">
        <v>2</v>
      </c>
      <c r="D9">
        <v>40.299999999999997</v>
      </c>
      <c r="E9">
        <v>80.599999999999994</v>
      </c>
      <c r="F9" s="1">
        <v>45658</v>
      </c>
      <c r="G9" s="1">
        <v>45659</v>
      </c>
      <c r="H9" t="s">
        <v>23</v>
      </c>
      <c r="I9" t="s">
        <v>40</v>
      </c>
      <c r="J9">
        <v>5</v>
      </c>
      <c r="K9" t="s">
        <v>19</v>
      </c>
      <c r="L9" t="s">
        <v>33</v>
      </c>
      <c r="M9">
        <f>orders[[#This Row],[Ship Date]]-orders[[#This Row],[Order Date]]</f>
        <v>1</v>
      </c>
      <c r="N9">
        <f>WEEKNUM(orders[[#This Row],[Order Date]])</f>
        <v>1</v>
      </c>
      <c r="O9" t="str">
        <f>_xlfn.IFS(orders[[#This Row],[Customer Gender]]="M","Male", orders[[#This Row],[Customer Gender]]="F","Female", orders[[#This Row],[Customer Gender]]="O","Other", TRUE,"Unknown")</f>
        <v>Male</v>
      </c>
    </row>
    <row r="10" spans="1:28">
      <c r="A10" t="s">
        <v>41</v>
      </c>
      <c r="B10" t="s">
        <v>42</v>
      </c>
      <c r="C10">
        <v>11</v>
      </c>
      <c r="D10">
        <v>35.700000000000003</v>
      </c>
      <c r="E10">
        <v>392.70000000000005</v>
      </c>
      <c r="F10" s="1">
        <v>45658</v>
      </c>
      <c r="G10" s="1">
        <v>45659</v>
      </c>
      <c r="H10" t="s">
        <v>27</v>
      </c>
      <c r="I10" t="s">
        <v>18</v>
      </c>
      <c r="J10">
        <v>4</v>
      </c>
      <c r="K10" t="s">
        <v>19</v>
      </c>
      <c r="L10" t="s">
        <v>33</v>
      </c>
      <c r="M10">
        <f>orders[[#This Row],[Ship Date]]-orders[[#This Row],[Order Date]]</f>
        <v>1</v>
      </c>
      <c r="N10">
        <f>WEEKNUM(orders[[#This Row],[Order Date]])</f>
        <v>1</v>
      </c>
      <c r="O10" t="str">
        <f>_xlfn.IFS(orders[[#This Row],[Customer Gender]]="M","Male", orders[[#This Row],[Customer Gender]]="F","Female", orders[[#This Row],[Customer Gender]]="O","Other", TRUE,"Unknown")</f>
        <v>Female</v>
      </c>
    </row>
    <row r="11" spans="1:28">
      <c r="A11" t="s">
        <v>43</v>
      </c>
      <c r="B11" t="s">
        <v>44</v>
      </c>
      <c r="C11">
        <v>7</v>
      </c>
      <c r="D11">
        <v>22.4</v>
      </c>
      <c r="E11">
        <v>156.79999999999998</v>
      </c>
      <c r="F11" s="1">
        <v>45658</v>
      </c>
      <c r="G11" s="1">
        <v>45661</v>
      </c>
      <c r="H11" t="s">
        <v>23</v>
      </c>
      <c r="I11" t="s">
        <v>18</v>
      </c>
      <c r="J11">
        <v>3</v>
      </c>
      <c r="K11" t="s">
        <v>19</v>
      </c>
      <c r="L11" t="s">
        <v>33</v>
      </c>
      <c r="M11">
        <f>orders[[#This Row],[Ship Date]]-orders[[#This Row],[Order Date]]</f>
        <v>3</v>
      </c>
      <c r="N11">
        <f>WEEKNUM(orders[[#This Row],[Order Date]])</f>
        <v>1</v>
      </c>
      <c r="O11" t="str">
        <f>_xlfn.IFS(orders[[#This Row],[Customer Gender]]="M","Male", orders[[#This Row],[Customer Gender]]="F","Female", orders[[#This Row],[Customer Gender]]="O","Other", TRUE,"Unknown")</f>
        <v>Male</v>
      </c>
    </row>
    <row r="12" spans="1:28">
      <c r="A12" t="s">
        <v>45</v>
      </c>
      <c r="B12" t="s">
        <v>46</v>
      </c>
      <c r="C12">
        <v>2</v>
      </c>
      <c r="D12">
        <v>54.4</v>
      </c>
      <c r="E12">
        <v>108.8</v>
      </c>
      <c r="F12" s="1">
        <v>45658</v>
      </c>
      <c r="G12" s="1">
        <v>45664</v>
      </c>
      <c r="H12" t="s">
        <v>27</v>
      </c>
      <c r="I12" t="s">
        <v>18</v>
      </c>
      <c r="J12">
        <v>4</v>
      </c>
      <c r="K12" t="s">
        <v>19</v>
      </c>
      <c r="L12" t="s">
        <v>33</v>
      </c>
      <c r="M12">
        <f>orders[[#This Row],[Ship Date]]-orders[[#This Row],[Order Date]]</f>
        <v>6</v>
      </c>
      <c r="N12">
        <f>WEEKNUM(orders[[#This Row],[Order Date]])</f>
        <v>1</v>
      </c>
      <c r="O12" t="str">
        <f>_xlfn.IFS(orders[[#This Row],[Customer Gender]]="M","Male", orders[[#This Row],[Customer Gender]]="F","Female", orders[[#This Row],[Customer Gender]]="O","Other", TRUE,"Unknown")</f>
        <v>Female</v>
      </c>
    </row>
    <row r="13" spans="1:28">
      <c r="A13" t="s">
        <v>47</v>
      </c>
      <c r="B13" t="s">
        <v>46</v>
      </c>
      <c r="C13">
        <v>2</v>
      </c>
      <c r="D13">
        <v>49</v>
      </c>
      <c r="E13">
        <v>98</v>
      </c>
      <c r="F13" s="1">
        <v>45658</v>
      </c>
      <c r="G13" s="1">
        <v>45660</v>
      </c>
      <c r="H13" t="s">
        <v>27</v>
      </c>
      <c r="I13" t="s">
        <v>40</v>
      </c>
      <c r="J13">
        <v>3</v>
      </c>
      <c r="K13" t="s">
        <v>19</v>
      </c>
      <c r="L13" t="s">
        <v>33</v>
      </c>
      <c r="M13">
        <f>orders[[#This Row],[Ship Date]]-orders[[#This Row],[Order Date]]</f>
        <v>2</v>
      </c>
      <c r="N13">
        <f>WEEKNUM(orders[[#This Row],[Order Date]])</f>
        <v>1</v>
      </c>
      <c r="O13" t="str">
        <f>_xlfn.IFS(orders[[#This Row],[Customer Gender]]="M","Male", orders[[#This Row],[Customer Gender]]="F","Female", orders[[#This Row],[Customer Gender]]="O","Other", TRUE,"Unknown")</f>
        <v>Female</v>
      </c>
    </row>
    <row r="14" spans="1:28">
      <c r="A14" t="s">
        <v>48</v>
      </c>
      <c r="B14" t="s">
        <v>37</v>
      </c>
      <c r="C14">
        <v>7</v>
      </c>
      <c r="D14">
        <v>118.6</v>
      </c>
      <c r="E14">
        <v>830.19999999999993</v>
      </c>
      <c r="F14" s="1">
        <v>45658</v>
      </c>
      <c r="G14" s="1">
        <v>45662</v>
      </c>
      <c r="H14" t="s">
        <v>27</v>
      </c>
      <c r="I14" t="s">
        <v>35</v>
      </c>
      <c r="J14">
        <v>4</v>
      </c>
      <c r="K14" t="s">
        <v>19</v>
      </c>
      <c r="L14" t="s">
        <v>49</v>
      </c>
      <c r="M14">
        <f>orders[[#This Row],[Ship Date]]-orders[[#This Row],[Order Date]]</f>
        <v>4</v>
      </c>
      <c r="N14">
        <f>WEEKNUM(orders[[#This Row],[Order Date]])</f>
        <v>1</v>
      </c>
      <c r="O14" t="str">
        <f>_xlfn.IFS(orders[[#This Row],[Customer Gender]]="M","Male", orders[[#This Row],[Customer Gender]]="F","Female", orders[[#This Row],[Customer Gender]]="O","Other", TRUE,"Unknown")</f>
        <v>Female</v>
      </c>
    </row>
    <row r="15" spans="1:28">
      <c r="A15" t="s">
        <v>50</v>
      </c>
      <c r="B15" t="s">
        <v>39</v>
      </c>
      <c r="C15">
        <v>27</v>
      </c>
      <c r="D15">
        <v>88.4</v>
      </c>
      <c r="E15">
        <v>2386.8000000000002</v>
      </c>
      <c r="F15" s="1">
        <v>45658</v>
      </c>
      <c r="G15" s="1">
        <v>45665</v>
      </c>
      <c r="H15" t="s">
        <v>23</v>
      </c>
      <c r="I15" t="s">
        <v>51</v>
      </c>
      <c r="J15">
        <v>4</v>
      </c>
      <c r="K15" t="s">
        <v>19</v>
      </c>
      <c r="L15" t="s">
        <v>52</v>
      </c>
      <c r="M15">
        <f>orders[[#This Row],[Ship Date]]-orders[[#This Row],[Order Date]]</f>
        <v>7</v>
      </c>
      <c r="N15">
        <f>WEEKNUM(orders[[#This Row],[Order Date]])</f>
        <v>1</v>
      </c>
      <c r="O15" t="str">
        <f>_xlfn.IFS(orders[[#This Row],[Customer Gender]]="M","Male", orders[[#This Row],[Customer Gender]]="F","Female", orders[[#This Row],[Customer Gender]]="O","Other", TRUE,"Unknown")</f>
        <v>Male</v>
      </c>
    </row>
    <row r="16" spans="1:28">
      <c r="A16" t="s">
        <v>53</v>
      </c>
      <c r="B16" t="s">
        <v>54</v>
      </c>
      <c r="C16">
        <v>1</v>
      </c>
      <c r="D16">
        <v>66.7</v>
      </c>
      <c r="E16">
        <v>66.7</v>
      </c>
      <c r="F16" s="1">
        <v>45658</v>
      </c>
      <c r="G16" s="1">
        <v>45661</v>
      </c>
      <c r="H16" t="s">
        <v>23</v>
      </c>
      <c r="I16" t="s">
        <v>18</v>
      </c>
      <c r="J16">
        <v>4</v>
      </c>
      <c r="K16" t="s">
        <v>19</v>
      </c>
      <c r="L16" t="s">
        <v>55</v>
      </c>
      <c r="M16">
        <f>orders[[#This Row],[Ship Date]]-orders[[#This Row],[Order Date]]</f>
        <v>3</v>
      </c>
      <c r="N16">
        <f>WEEKNUM(orders[[#This Row],[Order Date]])</f>
        <v>1</v>
      </c>
      <c r="O16" t="str">
        <f>_xlfn.IFS(orders[[#This Row],[Customer Gender]]="M","Male", orders[[#This Row],[Customer Gender]]="F","Female", orders[[#This Row],[Customer Gender]]="O","Other", TRUE,"Unknown")</f>
        <v>Male</v>
      </c>
    </row>
    <row r="17" spans="1:15">
      <c r="A17" t="s">
        <v>56</v>
      </c>
      <c r="B17" t="s">
        <v>46</v>
      </c>
      <c r="C17">
        <v>10</v>
      </c>
      <c r="D17">
        <v>30.9</v>
      </c>
      <c r="E17">
        <v>309</v>
      </c>
      <c r="F17" s="1">
        <v>45658</v>
      </c>
      <c r="G17" s="1">
        <v>45659</v>
      </c>
      <c r="H17" t="s">
        <v>23</v>
      </c>
      <c r="I17" t="s">
        <v>35</v>
      </c>
      <c r="J17">
        <v>5</v>
      </c>
      <c r="K17" t="s">
        <v>19</v>
      </c>
      <c r="L17" t="s">
        <v>55</v>
      </c>
      <c r="M17">
        <f>orders[[#This Row],[Ship Date]]-orders[[#This Row],[Order Date]]</f>
        <v>1</v>
      </c>
      <c r="N17">
        <f>WEEKNUM(orders[[#This Row],[Order Date]])</f>
        <v>1</v>
      </c>
      <c r="O17" t="str">
        <f>_xlfn.IFS(orders[[#This Row],[Customer Gender]]="M","Male", orders[[#This Row],[Customer Gender]]="F","Female", orders[[#This Row],[Customer Gender]]="O","Other", TRUE,"Unknown")</f>
        <v>Male</v>
      </c>
    </row>
    <row r="18" spans="1:15">
      <c r="A18" t="s">
        <v>57</v>
      </c>
      <c r="B18" t="s">
        <v>32</v>
      </c>
      <c r="C18">
        <v>3</v>
      </c>
      <c r="D18">
        <v>31.1</v>
      </c>
      <c r="E18">
        <v>93.300000000000011</v>
      </c>
      <c r="F18" s="1">
        <v>45658</v>
      </c>
      <c r="G18" s="1">
        <v>45659</v>
      </c>
      <c r="H18" t="s">
        <v>27</v>
      </c>
      <c r="I18" t="s">
        <v>18</v>
      </c>
      <c r="J18">
        <v>3</v>
      </c>
      <c r="K18" t="s">
        <v>19</v>
      </c>
      <c r="L18" t="s">
        <v>55</v>
      </c>
      <c r="M18">
        <f>orders[[#This Row],[Ship Date]]-orders[[#This Row],[Order Date]]</f>
        <v>1</v>
      </c>
      <c r="N18">
        <f>WEEKNUM(orders[[#This Row],[Order Date]])</f>
        <v>1</v>
      </c>
      <c r="O18" t="str">
        <f>_xlfn.IFS(orders[[#This Row],[Customer Gender]]="M","Male", orders[[#This Row],[Customer Gender]]="F","Female", orders[[#This Row],[Customer Gender]]="O","Other", TRUE,"Unknown")</f>
        <v>Female</v>
      </c>
    </row>
    <row r="19" spans="1:15">
      <c r="A19" t="s">
        <v>58</v>
      </c>
      <c r="B19" t="s">
        <v>42</v>
      </c>
      <c r="C19">
        <v>3</v>
      </c>
      <c r="D19">
        <v>36.6</v>
      </c>
      <c r="E19">
        <v>109.80000000000001</v>
      </c>
      <c r="F19" s="1">
        <v>45658</v>
      </c>
      <c r="G19" s="1">
        <v>45661</v>
      </c>
      <c r="H19" t="s">
        <v>27</v>
      </c>
      <c r="I19" t="s">
        <v>18</v>
      </c>
      <c r="J19">
        <v>4</v>
      </c>
      <c r="K19" t="s">
        <v>19</v>
      </c>
      <c r="L19" t="s">
        <v>59</v>
      </c>
      <c r="M19">
        <f>orders[[#This Row],[Ship Date]]-orders[[#This Row],[Order Date]]</f>
        <v>3</v>
      </c>
      <c r="N19">
        <f>WEEKNUM(orders[[#This Row],[Order Date]])</f>
        <v>1</v>
      </c>
      <c r="O19" t="str">
        <f>_xlfn.IFS(orders[[#This Row],[Customer Gender]]="M","Male", orders[[#This Row],[Customer Gender]]="F","Female", orders[[#This Row],[Customer Gender]]="O","Other", TRUE,"Unknown")</f>
        <v>Female</v>
      </c>
    </row>
    <row r="20" spans="1:15">
      <c r="A20" t="s">
        <v>60</v>
      </c>
      <c r="B20" t="s">
        <v>39</v>
      </c>
      <c r="C20">
        <v>8</v>
      </c>
      <c r="D20">
        <v>51.1</v>
      </c>
      <c r="E20">
        <v>408.8</v>
      </c>
      <c r="F20" s="1">
        <v>45658</v>
      </c>
      <c r="G20" s="1">
        <v>45661</v>
      </c>
      <c r="H20" t="s">
        <v>27</v>
      </c>
      <c r="I20" t="s">
        <v>40</v>
      </c>
      <c r="J20">
        <v>1</v>
      </c>
      <c r="K20" t="s">
        <v>19</v>
      </c>
      <c r="L20" t="s">
        <v>59</v>
      </c>
      <c r="M20">
        <f>orders[[#This Row],[Ship Date]]-orders[[#This Row],[Order Date]]</f>
        <v>3</v>
      </c>
      <c r="N20">
        <f>WEEKNUM(orders[[#This Row],[Order Date]])</f>
        <v>1</v>
      </c>
      <c r="O20" t="str">
        <f>_xlfn.IFS(orders[[#This Row],[Customer Gender]]="M","Male", orders[[#This Row],[Customer Gender]]="F","Female", orders[[#This Row],[Customer Gender]]="O","Other", TRUE,"Unknown")</f>
        <v>Female</v>
      </c>
    </row>
    <row r="21" spans="1:15">
      <c r="A21" t="s">
        <v>61</v>
      </c>
      <c r="B21" t="s">
        <v>46</v>
      </c>
      <c r="C21">
        <v>1</v>
      </c>
      <c r="D21">
        <v>25.2</v>
      </c>
      <c r="E21">
        <v>25.2</v>
      </c>
      <c r="F21" s="1">
        <v>45658</v>
      </c>
      <c r="G21" s="1">
        <v>45659</v>
      </c>
      <c r="H21" t="s">
        <v>27</v>
      </c>
      <c r="I21" t="s">
        <v>35</v>
      </c>
      <c r="J21">
        <v>5</v>
      </c>
      <c r="K21" t="s">
        <v>19</v>
      </c>
      <c r="L21" t="s">
        <v>62</v>
      </c>
      <c r="M21">
        <f>orders[[#This Row],[Ship Date]]-orders[[#This Row],[Order Date]]</f>
        <v>1</v>
      </c>
      <c r="N21">
        <f>WEEKNUM(orders[[#This Row],[Order Date]])</f>
        <v>1</v>
      </c>
      <c r="O21" t="str">
        <f>_xlfn.IFS(orders[[#This Row],[Customer Gender]]="M","Male", orders[[#This Row],[Customer Gender]]="F","Female", orders[[#This Row],[Customer Gender]]="O","Other", TRUE,"Unknown")</f>
        <v>Female</v>
      </c>
    </row>
    <row r="22" spans="1:15">
      <c r="A22" t="s">
        <v>63</v>
      </c>
      <c r="B22" t="s">
        <v>46</v>
      </c>
      <c r="C22">
        <v>5</v>
      </c>
      <c r="D22">
        <v>43.8</v>
      </c>
      <c r="E22">
        <v>219</v>
      </c>
      <c r="F22" s="1">
        <v>45658</v>
      </c>
      <c r="G22" s="1">
        <v>45661</v>
      </c>
      <c r="H22" t="s">
        <v>27</v>
      </c>
      <c r="I22" t="s">
        <v>40</v>
      </c>
      <c r="J22">
        <v>4</v>
      </c>
      <c r="K22" t="s">
        <v>19</v>
      </c>
      <c r="L22" t="s">
        <v>62</v>
      </c>
      <c r="M22">
        <f>orders[[#This Row],[Ship Date]]-orders[[#This Row],[Order Date]]</f>
        <v>3</v>
      </c>
      <c r="N22">
        <f>WEEKNUM(orders[[#This Row],[Order Date]])</f>
        <v>1</v>
      </c>
      <c r="O22" t="str">
        <f>_xlfn.IFS(orders[[#This Row],[Customer Gender]]="M","Male", orders[[#This Row],[Customer Gender]]="F","Female", orders[[#This Row],[Customer Gender]]="O","Other", TRUE,"Unknown")</f>
        <v>Female</v>
      </c>
    </row>
    <row r="23" spans="1:15">
      <c r="A23" t="s">
        <v>64</v>
      </c>
      <c r="B23" t="s">
        <v>44</v>
      </c>
      <c r="C23">
        <v>12</v>
      </c>
      <c r="D23">
        <v>46.7</v>
      </c>
      <c r="E23">
        <v>560.40000000000009</v>
      </c>
      <c r="F23" s="1">
        <v>45658</v>
      </c>
      <c r="G23" s="1">
        <v>45659</v>
      </c>
      <c r="H23" t="s">
        <v>27</v>
      </c>
      <c r="I23" t="s">
        <v>35</v>
      </c>
      <c r="J23">
        <v>3</v>
      </c>
      <c r="K23" t="s">
        <v>19</v>
      </c>
      <c r="L23" t="s">
        <v>62</v>
      </c>
      <c r="M23">
        <f>orders[[#This Row],[Ship Date]]-orders[[#This Row],[Order Date]]</f>
        <v>1</v>
      </c>
      <c r="N23">
        <f>WEEKNUM(orders[[#This Row],[Order Date]])</f>
        <v>1</v>
      </c>
      <c r="O23" t="str">
        <f>_xlfn.IFS(orders[[#This Row],[Customer Gender]]="M","Male", orders[[#This Row],[Customer Gender]]="F","Female", orders[[#This Row],[Customer Gender]]="O","Other", TRUE,"Unknown")</f>
        <v>Female</v>
      </c>
    </row>
    <row r="24" spans="1:15">
      <c r="A24" t="s">
        <v>65</v>
      </c>
      <c r="B24" t="s">
        <v>30</v>
      </c>
      <c r="C24">
        <v>19</v>
      </c>
      <c r="D24">
        <v>79.900000000000006</v>
      </c>
      <c r="E24">
        <v>1518.1000000000001</v>
      </c>
      <c r="F24" s="1">
        <v>45658</v>
      </c>
      <c r="G24" s="1">
        <v>45659</v>
      </c>
      <c r="H24" t="s">
        <v>23</v>
      </c>
      <c r="I24" t="s">
        <v>18</v>
      </c>
      <c r="J24">
        <v>5</v>
      </c>
      <c r="K24" t="s">
        <v>19</v>
      </c>
      <c r="L24" t="s">
        <v>62</v>
      </c>
      <c r="M24">
        <f>orders[[#This Row],[Ship Date]]-orders[[#This Row],[Order Date]]</f>
        <v>1</v>
      </c>
      <c r="N24">
        <f>WEEKNUM(orders[[#This Row],[Order Date]])</f>
        <v>1</v>
      </c>
      <c r="O24" t="str">
        <f>_xlfn.IFS(orders[[#This Row],[Customer Gender]]="M","Male", orders[[#This Row],[Customer Gender]]="F","Female", orders[[#This Row],[Customer Gender]]="O","Other", TRUE,"Unknown")</f>
        <v>Male</v>
      </c>
    </row>
    <row r="25" spans="1:15">
      <c r="A25" t="s">
        <v>66</v>
      </c>
      <c r="B25" t="s">
        <v>67</v>
      </c>
      <c r="C25">
        <v>8</v>
      </c>
      <c r="D25">
        <v>26.4</v>
      </c>
      <c r="E25">
        <v>211.2</v>
      </c>
      <c r="F25" s="1">
        <v>45658</v>
      </c>
      <c r="G25" s="1">
        <v>45659</v>
      </c>
      <c r="H25" t="s">
        <v>27</v>
      </c>
      <c r="I25" t="s">
        <v>51</v>
      </c>
      <c r="J25">
        <v>4</v>
      </c>
      <c r="K25" t="s">
        <v>19</v>
      </c>
      <c r="L25" t="s">
        <v>62</v>
      </c>
      <c r="M25">
        <f>orders[[#This Row],[Ship Date]]-orders[[#This Row],[Order Date]]</f>
        <v>1</v>
      </c>
      <c r="N25">
        <f>WEEKNUM(orders[[#This Row],[Order Date]])</f>
        <v>1</v>
      </c>
      <c r="O25" t="str">
        <f>_xlfn.IFS(orders[[#This Row],[Customer Gender]]="M","Male", orders[[#This Row],[Customer Gender]]="F","Female", orders[[#This Row],[Customer Gender]]="O","Other", TRUE,"Unknown")</f>
        <v>Female</v>
      </c>
    </row>
    <row r="26" spans="1:15">
      <c r="A26" t="s">
        <v>68</v>
      </c>
      <c r="B26" t="s">
        <v>69</v>
      </c>
      <c r="C26">
        <v>8</v>
      </c>
      <c r="D26">
        <v>88.8</v>
      </c>
      <c r="E26">
        <v>710.4</v>
      </c>
      <c r="F26" s="1">
        <v>45658</v>
      </c>
      <c r="G26" s="1">
        <v>45659</v>
      </c>
      <c r="H26" t="s">
        <v>27</v>
      </c>
      <c r="I26" t="s">
        <v>70</v>
      </c>
      <c r="J26">
        <v>4</v>
      </c>
      <c r="K26" t="s">
        <v>19</v>
      </c>
      <c r="L26" t="s">
        <v>62</v>
      </c>
      <c r="M26">
        <f>orders[[#This Row],[Ship Date]]-orders[[#This Row],[Order Date]]</f>
        <v>1</v>
      </c>
      <c r="N26">
        <f>WEEKNUM(orders[[#This Row],[Order Date]])</f>
        <v>1</v>
      </c>
      <c r="O26" t="str">
        <f>_xlfn.IFS(orders[[#This Row],[Customer Gender]]="M","Male", orders[[#This Row],[Customer Gender]]="F","Female", orders[[#This Row],[Customer Gender]]="O","Other", TRUE,"Unknown")</f>
        <v>Female</v>
      </c>
    </row>
    <row r="27" spans="1:15">
      <c r="A27" t="s">
        <v>71</v>
      </c>
      <c r="B27" t="s">
        <v>16</v>
      </c>
      <c r="C27">
        <v>10</v>
      </c>
      <c r="D27">
        <v>17.5</v>
      </c>
      <c r="E27">
        <v>175</v>
      </c>
      <c r="F27" s="1">
        <v>45658</v>
      </c>
      <c r="G27" s="1">
        <v>45659</v>
      </c>
      <c r="H27" t="s">
        <v>27</v>
      </c>
      <c r="I27" t="s">
        <v>40</v>
      </c>
      <c r="J27">
        <v>4</v>
      </c>
      <c r="K27" t="s">
        <v>19</v>
      </c>
      <c r="L27" t="s">
        <v>72</v>
      </c>
      <c r="M27">
        <f>orders[[#This Row],[Ship Date]]-orders[[#This Row],[Order Date]]</f>
        <v>1</v>
      </c>
      <c r="N27">
        <f>WEEKNUM(orders[[#This Row],[Order Date]])</f>
        <v>1</v>
      </c>
      <c r="O27" t="str">
        <f>_xlfn.IFS(orders[[#This Row],[Customer Gender]]="M","Male", orders[[#This Row],[Customer Gender]]="F","Female", orders[[#This Row],[Customer Gender]]="O","Other", TRUE,"Unknown")</f>
        <v>Female</v>
      </c>
    </row>
    <row r="28" spans="1:15">
      <c r="A28" t="s">
        <v>73</v>
      </c>
      <c r="B28" t="s">
        <v>22</v>
      </c>
      <c r="C28">
        <v>9</v>
      </c>
      <c r="D28">
        <v>38.700000000000003</v>
      </c>
      <c r="E28">
        <v>348.3</v>
      </c>
      <c r="F28" s="1">
        <v>45658</v>
      </c>
      <c r="G28" s="1">
        <v>45661</v>
      </c>
      <c r="H28" t="s">
        <v>23</v>
      </c>
      <c r="I28" t="s">
        <v>35</v>
      </c>
      <c r="J28">
        <v>4</v>
      </c>
      <c r="K28" t="s">
        <v>19</v>
      </c>
      <c r="L28" t="s">
        <v>74</v>
      </c>
      <c r="M28">
        <f>orders[[#This Row],[Ship Date]]-orders[[#This Row],[Order Date]]</f>
        <v>3</v>
      </c>
      <c r="N28">
        <f>WEEKNUM(orders[[#This Row],[Order Date]])</f>
        <v>1</v>
      </c>
      <c r="O28" t="str">
        <f>_xlfn.IFS(orders[[#This Row],[Customer Gender]]="M","Male", orders[[#This Row],[Customer Gender]]="F","Female", orders[[#This Row],[Customer Gender]]="O","Other", TRUE,"Unknown")</f>
        <v>Male</v>
      </c>
    </row>
    <row r="29" spans="1:15">
      <c r="A29" t="s">
        <v>75</v>
      </c>
      <c r="B29" t="s">
        <v>76</v>
      </c>
      <c r="C29">
        <v>4</v>
      </c>
      <c r="D29">
        <v>57.2</v>
      </c>
      <c r="E29">
        <v>228.8</v>
      </c>
      <c r="F29" s="1">
        <v>45658</v>
      </c>
      <c r="G29" s="1">
        <v>45660</v>
      </c>
      <c r="H29" t="s">
        <v>17</v>
      </c>
      <c r="I29" t="s">
        <v>35</v>
      </c>
      <c r="J29">
        <v>5</v>
      </c>
      <c r="K29" t="s">
        <v>19</v>
      </c>
      <c r="L29" t="s">
        <v>77</v>
      </c>
      <c r="M29">
        <f>orders[[#This Row],[Ship Date]]-orders[[#This Row],[Order Date]]</f>
        <v>2</v>
      </c>
      <c r="N29">
        <f>WEEKNUM(orders[[#This Row],[Order Date]])</f>
        <v>1</v>
      </c>
      <c r="O29" t="str">
        <f>_xlfn.IFS(orders[[#This Row],[Customer Gender]]="M","Male", orders[[#This Row],[Customer Gender]]="F","Female", orders[[#This Row],[Customer Gender]]="O","Other", TRUE,"Unknown")</f>
        <v>Unknown</v>
      </c>
    </row>
    <row r="30" spans="1:15">
      <c r="A30" t="s">
        <v>78</v>
      </c>
      <c r="B30" t="s">
        <v>39</v>
      </c>
      <c r="C30">
        <v>5</v>
      </c>
      <c r="D30">
        <v>50.9</v>
      </c>
      <c r="E30">
        <v>254.5</v>
      </c>
      <c r="F30" s="1">
        <v>45658</v>
      </c>
      <c r="G30" s="1">
        <v>45664</v>
      </c>
      <c r="H30" t="s">
        <v>17</v>
      </c>
      <c r="I30" t="s">
        <v>35</v>
      </c>
      <c r="J30">
        <v>5</v>
      </c>
      <c r="K30" t="s">
        <v>19</v>
      </c>
      <c r="L30" t="s">
        <v>79</v>
      </c>
      <c r="M30">
        <f>orders[[#This Row],[Ship Date]]-orders[[#This Row],[Order Date]]</f>
        <v>6</v>
      </c>
      <c r="N30">
        <f>WEEKNUM(orders[[#This Row],[Order Date]])</f>
        <v>1</v>
      </c>
      <c r="O30" t="str">
        <f>_xlfn.IFS(orders[[#This Row],[Customer Gender]]="M","Male", orders[[#This Row],[Customer Gender]]="F","Female", orders[[#This Row],[Customer Gender]]="O","Other", TRUE,"Unknown")</f>
        <v>Unknown</v>
      </c>
    </row>
    <row r="31" spans="1:15">
      <c r="A31" t="s">
        <v>80</v>
      </c>
      <c r="B31" t="s">
        <v>81</v>
      </c>
      <c r="C31">
        <v>7</v>
      </c>
      <c r="D31">
        <v>41</v>
      </c>
      <c r="E31">
        <v>287</v>
      </c>
      <c r="F31" s="1">
        <v>45658</v>
      </c>
      <c r="G31" s="1">
        <v>45662</v>
      </c>
      <c r="H31" t="s">
        <v>27</v>
      </c>
      <c r="I31" t="s">
        <v>35</v>
      </c>
      <c r="J31">
        <v>4</v>
      </c>
      <c r="K31" t="s">
        <v>19</v>
      </c>
      <c r="L31" t="s">
        <v>82</v>
      </c>
      <c r="M31">
        <f>orders[[#This Row],[Ship Date]]-orders[[#This Row],[Order Date]]</f>
        <v>4</v>
      </c>
      <c r="N31">
        <f>WEEKNUM(orders[[#This Row],[Order Date]])</f>
        <v>1</v>
      </c>
      <c r="O31" t="str">
        <f>_xlfn.IFS(orders[[#This Row],[Customer Gender]]="M","Male", orders[[#This Row],[Customer Gender]]="F","Female", orders[[#This Row],[Customer Gender]]="O","Other", TRUE,"Unknown")</f>
        <v>Female</v>
      </c>
    </row>
    <row r="32" spans="1:15">
      <c r="A32" t="s">
        <v>83</v>
      </c>
      <c r="B32" t="s">
        <v>44</v>
      </c>
      <c r="C32">
        <v>7</v>
      </c>
      <c r="D32">
        <v>19.100000000000001</v>
      </c>
      <c r="E32">
        <v>133.70000000000002</v>
      </c>
      <c r="F32" s="1">
        <v>45658</v>
      </c>
      <c r="G32" s="1">
        <v>45662</v>
      </c>
      <c r="H32" t="s">
        <v>23</v>
      </c>
      <c r="I32" t="s">
        <v>18</v>
      </c>
      <c r="J32">
        <v>5</v>
      </c>
      <c r="K32" t="s">
        <v>19</v>
      </c>
      <c r="L32" t="s">
        <v>84</v>
      </c>
      <c r="M32">
        <f>orders[[#This Row],[Ship Date]]-orders[[#This Row],[Order Date]]</f>
        <v>4</v>
      </c>
      <c r="N32">
        <f>WEEKNUM(orders[[#This Row],[Order Date]])</f>
        <v>1</v>
      </c>
      <c r="O32" t="str">
        <f>_xlfn.IFS(orders[[#This Row],[Customer Gender]]="M","Male", orders[[#This Row],[Customer Gender]]="F","Female", orders[[#This Row],[Customer Gender]]="O","Other", TRUE,"Unknown")</f>
        <v>Male</v>
      </c>
    </row>
    <row r="33" spans="1:15">
      <c r="A33" t="s">
        <v>85</v>
      </c>
      <c r="B33" t="s">
        <v>26</v>
      </c>
      <c r="C33">
        <v>5</v>
      </c>
      <c r="D33">
        <v>166.1</v>
      </c>
      <c r="E33">
        <v>830.5</v>
      </c>
      <c r="F33" s="1">
        <v>45658</v>
      </c>
      <c r="G33" s="1">
        <v>45661</v>
      </c>
      <c r="H33" t="s">
        <v>23</v>
      </c>
      <c r="I33" t="s">
        <v>18</v>
      </c>
      <c r="J33">
        <v>4</v>
      </c>
      <c r="K33" t="s">
        <v>19</v>
      </c>
      <c r="L33" t="s">
        <v>86</v>
      </c>
      <c r="M33">
        <f>orders[[#This Row],[Ship Date]]-orders[[#This Row],[Order Date]]</f>
        <v>3</v>
      </c>
      <c r="N33">
        <f>WEEKNUM(orders[[#This Row],[Order Date]])</f>
        <v>1</v>
      </c>
      <c r="O33" t="str">
        <f>_xlfn.IFS(orders[[#This Row],[Customer Gender]]="M","Male", orders[[#This Row],[Customer Gender]]="F","Female", orders[[#This Row],[Customer Gender]]="O","Other", TRUE,"Unknown")</f>
        <v>Male</v>
      </c>
    </row>
    <row r="34" spans="1:15">
      <c r="A34" t="s">
        <v>87</v>
      </c>
      <c r="B34" t="s">
        <v>32</v>
      </c>
      <c r="C34">
        <v>3</v>
      </c>
      <c r="D34">
        <v>29.9</v>
      </c>
      <c r="E34">
        <v>89.699999999999989</v>
      </c>
      <c r="F34" s="1">
        <v>45658</v>
      </c>
      <c r="G34" s="1">
        <v>45659</v>
      </c>
      <c r="H34" t="s">
        <v>23</v>
      </c>
      <c r="I34" t="s">
        <v>51</v>
      </c>
      <c r="J34">
        <v>4</v>
      </c>
      <c r="K34" t="s">
        <v>19</v>
      </c>
      <c r="L34" t="s">
        <v>33</v>
      </c>
      <c r="M34">
        <f>orders[[#This Row],[Ship Date]]-orders[[#This Row],[Order Date]]</f>
        <v>1</v>
      </c>
      <c r="N34">
        <f>WEEKNUM(orders[[#This Row],[Order Date]])</f>
        <v>1</v>
      </c>
      <c r="O34" t="str">
        <f>_xlfn.IFS(orders[[#This Row],[Customer Gender]]="M","Male", orders[[#This Row],[Customer Gender]]="F","Female", orders[[#This Row],[Customer Gender]]="O","Other", TRUE,"Unknown")</f>
        <v>Male</v>
      </c>
    </row>
    <row r="35" spans="1:15">
      <c r="A35" t="s">
        <v>88</v>
      </c>
      <c r="B35" t="s">
        <v>54</v>
      </c>
      <c r="C35">
        <v>6</v>
      </c>
      <c r="D35">
        <v>21.7</v>
      </c>
      <c r="E35">
        <v>130.19999999999999</v>
      </c>
      <c r="F35" s="1">
        <v>45658</v>
      </c>
      <c r="G35" s="1">
        <v>45660</v>
      </c>
      <c r="H35" t="s">
        <v>89</v>
      </c>
      <c r="I35" t="s">
        <v>40</v>
      </c>
      <c r="J35">
        <v>5</v>
      </c>
      <c r="K35" t="s">
        <v>19</v>
      </c>
      <c r="L35" t="s">
        <v>33</v>
      </c>
      <c r="M35">
        <f>orders[[#This Row],[Ship Date]]-orders[[#This Row],[Order Date]]</f>
        <v>2</v>
      </c>
      <c r="N35">
        <f>WEEKNUM(orders[[#This Row],[Order Date]])</f>
        <v>1</v>
      </c>
      <c r="O35" t="str">
        <f>_xlfn.IFS(orders[[#This Row],[Customer Gender]]="M","Male", orders[[#This Row],[Customer Gender]]="F","Female", orders[[#This Row],[Customer Gender]]="O","Other", TRUE,"Unknown")</f>
        <v>Other</v>
      </c>
    </row>
    <row r="36" spans="1:15">
      <c r="A36" t="s">
        <v>90</v>
      </c>
      <c r="B36" t="s">
        <v>67</v>
      </c>
      <c r="C36">
        <v>2</v>
      </c>
      <c r="D36">
        <v>32</v>
      </c>
      <c r="E36">
        <v>64</v>
      </c>
      <c r="F36" s="1">
        <v>45658</v>
      </c>
      <c r="G36" s="1">
        <v>45661</v>
      </c>
      <c r="H36" t="s">
        <v>23</v>
      </c>
      <c r="I36" t="s">
        <v>18</v>
      </c>
      <c r="J36">
        <v>5</v>
      </c>
      <c r="K36" t="s">
        <v>19</v>
      </c>
      <c r="L36" t="s">
        <v>33</v>
      </c>
      <c r="M36">
        <f>orders[[#This Row],[Ship Date]]-orders[[#This Row],[Order Date]]</f>
        <v>3</v>
      </c>
      <c r="N36">
        <f>WEEKNUM(orders[[#This Row],[Order Date]])</f>
        <v>1</v>
      </c>
      <c r="O36" t="str">
        <f>_xlfn.IFS(orders[[#This Row],[Customer Gender]]="M","Male", orders[[#This Row],[Customer Gender]]="F","Female", orders[[#This Row],[Customer Gender]]="O","Other", TRUE,"Unknown")</f>
        <v>Male</v>
      </c>
    </row>
    <row r="37" spans="1:15">
      <c r="A37" t="s">
        <v>91</v>
      </c>
      <c r="B37" t="s">
        <v>44</v>
      </c>
      <c r="C37">
        <v>2</v>
      </c>
      <c r="D37">
        <v>15.8</v>
      </c>
      <c r="E37">
        <v>31.6</v>
      </c>
      <c r="F37" s="1">
        <v>45658</v>
      </c>
      <c r="G37" s="1">
        <v>45659</v>
      </c>
      <c r="H37" t="s">
        <v>23</v>
      </c>
      <c r="I37" t="s">
        <v>70</v>
      </c>
      <c r="J37">
        <v>5</v>
      </c>
      <c r="K37" t="s">
        <v>19</v>
      </c>
      <c r="L37" t="s">
        <v>33</v>
      </c>
      <c r="M37">
        <f>orders[[#This Row],[Ship Date]]-orders[[#This Row],[Order Date]]</f>
        <v>1</v>
      </c>
      <c r="N37">
        <f>WEEKNUM(orders[[#This Row],[Order Date]])</f>
        <v>1</v>
      </c>
      <c r="O37" t="str">
        <f>_xlfn.IFS(orders[[#This Row],[Customer Gender]]="M","Male", orders[[#This Row],[Customer Gender]]="F","Female", orders[[#This Row],[Customer Gender]]="O","Other", TRUE,"Unknown")</f>
        <v>Male</v>
      </c>
    </row>
    <row r="38" spans="1:15">
      <c r="A38" t="s">
        <v>92</v>
      </c>
      <c r="B38" t="s">
        <v>26</v>
      </c>
      <c r="C38">
        <v>17</v>
      </c>
      <c r="D38">
        <v>203.1</v>
      </c>
      <c r="E38">
        <v>3452.7</v>
      </c>
      <c r="F38" s="1">
        <v>45658</v>
      </c>
      <c r="G38" s="1">
        <v>45662</v>
      </c>
      <c r="H38" t="s">
        <v>23</v>
      </c>
      <c r="I38" t="s">
        <v>51</v>
      </c>
      <c r="J38">
        <v>3</v>
      </c>
      <c r="K38" t="s">
        <v>19</v>
      </c>
      <c r="L38" t="s">
        <v>33</v>
      </c>
      <c r="M38">
        <f>orders[[#This Row],[Ship Date]]-orders[[#This Row],[Order Date]]</f>
        <v>4</v>
      </c>
      <c r="N38">
        <f>WEEKNUM(orders[[#This Row],[Order Date]])</f>
        <v>1</v>
      </c>
      <c r="O38" t="str">
        <f>_xlfn.IFS(orders[[#This Row],[Customer Gender]]="M","Male", orders[[#This Row],[Customer Gender]]="F","Female", orders[[#This Row],[Customer Gender]]="O","Other", TRUE,"Unknown")</f>
        <v>Male</v>
      </c>
    </row>
    <row r="39" spans="1:15">
      <c r="A39" t="s">
        <v>93</v>
      </c>
      <c r="B39" t="s">
        <v>42</v>
      </c>
      <c r="C39">
        <v>13</v>
      </c>
      <c r="D39">
        <v>39</v>
      </c>
      <c r="E39">
        <v>507</v>
      </c>
      <c r="F39" s="1">
        <v>45658</v>
      </c>
      <c r="G39" s="1">
        <v>45664</v>
      </c>
      <c r="H39" t="s">
        <v>23</v>
      </c>
      <c r="I39" t="s">
        <v>18</v>
      </c>
      <c r="J39">
        <v>5</v>
      </c>
      <c r="K39" t="s">
        <v>19</v>
      </c>
      <c r="L39" t="s">
        <v>33</v>
      </c>
      <c r="M39">
        <f>orders[[#This Row],[Ship Date]]-orders[[#This Row],[Order Date]]</f>
        <v>6</v>
      </c>
      <c r="N39">
        <f>WEEKNUM(orders[[#This Row],[Order Date]])</f>
        <v>1</v>
      </c>
      <c r="O39" t="str">
        <f>_xlfn.IFS(orders[[#This Row],[Customer Gender]]="M","Male", orders[[#This Row],[Customer Gender]]="F","Female", orders[[#This Row],[Customer Gender]]="O","Other", TRUE,"Unknown")</f>
        <v>Male</v>
      </c>
    </row>
    <row r="40" spans="1:15">
      <c r="A40" t="s">
        <v>94</v>
      </c>
      <c r="B40" t="s">
        <v>54</v>
      </c>
      <c r="C40">
        <v>1</v>
      </c>
      <c r="D40">
        <v>26.5</v>
      </c>
      <c r="E40">
        <v>26.5</v>
      </c>
      <c r="F40" s="1">
        <v>45659</v>
      </c>
      <c r="G40" s="1">
        <v>45660</v>
      </c>
      <c r="H40" t="s">
        <v>23</v>
      </c>
      <c r="I40" t="s">
        <v>40</v>
      </c>
      <c r="J40">
        <v>4</v>
      </c>
      <c r="K40" t="s">
        <v>19</v>
      </c>
      <c r="L40" t="s">
        <v>33</v>
      </c>
      <c r="M40">
        <f>orders[[#This Row],[Ship Date]]-orders[[#This Row],[Order Date]]</f>
        <v>1</v>
      </c>
      <c r="N40">
        <f>WEEKNUM(orders[[#This Row],[Order Date]])</f>
        <v>1</v>
      </c>
      <c r="O40" t="str">
        <f>_xlfn.IFS(orders[[#This Row],[Customer Gender]]="M","Male", orders[[#This Row],[Customer Gender]]="F","Female", orders[[#This Row],[Customer Gender]]="O","Other", TRUE,"Unknown")</f>
        <v>Male</v>
      </c>
    </row>
    <row r="41" spans="1:15">
      <c r="A41" t="s">
        <v>95</v>
      </c>
      <c r="B41" t="s">
        <v>37</v>
      </c>
      <c r="C41">
        <v>1</v>
      </c>
      <c r="D41">
        <v>43.1</v>
      </c>
      <c r="E41">
        <v>43.1</v>
      </c>
      <c r="F41" s="1">
        <v>45659</v>
      </c>
      <c r="G41" s="1">
        <v>45660</v>
      </c>
      <c r="H41" t="s">
        <v>27</v>
      </c>
      <c r="I41" t="s">
        <v>40</v>
      </c>
      <c r="J41">
        <v>3</v>
      </c>
      <c r="K41" t="s">
        <v>19</v>
      </c>
      <c r="L41" t="s">
        <v>33</v>
      </c>
      <c r="M41">
        <f>orders[[#This Row],[Ship Date]]-orders[[#This Row],[Order Date]]</f>
        <v>1</v>
      </c>
      <c r="N41">
        <f>WEEKNUM(orders[[#This Row],[Order Date]])</f>
        <v>1</v>
      </c>
      <c r="O41" t="str">
        <f>_xlfn.IFS(orders[[#This Row],[Customer Gender]]="M","Male", orders[[#This Row],[Customer Gender]]="F","Female", orders[[#This Row],[Customer Gender]]="O","Other", TRUE,"Unknown")</f>
        <v>Female</v>
      </c>
    </row>
    <row r="42" spans="1:15">
      <c r="A42" t="s">
        <v>96</v>
      </c>
      <c r="B42" t="s">
        <v>22</v>
      </c>
      <c r="C42">
        <v>3</v>
      </c>
      <c r="D42">
        <v>139</v>
      </c>
      <c r="E42">
        <v>417</v>
      </c>
      <c r="F42" s="1">
        <v>45659</v>
      </c>
      <c r="G42" s="1">
        <v>45660</v>
      </c>
      <c r="H42" t="s">
        <v>27</v>
      </c>
      <c r="I42" t="s">
        <v>70</v>
      </c>
      <c r="J42">
        <v>5</v>
      </c>
      <c r="K42" t="s">
        <v>19</v>
      </c>
      <c r="L42" t="s">
        <v>33</v>
      </c>
      <c r="M42">
        <f>orders[[#This Row],[Ship Date]]-orders[[#This Row],[Order Date]]</f>
        <v>1</v>
      </c>
      <c r="N42">
        <f>WEEKNUM(orders[[#This Row],[Order Date]])</f>
        <v>1</v>
      </c>
      <c r="O42" t="str">
        <f>_xlfn.IFS(orders[[#This Row],[Customer Gender]]="M","Male", orders[[#This Row],[Customer Gender]]="F","Female", orders[[#This Row],[Customer Gender]]="O","Other", TRUE,"Unknown")</f>
        <v>Female</v>
      </c>
    </row>
    <row r="43" spans="1:15">
      <c r="A43" t="s">
        <v>97</v>
      </c>
      <c r="B43" t="s">
        <v>69</v>
      </c>
      <c r="C43">
        <v>1</v>
      </c>
      <c r="D43">
        <v>80.7</v>
      </c>
      <c r="E43">
        <v>80.7</v>
      </c>
      <c r="F43" s="1">
        <v>45659</v>
      </c>
      <c r="G43" s="1">
        <v>45660</v>
      </c>
      <c r="H43" t="s">
        <v>23</v>
      </c>
      <c r="I43" t="s">
        <v>18</v>
      </c>
      <c r="J43">
        <v>5</v>
      </c>
      <c r="K43" t="s">
        <v>19</v>
      </c>
      <c r="L43" t="s">
        <v>98</v>
      </c>
      <c r="M43">
        <f>orders[[#This Row],[Ship Date]]-orders[[#This Row],[Order Date]]</f>
        <v>1</v>
      </c>
      <c r="N43">
        <f>WEEKNUM(orders[[#This Row],[Order Date]])</f>
        <v>1</v>
      </c>
      <c r="O43" t="str">
        <f>_xlfn.IFS(orders[[#This Row],[Customer Gender]]="M","Male", orders[[#This Row],[Customer Gender]]="F","Female", orders[[#This Row],[Customer Gender]]="O","Other", TRUE,"Unknown")</f>
        <v>Male</v>
      </c>
    </row>
    <row r="44" spans="1:15">
      <c r="A44" t="s">
        <v>99</v>
      </c>
      <c r="B44" t="s">
        <v>32</v>
      </c>
      <c r="C44">
        <v>2</v>
      </c>
      <c r="D44">
        <v>54.5</v>
      </c>
      <c r="E44">
        <v>109</v>
      </c>
      <c r="F44" s="1">
        <v>45659</v>
      </c>
      <c r="G44" s="1">
        <v>45661</v>
      </c>
      <c r="H44" t="s">
        <v>23</v>
      </c>
      <c r="I44" t="s">
        <v>35</v>
      </c>
      <c r="J44">
        <v>3</v>
      </c>
      <c r="K44" t="s">
        <v>19</v>
      </c>
      <c r="L44" t="s">
        <v>55</v>
      </c>
      <c r="M44">
        <f>orders[[#This Row],[Ship Date]]-orders[[#This Row],[Order Date]]</f>
        <v>2</v>
      </c>
      <c r="N44">
        <f>WEEKNUM(orders[[#This Row],[Order Date]])</f>
        <v>1</v>
      </c>
      <c r="O44" t="str">
        <f>_xlfn.IFS(orders[[#This Row],[Customer Gender]]="M","Male", orders[[#This Row],[Customer Gender]]="F","Female", orders[[#This Row],[Customer Gender]]="O","Other", TRUE,"Unknown")</f>
        <v>Male</v>
      </c>
    </row>
    <row r="45" spans="1:15">
      <c r="A45" t="s">
        <v>100</v>
      </c>
      <c r="B45" t="s">
        <v>39</v>
      </c>
      <c r="C45">
        <v>3</v>
      </c>
      <c r="D45">
        <v>68.599999999999994</v>
      </c>
      <c r="E45">
        <v>205.79999999999998</v>
      </c>
      <c r="F45" s="1">
        <v>45659</v>
      </c>
      <c r="G45" s="1">
        <v>45659</v>
      </c>
      <c r="H45" t="s">
        <v>27</v>
      </c>
      <c r="I45" t="s">
        <v>18</v>
      </c>
      <c r="J45">
        <v>3</v>
      </c>
      <c r="K45" t="s">
        <v>19</v>
      </c>
      <c r="L45" t="s">
        <v>62</v>
      </c>
      <c r="M45">
        <f>orders[[#This Row],[Ship Date]]-orders[[#This Row],[Order Date]]</f>
        <v>0</v>
      </c>
      <c r="N45">
        <f>WEEKNUM(orders[[#This Row],[Order Date]])</f>
        <v>1</v>
      </c>
      <c r="O45" t="str">
        <f>_xlfn.IFS(orders[[#This Row],[Customer Gender]]="M","Male", orders[[#This Row],[Customer Gender]]="F","Female", orders[[#This Row],[Customer Gender]]="O","Other", TRUE,"Unknown")</f>
        <v>Female</v>
      </c>
    </row>
    <row r="46" spans="1:15">
      <c r="A46" t="s">
        <v>101</v>
      </c>
      <c r="B46" t="s">
        <v>26</v>
      </c>
      <c r="C46">
        <v>4</v>
      </c>
      <c r="D46">
        <v>135.9</v>
      </c>
      <c r="E46">
        <v>543.6</v>
      </c>
      <c r="F46" s="1">
        <v>45659</v>
      </c>
      <c r="G46" s="1">
        <v>45660</v>
      </c>
      <c r="H46" t="s">
        <v>27</v>
      </c>
      <c r="I46" t="s">
        <v>40</v>
      </c>
      <c r="J46">
        <v>5</v>
      </c>
      <c r="K46" t="s">
        <v>19</v>
      </c>
      <c r="L46" t="s">
        <v>62</v>
      </c>
      <c r="M46">
        <f>orders[[#This Row],[Ship Date]]-orders[[#This Row],[Order Date]]</f>
        <v>1</v>
      </c>
      <c r="N46">
        <f>WEEKNUM(orders[[#This Row],[Order Date]])</f>
        <v>1</v>
      </c>
      <c r="O46" t="str">
        <f>_xlfn.IFS(orders[[#This Row],[Customer Gender]]="M","Male", orders[[#This Row],[Customer Gender]]="F","Female", orders[[#This Row],[Customer Gender]]="O","Other", TRUE,"Unknown")</f>
        <v>Female</v>
      </c>
    </row>
    <row r="47" spans="1:15">
      <c r="A47" t="s">
        <v>102</v>
      </c>
      <c r="B47" t="s">
        <v>26</v>
      </c>
      <c r="C47">
        <v>4</v>
      </c>
      <c r="D47">
        <v>70.900000000000006</v>
      </c>
      <c r="E47">
        <v>283.60000000000002</v>
      </c>
      <c r="F47" s="1">
        <v>45659</v>
      </c>
      <c r="G47" s="1">
        <v>45660</v>
      </c>
      <c r="H47" t="s">
        <v>27</v>
      </c>
      <c r="I47" t="s">
        <v>18</v>
      </c>
      <c r="J47">
        <v>4</v>
      </c>
      <c r="K47" t="s">
        <v>19</v>
      </c>
      <c r="L47" t="s">
        <v>103</v>
      </c>
      <c r="M47">
        <f>orders[[#This Row],[Ship Date]]-orders[[#This Row],[Order Date]]</f>
        <v>1</v>
      </c>
      <c r="N47">
        <f>WEEKNUM(orders[[#This Row],[Order Date]])</f>
        <v>1</v>
      </c>
      <c r="O47" t="str">
        <f>_xlfn.IFS(orders[[#This Row],[Customer Gender]]="M","Male", orders[[#This Row],[Customer Gender]]="F","Female", orders[[#This Row],[Customer Gender]]="O","Other", TRUE,"Unknown")</f>
        <v>Female</v>
      </c>
    </row>
    <row r="48" spans="1:15">
      <c r="A48" t="s">
        <v>104</v>
      </c>
      <c r="B48" t="s">
        <v>22</v>
      </c>
      <c r="C48">
        <v>5</v>
      </c>
      <c r="D48">
        <v>63.7</v>
      </c>
      <c r="E48">
        <v>318.5</v>
      </c>
      <c r="F48" s="1">
        <v>45659</v>
      </c>
      <c r="G48" s="1">
        <v>45660</v>
      </c>
      <c r="H48" t="s">
        <v>23</v>
      </c>
      <c r="I48" t="s">
        <v>35</v>
      </c>
      <c r="J48">
        <v>3</v>
      </c>
      <c r="K48" t="s">
        <v>19</v>
      </c>
      <c r="L48" t="s">
        <v>72</v>
      </c>
      <c r="M48">
        <f>orders[[#This Row],[Ship Date]]-orders[[#This Row],[Order Date]]</f>
        <v>1</v>
      </c>
      <c r="N48">
        <f>WEEKNUM(orders[[#This Row],[Order Date]])</f>
        <v>1</v>
      </c>
      <c r="O48" t="str">
        <f>_xlfn.IFS(orders[[#This Row],[Customer Gender]]="M","Male", orders[[#This Row],[Customer Gender]]="F","Female", orders[[#This Row],[Customer Gender]]="O","Other", TRUE,"Unknown")</f>
        <v>Male</v>
      </c>
    </row>
    <row r="49" spans="1:15">
      <c r="A49" t="s">
        <v>105</v>
      </c>
      <c r="B49" t="s">
        <v>76</v>
      </c>
      <c r="C49">
        <v>1</v>
      </c>
      <c r="D49">
        <v>29.7</v>
      </c>
      <c r="E49">
        <v>29.7</v>
      </c>
      <c r="F49" s="1">
        <v>45659</v>
      </c>
      <c r="G49" s="1">
        <v>45661</v>
      </c>
      <c r="H49" t="s">
        <v>27</v>
      </c>
      <c r="I49" t="s">
        <v>35</v>
      </c>
      <c r="J49">
        <v>4</v>
      </c>
      <c r="K49" t="s">
        <v>19</v>
      </c>
      <c r="L49" t="s">
        <v>77</v>
      </c>
      <c r="M49">
        <f>orders[[#This Row],[Ship Date]]-orders[[#This Row],[Order Date]]</f>
        <v>2</v>
      </c>
      <c r="N49">
        <f>WEEKNUM(orders[[#This Row],[Order Date]])</f>
        <v>1</v>
      </c>
      <c r="O49" t="str">
        <f>_xlfn.IFS(orders[[#This Row],[Customer Gender]]="M","Male", orders[[#This Row],[Customer Gender]]="F","Female", orders[[#This Row],[Customer Gender]]="O","Other", TRUE,"Unknown")</f>
        <v>Female</v>
      </c>
    </row>
    <row r="50" spans="1:15">
      <c r="A50" t="s">
        <v>106</v>
      </c>
      <c r="B50" t="s">
        <v>32</v>
      </c>
      <c r="C50">
        <v>3</v>
      </c>
      <c r="D50">
        <v>26.8</v>
      </c>
      <c r="E50">
        <v>80.400000000000006</v>
      </c>
      <c r="F50" s="1">
        <v>45659</v>
      </c>
      <c r="G50" s="1">
        <v>45668</v>
      </c>
      <c r="H50" t="s">
        <v>27</v>
      </c>
      <c r="I50" t="s">
        <v>35</v>
      </c>
      <c r="J50">
        <v>5</v>
      </c>
      <c r="K50" t="s">
        <v>19</v>
      </c>
      <c r="L50" t="s">
        <v>77</v>
      </c>
      <c r="M50">
        <f>orders[[#This Row],[Ship Date]]-orders[[#This Row],[Order Date]]</f>
        <v>9</v>
      </c>
      <c r="N50">
        <f>WEEKNUM(orders[[#This Row],[Order Date]])</f>
        <v>1</v>
      </c>
      <c r="O50" t="str">
        <f>_xlfn.IFS(orders[[#This Row],[Customer Gender]]="M","Male", orders[[#This Row],[Customer Gender]]="F","Female", orders[[#This Row],[Customer Gender]]="O","Other", TRUE,"Unknown")</f>
        <v>Female</v>
      </c>
    </row>
    <row r="51" spans="1:15">
      <c r="A51" t="s">
        <v>107</v>
      </c>
      <c r="B51" t="s">
        <v>81</v>
      </c>
      <c r="C51">
        <v>1</v>
      </c>
      <c r="D51">
        <v>27</v>
      </c>
      <c r="E51">
        <v>27</v>
      </c>
      <c r="F51" s="1">
        <v>45659</v>
      </c>
      <c r="G51" s="1">
        <v>45661</v>
      </c>
      <c r="H51" t="s">
        <v>27</v>
      </c>
      <c r="I51" t="s">
        <v>18</v>
      </c>
      <c r="J51">
        <v>4</v>
      </c>
      <c r="K51" t="s">
        <v>19</v>
      </c>
      <c r="L51" t="s">
        <v>108</v>
      </c>
      <c r="M51">
        <f>orders[[#This Row],[Ship Date]]-orders[[#This Row],[Order Date]]</f>
        <v>2</v>
      </c>
      <c r="N51">
        <f>WEEKNUM(orders[[#This Row],[Order Date]])</f>
        <v>1</v>
      </c>
      <c r="O51" t="str">
        <f>_xlfn.IFS(orders[[#This Row],[Customer Gender]]="M","Male", orders[[#This Row],[Customer Gender]]="F","Female", orders[[#This Row],[Customer Gender]]="O","Other", TRUE,"Unknown")</f>
        <v>Female</v>
      </c>
    </row>
    <row r="52" spans="1:15">
      <c r="A52" t="s">
        <v>109</v>
      </c>
      <c r="B52" t="s">
        <v>44</v>
      </c>
      <c r="C52">
        <v>1</v>
      </c>
      <c r="D52">
        <v>41.4</v>
      </c>
      <c r="E52">
        <v>41.4</v>
      </c>
      <c r="F52" s="1">
        <v>45659</v>
      </c>
      <c r="G52" s="1">
        <v>45660</v>
      </c>
      <c r="H52" t="s">
        <v>23</v>
      </c>
      <c r="I52" t="s">
        <v>35</v>
      </c>
      <c r="J52">
        <v>5</v>
      </c>
      <c r="K52" t="s">
        <v>19</v>
      </c>
      <c r="L52" t="s">
        <v>110</v>
      </c>
      <c r="M52">
        <f>orders[[#This Row],[Ship Date]]-orders[[#This Row],[Order Date]]</f>
        <v>1</v>
      </c>
      <c r="N52">
        <f>WEEKNUM(orders[[#This Row],[Order Date]])</f>
        <v>1</v>
      </c>
      <c r="O52" t="str">
        <f>_xlfn.IFS(orders[[#This Row],[Customer Gender]]="M","Male", orders[[#This Row],[Customer Gender]]="F","Female", orders[[#This Row],[Customer Gender]]="O","Other", TRUE,"Unknown")</f>
        <v>Male</v>
      </c>
    </row>
    <row r="53" spans="1:15">
      <c r="A53" t="s">
        <v>111</v>
      </c>
      <c r="B53" t="s">
        <v>44</v>
      </c>
      <c r="C53">
        <v>2</v>
      </c>
      <c r="D53">
        <v>24.3</v>
      </c>
      <c r="E53">
        <v>48.6</v>
      </c>
      <c r="F53" s="1">
        <v>45659</v>
      </c>
      <c r="G53" s="1">
        <v>45662</v>
      </c>
      <c r="H53" t="s">
        <v>27</v>
      </c>
      <c r="I53" t="s">
        <v>35</v>
      </c>
      <c r="J53">
        <v>4</v>
      </c>
      <c r="K53" t="s">
        <v>19</v>
      </c>
      <c r="L53" t="s">
        <v>110</v>
      </c>
      <c r="M53">
        <f>orders[[#This Row],[Ship Date]]-orders[[#This Row],[Order Date]]</f>
        <v>3</v>
      </c>
      <c r="N53">
        <f>WEEKNUM(orders[[#This Row],[Order Date]])</f>
        <v>1</v>
      </c>
      <c r="O53" t="str">
        <f>_xlfn.IFS(orders[[#This Row],[Customer Gender]]="M","Male", orders[[#This Row],[Customer Gender]]="F","Female", orders[[#This Row],[Customer Gender]]="O","Other", TRUE,"Unknown")</f>
        <v>Female</v>
      </c>
    </row>
    <row r="54" spans="1:15">
      <c r="A54" t="s">
        <v>112</v>
      </c>
      <c r="B54" t="s">
        <v>44</v>
      </c>
      <c r="C54">
        <v>3</v>
      </c>
      <c r="D54">
        <v>41.7</v>
      </c>
      <c r="E54">
        <v>125.10000000000001</v>
      </c>
      <c r="F54" s="1">
        <v>45659</v>
      </c>
      <c r="G54" s="1">
        <v>45661</v>
      </c>
      <c r="H54" t="s">
        <v>23</v>
      </c>
      <c r="I54" t="s">
        <v>18</v>
      </c>
      <c r="J54">
        <v>5</v>
      </c>
      <c r="K54" t="s">
        <v>19</v>
      </c>
      <c r="L54" t="s">
        <v>113</v>
      </c>
      <c r="M54">
        <f>orders[[#This Row],[Ship Date]]-orders[[#This Row],[Order Date]]</f>
        <v>2</v>
      </c>
      <c r="N54">
        <f>WEEKNUM(orders[[#This Row],[Order Date]])</f>
        <v>1</v>
      </c>
      <c r="O54" t="str">
        <f>_xlfn.IFS(orders[[#This Row],[Customer Gender]]="M","Male", orders[[#This Row],[Customer Gender]]="F","Female", orders[[#This Row],[Customer Gender]]="O","Other", TRUE,"Unknown")</f>
        <v>Male</v>
      </c>
    </row>
    <row r="55" spans="1:15">
      <c r="A55" t="s">
        <v>114</v>
      </c>
      <c r="B55" t="s">
        <v>16</v>
      </c>
      <c r="C55">
        <v>2</v>
      </c>
      <c r="D55">
        <v>18</v>
      </c>
      <c r="E55">
        <v>36</v>
      </c>
      <c r="F55" s="1">
        <v>45659</v>
      </c>
      <c r="G55" s="1">
        <v>45660</v>
      </c>
      <c r="H55" t="s">
        <v>27</v>
      </c>
      <c r="I55" t="s">
        <v>18</v>
      </c>
      <c r="J55">
        <v>5</v>
      </c>
      <c r="K55" t="s">
        <v>19</v>
      </c>
      <c r="L55" t="s">
        <v>115</v>
      </c>
      <c r="M55">
        <f>orders[[#This Row],[Ship Date]]-orders[[#This Row],[Order Date]]</f>
        <v>1</v>
      </c>
      <c r="N55">
        <f>WEEKNUM(orders[[#This Row],[Order Date]])</f>
        <v>1</v>
      </c>
      <c r="O55" t="str">
        <f>_xlfn.IFS(orders[[#This Row],[Customer Gender]]="M","Male", orders[[#This Row],[Customer Gender]]="F","Female", orders[[#This Row],[Customer Gender]]="O","Other", TRUE,"Unknown")</f>
        <v>Female</v>
      </c>
    </row>
    <row r="56" spans="1:15">
      <c r="A56" t="s">
        <v>116</v>
      </c>
      <c r="B56" t="s">
        <v>42</v>
      </c>
      <c r="C56">
        <v>3</v>
      </c>
      <c r="D56">
        <v>91.3</v>
      </c>
      <c r="E56">
        <v>273.89999999999998</v>
      </c>
      <c r="F56" s="1">
        <v>45659</v>
      </c>
      <c r="G56" s="1">
        <v>45662</v>
      </c>
      <c r="H56" t="s">
        <v>23</v>
      </c>
      <c r="I56" t="s">
        <v>40</v>
      </c>
      <c r="J56">
        <v>5</v>
      </c>
      <c r="K56" t="s">
        <v>19</v>
      </c>
      <c r="L56" t="s">
        <v>33</v>
      </c>
      <c r="M56">
        <f>orders[[#This Row],[Ship Date]]-orders[[#This Row],[Order Date]]</f>
        <v>3</v>
      </c>
      <c r="N56">
        <f>WEEKNUM(orders[[#This Row],[Order Date]])</f>
        <v>1</v>
      </c>
      <c r="O56" t="str">
        <f>_xlfn.IFS(orders[[#This Row],[Customer Gender]]="M","Male", orders[[#This Row],[Customer Gender]]="F","Female", orders[[#This Row],[Customer Gender]]="O","Other", TRUE,"Unknown")</f>
        <v>Male</v>
      </c>
    </row>
    <row r="57" spans="1:15">
      <c r="A57" t="s">
        <v>117</v>
      </c>
      <c r="B57" t="s">
        <v>44</v>
      </c>
      <c r="C57">
        <v>8</v>
      </c>
      <c r="D57">
        <v>19.3</v>
      </c>
      <c r="E57">
        <v>154.4</v>
      </c>
      <c r="F57" s="1">
        <v>45659</v>
      </c>
      <c r="G57" s="1">
        <v>45660</v>
      </c>
      <c r="H57" t="s">
        <v>23</v>
      </c>
      <c r="I57" t="s">
        <v>18</v>
      </c>
      <c r="J57">
        <v>4</v>
      </c>
      <c r="K57" t="s">
        <v>19</v>
      </c>
      <c r="L57" t="s">
        <v>33</v>
      </c>
      <c r="M57">
        <f>orders[[#This Row],[Ship Date]]-orders[[#This Row],[Order Date]]</f>
        <v>1</v>
      </c>
      <c r="N57">
        <f>WEEKNUM(orders[[#This Row],[Order Date]])</f>
        <v>1</v>
      </c>
      <c r="O57" t="str">
        <f>_xlfn.IFS(orders[[#This Row],[Customer Gender]]="M","Male", orders[[#This Row],[Customer Gender]]="F","Female", orders[[#This Row],[Customer Gender]]="O","Other", TRUE,"Unknown")</f>
        <v>Male</v>
      </c>
    </row>
    <row r="58" spans="1:15">
      <c r="A58" t="s">
        <v>118</v>
      </c>
      <c r="B58" t="s">
        <v>69</v>
      </c>
      <c r="C58">
        <v>13</v>
      </c>
      <c r="D58">
        <v>63.2</v>
      </c>
      <c r="E58">
        <v>821.6</v>
      </c>
      <c r="F58" s="1">
        <v>45659</v>
      </c>
      <c r="G58" s="1">
        <v>45660</v>
      </c>
      <c r="H58" t="s">
        <v>27</v>
      </c>
      <c r="I58" t="s">
        <v>18</v>
      </c>
      <c r="J58">
        <v>4</v>
      </c>
      <c r="K58" t="s">
        <v>19</v>
      </c>
      <c r="L58" t="s">
        <v>33</v>
      </c>
      <c r="M58">
        <f>orders[[#This Row],[Ship Date]]-orders[[#This Row],[Order Date]]</f>
        <v>1</v>
      </c>
      <c r="N58">
        <f>WEEKNUM(orders[[#This Row],[Order Date]])</f>
        <v>1</v>
      </c>
      <c r="O58" t="str">
        <f>_xlfn.IFS(orders[[#This Row],[Customer Gender]]="M","Male", orders[[#This Row],[Customer Gender]]="F","Female", orders[[#This Row],[Customer Gender]]="O","Other", TRUE,"Unknown")</f>
        <v>Female</v>
      </c>
    </row>
    <row r="59" spans="1:15">
      <c r="A59" t="s">
        <v>119</v>
      </c>
      <c r="B59" t="s">
        <v>54</v>
      </c>
      <c r="C59">
        <v>9</v>
      </c>
      <c r="D59">
        <v>33.299999999999997</v>
      </c>
      <c r="E59">
        <v>299.7</v>
      </c>
      <c r="F59" s="1">
        <v>45660</v>
      </c>
      <c r="G59" s="1">
        <v>45668</v>
      </c>
      <c r="H59" t="s">
        <v>27</v>
      </c>
      <c r="I59" t="s">
        <v>18</v>
      </c>
      <c r="J59">
        <v>5</v>
      </c>
      <c r="K59" t="s">
        <v>19</v>
      </c>
      <c r="L59" t="s">
        <v>33</v>
      </c>
      <c r="M59">
        <f>orders[[#This Row],[Ship Date]]-orders[[#This Row],[Order Date]]</f>
        <v>8</v>
      </c>
      <c r="N59">
        <f>WEEKNUM(orders[[#This Row],[Order Date]])</f>
        <v>1</v>
      </c>
      <c r="O59" t="str">
        <f>_xlfn.IFS(orders[[#This Row],[Customer Gender]]="M","Male", orders[[#This Row],[Customer Gender]]="F","Female", orders[[#This Row],[Customer Gender]]="O","Other", TRUE,"Unknown")</f>
        <v>Female</v>
      </c>
    </row>
    <row r="60" spans="1:15">
      <c r="A60" t="s">
        <v>120</v>
      </c>
      <c r="B60" t="s">
        <v>42</v>
      </c>
      <c r="C60">
        <v>2</v>
      </c>
      <c r="D60">
        <v>64.2</v>
      </c>
      <c r="E60">
        <v>128.4</v>
      </c>
      <c r="F60" s="1">
        <v>45660</v>
      </c>
      <c r="G60" s="1">
        <v>45661</v>
      </c>
      <c r="H60" t="s">
        <v>23</v>
      </c>
      <c r="I60" t="s">
        <v>18</v>
      </c>
      <c r="J60">
        <v>5</v>
      </c>
      <c r="K60" t="s">
        <v>19</v>
      </c>
      <c r="L60" t="s">
        <v>33</v>
      </c>
      <c r="M60">
        <f>orders[[#This Row],[Ship Date]]-orders[[#This Row],[Order Date]]</f>
        <v>1</v>
      </c>
      <c r="N60">
        <f>WEEKNUM(orders[[#This Row],[Order Date]])</f>
        <v>1</v>
      </c>
      <c r="O60" t="str">
        <f>_xlfn.IFS(orders[[#This Row],[Customer Gender]]="M","Male", orders[[#This Row],[Customer Gender]]="F","Female", orders[[#This Row],[Customer Gender]]="O","Other", TRUE,"Unknown")</f>
        <v>Male</v>
      </c>
    </row>
    <row r="61" spans="1:15">
      <c r="A61" t="s">
        <v>121</v>
      </c>
      <c r="B61" t="s">
        <v>46</v>
      </c>
      <c r="C61">
        <v>3</v>
      </c>
      <c r="D61">
        <v>23.1</v>
      </c>
      <c r="E61">
        <v>69.300000000000011</v>
      </c>
      <c r="F61" s="1">
        <v>45660</v>
      </c>
      <c r="G61" s="1">
        <v>45663</v>
      </c>
      <c r="H61" t="s">
        <v>27</v>
      </c>
      <c r="I61" t="s">
        <v>35</v>
      </c>
      <c r="J61">
        <v>5</v>
      </c>
      <c r="K61" t="s">
        <v>19</v>
      </c>
      <c r="L61" t="s">
        <v>33</v>
      </c>
      <c r="M61">
        <f>orders[[#This Row],[Ship Date]]-orders[[#This Row],[Order Date]]</f>
        <v>3</v>
      </c>
      <c r="N61">
        <f>WEEKNUM(orders[[#This Row],[Order Date]])</f>
        <v>1</v>
      </c>
      <c r="O61" t="str">
        <f>_xlfn.IFS(orders[[#This Row],[Customer Gender]]="M","Male", orders[[#This Row],[Customer Gender]]="F","Female", orders[[#This Row],[Customer Gender]]="O","Other", TRUE,"Unknown")</f>
        <v>Female</v>
      </c>
    </row>
    <row r="62" spans="1:15">
      <c r="A62" t="s">
        <v>122</v>
      </c>
      <c r="B62" t="s">
        <v>123</v>
      </c>
      <c r="C62">
        <v>2</v>
      </c>
      <c r="D62">
        <v>71.099999999999994</v>
      </c>
      <c r="E62">
        <v>142.19999999999999</v>
      </c>
      <c r="F62" s="1">
        <v>45660</v>
      </c>
      <c r="G62" s="1">
        <v>45662</v>
      </c>
      <c r="H62" t="s">
        <v>27</v>
      </c>
      <c r="I62" t="s">
        <v>51</v>
      </c>
      <c r="J62">
        <v>3</v>
      </c>
      <c r="K62" t="s">
        <v>19</v>
      </c>
      <c r="L62" t="s">
        <v>33</v>
      </c>
      <c r="M62">
        <f>orders[[#This Row],[Ship Date]]-orders[[#This Row],[Order Date]]</f>
        <v>2</v>
      </c>
      <c r="N62">
        <f>WEEKNUM(orders[[#This Row],[Order Date]])</f>
        <v>1</v>
      </c>
      <c r="O62" t="str">
        <f>_xlfn.IFS(orders[[#This Row],[Customer Gender]]="M","Male", orders[[#This Row],[Customer Gender]]="F","Female", orders[[#This Row],[Customer Gender]]="O","Other", TRUE,"Unknown")</f>
        <v>Female</v>
      </c>
    </row>
    <row r="63" spans="1:15">
      <c r="A63" t="s">
        <v>124</v>
      </c>
      <c r="B63" t="s">
        <v>16</v>
      </c>
      <c r="C63">
        <v>2</v>
      </c>
      <c r="D63">
        <v>11.5</v>
      </c>
      <c r="E63">
        <v>23</v>
      </c>
      <c r="F63" s="1">
        <v>45660</v>
      </c>
      <c r="G63" s="1">
        <v>45661</v>
      </c>
      <c r="H63" t="s">
        <v>27</v>
      </c>
      <c r="I63" t="s">
        <v>18</v>
      </c>
      <c r="J63">
        <v>4</v>
      </c>
      <c r="K63" t="s">
        <v>19</v>
      </c>
      <c r="L63" t="s">
        <v>33</v>
      </c>
      <c r="M63">
        <f>orders[[#This Row],[Ship Date]]-orders[[#This Row],[Order Date]]</f>
        <v>1</v>
      </c>
      <c r="N63">
        <f>WEEKNUM(orders[[#This Row],[Order Date]])</f>
        <v>1</v>
      </c>
      <c r="O63" t="str">
        <f>_xlfn.IFS(orders[[#This Row],[Customer Gender]]="M","Male", orders[[#This Row],[Customer Gender]]="F","Female", orders[[#This Row],[Customer Gender]]="O","Other", TRUE,"Unknown")</f>
        <v>Female</v>
      </c>
    </row>
    <row r="64" spans="1:15">
      <c r="A64" t="s">
        <v>125</v>
      </c>
      <c r="B64" t="s">
        <v>123</v>
      </c>
      <c r="C64">
        <v>19</v>
      </c>
      <c r="D64">
        <v>69.2</v>
      </c>
      <c r="E64">
        <v>1314.8</v>
      </c>
      <c r="F64" s="1">
        <v>45660</v>
      </c>
      <c r="G64" s="1">
        <v>45665</v>
      </c>
      <c r="H64" t="s">
        <v>27</v>
      </c>
      <c r="I64" t="s">
        <v>18</v>
      </c>
      <c r="J64">
        <v>4</v>
      </c>
      <c r="K64" t="s">
        <v>19</v>
      </c>
      <c r="L64" t="s">
        <v>33</v>
      </c>
      <c r="M64">
        <f>orders[[#This Row],[Ship Date]]-orders[[#This Row],[Order Date]]</f>
        <v>5</v>
      </c>
      <c r="N64">
        <f>WEEKNUM(orders[[#This Row],[Order Date]])</f>
        <v>1</v>
      </c>
      <c r="O64" t="str">
        <f>_xlfn.IFS(orders[[#This Row],[Customer Gender]]="M","Male", orders[[#This Row],[Customer Gender]]="F","Female", orders[[#This Row],[Customer Gender]]="O","Other", TRUE,"Unknown")</f>
        <v>Female</v>
      </c>
    </row>
    <row r="65" spans="1:15">
      <c r="A65" t="s">
        <v>126</v>
      </c>
      <c r="B65" t="s">
        <v>16</v>
      </c>
      <c r="C65">
        <v>1</v>
      </c>
      <c r="D65">
        <v>26.8</v>
      </c>
      <c r="E65">
        <v>26.8</v>
      </c>
      <c r="F65" s="1">
        <v>45660</v>
      </c>
      <c r="G65" s="1">
        <v>45661</v>
      </c>
      <c r="H65" t="s">
        <v>23</v>
      </c>
      <c r="I65" t="s">
        <v>40</v>
      </c>
      <c r="J65">
        <v>2</v>
      </c>
      <c r="K65" t="s">
        <v>19</v>
      </c>
      <c r="L65" t="s">
        <v>33</v>
      </c>
      <c r="M65">
        <f>orders[[#This Row],[Ship Date]]-orders[[#This Row],[Order Date]]</f>
        <v>1</v>
      </c>
      <c r="N65">
        <f>WEEKNUM(orders[[#This Row],[Order Date]])</f>
        <v>1</v>
      </c>
      <c r="O65" t="str">
        <f>_xlfn.IFS(orders[[#This Row],[Customer Gender]]="M","Male", orders[[#This Row],[Customer Gender]]="F","Female", orders[[#This Row],[Customer Gender]]="O","Other", TRUE,"Unknown")</f>
        <v>Male</v>
      </c>
    </row>
    <row r="66" spans="1:15">
      <c r="A66" t="s">
        <v>127</v>
      </c>
      <c r="B66" t="s">
        <v>128</v>
      </c>
      <c r="C66">
        <v>3</v>
      </c>
      <c r="D66">
        <v>31.2</v>
      </c>
      <c r="E66">
        <v>93.6</v>
      </c>
      <c r="F66" s="1">
        <v>45660</v>
      </c>
      <c r="G66" s="1">
        <v>45663</v>
      </c>
      <c r="H66" t="s">
        <v>27</v>
      </c>
      <c r="I66" t="s">
        <v>18</v>
      </c>
      <c r="J66">
        <v>4</v>
      </c>
      <c r="K66" t="s">
        <v>19</v>
      </c>
      <c r="L66" t="s">
        <v>33</v>
      </c>
      <c r="M66">
        <f>orders[[#This Row],[Ship Date]]-orders[[#This Row],[Order Date]]</f>
        <v>3</v>
      </c>
      <c r="N66">
        <f>WEEKNUM(orders[[#This Row],[Order Date]])</f>
        <v>1</v>
      </c>
      <c r="O66" t="str">
        <f>_xlfn.IFS(orders[[#This Row],[Customer Gender]]="M","Male", orders[[#This Row],[Customer Gender]]="F","Female", orders[[#This Row],[Customer Gender]]="O","Other", TRUE,"Unknown")</f>
        <v>Female</v>
      </c>
    </row>
    <row r="67" spans="1:15">
      <c r="A67" t="s">
        <v>129</v>
      </c>
      <c r="B67" t="s">
        <v>69</v>
      </c>
      <c r="C67">
        <v>2</v>
      </c>
      <c r="D67">
        <v>113.2</v>
      </c>
      <c r="E67">
        <v>226.4</v>
      </c>
      <c r="F67" s="1">
        <v>45660</v>
      </c>
      <c r="G67" s="1">
        <v>45661</v>
      </c>
      <c r="H67" t="s">
        <v>27</v>
      </c>
      <c r="I67" t="s">
        <v>70</v>
      </c>
      <c r="J67">
        <v>4</v>
      </c>
      <c r="K67" t="s">
        <v>19</v>
      </c>
      <c r="L67" t="s">
        <v>33</v>
      </c>
      <c r="M67">
        <f>orders[[#This Row],[Ship Date]]-orders[[#This Row],[Order Date]]</f>
        <v>1</v>
      </c>
      <c r="N67">
        <f>WEEKNUM(orders[[#This Row],[Order Date]])</f>
        <v>1</v>
      </c>
      <c r="O67" t="str">
        <f>_xlfn.IFS(orders[[#This Row],[Customer Gender]]="M","Male", orders[[#This Row],[Customer Gender]]="F","Female", orders[[#This Row],[Customer Gender]]="O","Other", TRUE,"Unknown")</f>
        <v>Female</v>
      </c>
    </row>
    <row r="68" spans="1:15">
      <c r="A68" t="s">
        <v>130</v>
      </c>
      <c r="B68" t="s">
        <v>54</v>
      </c>
      <c r="C68">
        <v>8</v>
      </c>
      <c r="D68">
        <v>21</v>
      </c>
      <c r="E68">
        <v>168</v>
      </c>
      <c r="F68" s="1">
        <v>45660</v>
      </c>
      <c r="G68" s="1">
        <v>45661</v>
      </c>
      <c r="H68" t="s">
        <v>23</v>
      </c>
      <c r="I68" t="s">
        <v>18</v>
      </c>
      <c r="J68">
        <v>4</v>
      </c>
      <c r="K68" t="s">
        <v>19</v>
      </c>
      <c r="L68" t="s">
        <v>55</v>
      </c>
      <c r="M68">
        <f>orders[[#This Row],[Ship Date]]-orders[[#This Row],[Order Date]]</f>
        <v>1</v>
      </c>
      <c r="N68">
        <f>WEEKNUM(orders[[#This Row],[Order Date]])</f>
        <v>1</v>
      </c>
      <c r="O68" t="str">
        <f>_xlfn.IFS(orders[[#This Row],[Customer Gender]]="M","Male", orders[[#This Row],[Customer Gender]]="F","Female", orders[[#This Row],[Customer Gender]]="O","Other", TRUE,"Unknown")</f>
        <v>Male</v>
      </c>
    </row>
    <row r="69" spans="1:15">
      <c r="A69" t="s">
        <v>131</v>
      </c>
      <c r="B69" t="s">
        <v>22</v>
      </c>
      <c r="C69">
        <v>2</v>
      </c>
      <c r="D69">
        <v>89.1</v>
      </c>
      <c r="E69">
        <v>178.2</v>
      </c>
      <c r="F69" s="1">
        <v>45660</v>
      </c>
      <c r="G69" s="1">
        <v>45661</v>
      </c>
      <c r="H69" t="s">
        <v>27</v>
      </c>
      <c r="I69" t="s">
        <v>40</v>
      </c>
      <c r="J69">
        <v>5</v>
      </c>
      <c r="K69" t="s">
        <v>19</v>
      </c>
      <c r="L69" t="s">
        <v>55</v>
      </c>
      <c r="M69">
        <f>orders[[#This Row],[Ship Date]]-orders[[#This Row],[Order Date]]</f>
        <v>1</v>
      </c>
      <c r="N69">
        <f>WEEKNUM(orders[[#This Row],[Order Date]])</f>
        <v>1</v>
      </c>
      <c r="O69" t="str">
        <f>_xlfn.IFS(orders[[#This Row],[Customer Gender]]="M","Male", orders[[#This Row],[Customer Gender]]="F","Female", orders[[#This Row],[Customer Gender]]="O","Other", TRUE,"Unknown")</f>
        <v>Female</v>
      </c>
    </row>
    <row r="70" spans="1:15">
      <c r="A70" t="s">
        <v>132</v>
      </c>
      <c r="B70" t="s">
        <v>22</v>
      </c>
      <c r="C70">
        <v>1</v>
      </c>
      <c r="D70">
        <v>97.7</v>
      </c>
      <c r="E70">
        <v>97.7</v>
      </c>
      <c r="F70" s="1">
        <v>45660</v>
      </c>
      <c r="G70" s="1">
        <v>45662</v>
      </c>
      <c r="H70" t="s">
        <v>27</v>
      </c>
      <c r="I70" t="s">
        <v>18</v>
      </c>
      <c r="J70">
        <v>3</v>
      </c>
      <c r="K70" t="s">
        <v>19</v>
      </c>
      <c r="L70" t="s">
        <v>55</v>
      </c>
      <c r="M70">
        <f>orders[[#This Row],[Ship Date]]-orders[[#This Row],[Order Date]]</f>
        <v>2</v>
      </c>
      <c r="N70">
        <f>WEEKNUM(orders[[#This Row],[Order Date]])</f>
        <v>1</v>
      </c>
      <c r="O70" t="str">
        <f>_xlfn.IFS(orders[[#This Row],[Customer Gender]]="M","Male", orders[[#This Row],[Customer Gender]]="F","Female", orders[[#This Row],[Customer Gender]]="O","Other", TRUE,"Unknown")</f>
        <v>Female</v>
      </c>
    </row>
    <row r="71" spans="1:15">
      <c r="A71" t="s">
        <v>133</v>
      </c>
      <c r="B71" t="s">
        <v>123</v>
      </c>
      <c r="C71">
        <v>4</v>
      </c>
      <c r="D71">
        <v>97.7</v>
      </c>
      <c r="E71">
        <v>390.8</v>
      </c>
      <c r="F71" s="1">
        <v>45660</v>
      </c>
      <c r="G71" s="1">
        <v>45662</v>
      </c>
      <c r="H71" t="s">
        <v>23</v>
      </c>
      <c r="I71" t="s">
        <v>51</v>
      </c>
      <c r="J71">
        <v>4</v>
      </c>
      <c r="K71" t="s">
        <v>19</v>
      </c>
      <c r="L71" t="s">
        <v>55</v>
      </c>
      <c r="M71">
        <f>orders[[#This Row],[Ship Date]]-orders[[#This Row],[Order Date]]</f>
        <v>2</v>
      </c>
      <c r="N71">
        <f>WEEKNUM(orders[[#This Row],[Order Date]])</f>
        <v>1</v>
      </c>
      <c r="O71" t="str">
        <f>_xlfn.IFS(orders[[#This Row],[Customer Gender]]="M","Male", orders[[#This Row],[Customer Gender]]="F","Female", orders[[#This Row],[Customer Gender]]="O","Other", TRUE,"Unknown")</f>
        <v>Male</v>
      </c>
    </row>
    <row r="72" spans="1:15">
      <c r="A72" t="s">
        <v>134</v>
      </c>
      <c r="B72" t="s">
        <v>135</v>
      </c>
      <c r="C72">
        <v>3</v>
      </c>
      <c r="D72">
        <v>47.4</v>
      </c>
      <c r="E72">
        <v>142.19999999999999</v>
      </c>
      <c r="F72" s="1">
        <v>45660</v>
      </c>
      <c r="G72" s="1">
        <v>45663</v>
      </c>
      <c r="H72" t="s">
        <v>23</v>
      </c>
      <c r="I72" t="s">
        <v>51</v>
      </c>
      <c r="J72">
        <v>5</v>
      </c>
      <c r="K72" t="s">
        <v>19</v>
      </c>
      <c r="L72" t="s">
        <v>62</v>
      </c>
      <c r="M72">
        <f>orders[[#This Row],[Ship Date]]-orders[[#This Row],[Order Date]]</f>
        <v>3</v>
      </c>
      <c r="N72">
        <f>WEEKNUM(orders[[#This Row],[Order Date]])</f>
        <v>1</v>
      </c>
      <c r="O72" t="str">
        <f>_xlfn.IFS(orders[[#This Row],[Customer Gender]]="M","Male", orders[[#This Row],[Customer Gender]]="F","Female", orders[[#This Row],[Customer Gender]]="O","Other", TRUE,"Unknown")</f>
        <v>Male</v>
      </c>
    </row>
    <row r="73" spans="1:15">
      <c r="A73" t="s">
        <v>136</v>
      </c>
      <c r="B73" t="s">
        <v>42</v>
      </c>
      <c r="C73">
        <v>1</v>
      </c>
      <c r="D73">
        <v>89.6</v>
      </c>
      <c r="E73">
        <v>89.6</v>
      </c>
      <c r="F73" s="1">
        <v>45660</v>
      </c>
      <c r="G73" s="1">
        <v>45663</v>
      </c>
      <c r="H73" t="s">
        <v>27</v>
      </c>
      <c r="I73" t="s">
        <v>18</v>
      </c>
      <c r="J73">
        <v>5</v>
      </c>
      <c r="K73" t="s">
        <v>19</v>
      </c>
      <c r="L73" t="s">
        <v>62</v>
      </c>
      <c r="M73">
        <f>orders[[#This Row],[Ship Date]]-orders[[#This Row],[Order Date]]</f>
        <v>3</v>
      </c>
      <c r="N73">
        <f>WEEKNUM(orders[[#This Row],[Order Date]])</f>
        <v>1</v>
      </c>
      <c r="O73" t="str">
        <f>_xlfn.IFS(orders[[#This Row],[Customer Gender]]="M","Male", orders[[#This Row],[Customer Gender]]="F","Female", orders[[#This Row],[Customer Gender]]="O","Other", TRUE,"Unknown")</f>
        <v>Female</v>
      </c>
    </row>
    <row r="74" spans="1:15">
      <c r="A74" t="s">
        <v>137</v>
      </c>
      <c r="B74" t="s">
        <v>54</v>
      </c>
      <c r="C74">
        <v>18</v>
      </c>
      <c r="D74">
        <v>28.4</v>
      </c>
      <c r="E74">
        <v>511.2</v>
      </c>
      <c r="F74" s="1">
        <v>45660</v>
      </c>
      <c r="G74" s="1">
        <v>45663</v>
      </c>
      <c r="H74" t="s">
        <v>27</v>
      </c>
      <c r="I74" t="s">
        <v>51</v>
      </c>
      <c r="J74">
        <v>5</v>
      </c>
      <c r="K74" t="s">
        <v>19</v>
      </c>
      <c r="L74" t="s">
        <v>103</v>
      </c>
      <c r="M74">
        <f>orders[[#This Row],[Ship Date]]-orders[[#This Row],[Order Date]]</f>
        <v>3</v>
      </c>
      <c r="N74">
        <f>WEEKNUM(orders[[#This Row],[Order Date]])</f>
        <v>1</v>
      </c>
      <c r="O74" t="str">
        <f>_xlfn.IFS(orders[[#This Row],[Customer Gender]]="M","Male", orders[[#This Row],[Customer Gender]]="F","Female", orders[[#This Row],[Customer Gender]]="O","Other", TRUE,"Unknown")</f>
        <v>Female</v>
      </c>
    </row>
    <row r="75" spans="1:15">
      <c r="A75" t="s">
        <v>138</v>
      </c>
      <c r="B75" t="s">
        <v>16</v>
      </c>
      <c r="C75">
        <v>2</v>
      </c>
      <c r="D75">
        <v>17.899999999999999</v>
      </c>
      <c r="E75">
        <v>35.799999999999997</v>
      </c>
      <c r="F75" s="1">
        <v>45660</v>
      </c>
      <c r="G75" s="1">
        <v>45661</v>
      </c>
      <c r="H75" t="s">
        <v>27</v>
      </c>
      <c r="I75" t="s">
        <v>18</v>
      </c>
      <c r="J75">
        <v>5</v>
      </c>
      <c r="K75" t="s">
        <v>19</v>
      </c>
      <c r="L75" t="s">
        <v>72</v>
      </c>
      <c r="M75">
        <f>orders[[#This Row],[Ship Date]]-orders[[#This Row],[Order Date]]</f>
        <v>1</v>
      </c>
      <c r="N75">
        <f>WEEKNUM(orders[[#This Row],[Order Date]])</f>
        <v>1</v>
      </c>
      <c r="O75" t="str">
        <f>_xlfn.IFS(orders[[#This Row],[Customer Gender]]="M","Male", orders[[#This Row],[Customer Gender]]="F","Female", orders[[#This Row],[Customer Gender]]="O","Other", TRUE,"Unknown")</f>
        <v>Female</v>
      </c>
    </row>
    <row r="76" spans="1:15">
      <c r="A76" t="s">
        <v>139</v>
      </c>
      <c r="B76" t="s">
        <v>46</v>
      </c>
      <c r="C76">
        <v>2</v>
      </c>
      <c r="D76">
        <v>48.4</v>
      </c>
      <c r="E76">
        <v>96.8</v>
      </c>
      <c r="F76" s="1">
        <v>45660</v>
      </c>
      <c r="G76" s="1">
        <v>45663</v>
      </c>
      <c r="H76" t="s">
        <v>23</v>
      </c>
      <c r="I76" t="s">
        <v>35</v>
      </c>
      <c r="J76">
        <v>4</v>
      </c>
      <c r="K76" t="s">
        <v>19</v>
      </c>
      <c r="L76" t="s">
        <v>72</v>
      </c>
      <c r="M76">
        <f>orders[[#This Row],[Ship Date]]-orders[[#This Row],[Order Date]]</f>
        <v>3</v>
      </c>
      <c r="N76">
        <f>WEEKNUM(orders[[#This Row],[Order Date]])</f>
        <v>1</v>
      </c>
      <c r="O76" t="str">
        <f>_xlfn.IFS(orders[[#This Row],[Customer Gender]]="M","Male", orders[[#This Row],[Customer Gender]]="F","Female", orders[[#This Row],[Customer Gender]]="O","Other", TRUE,"Unknown")</f>
        <v>Male</v>
      </c>
    </row>
    <row r="77" spans="1:15">
      <c r="A77" t="s">
        <v>140</v>
      </c>
      <c r="B77" t="s">
        <v>69</v>
      </c>
      <c r="C77">
        <v>4</v>
      </c>
      <c r="D77">
        <v>44.4</v>
      </c>
      <c r="E77">
        <v>177.6</v>
      </c>
      <c r="F77" s="1">
        <v>45660</v>
      </c>
      <c r="G77" s="1">
        <v>45661</v>
      </c>
      <c r="H77" t="s">
        <v>89</v>
      </c>
      <c r="I77" t="s">
        <v>35</v>
      </c>
      <c r="J77">
        <v>3</v>
      </c>
      <c r="K77" t="s">
        <v>19</v>
      </c>
      <c r="L77" t="s">
        <v>77</v>
      </c>
      <c r="M77">
        <f>orders[[#This Row],[Ship Date]]-orders[[#This Row],[Order Date]]</f>
        <v>1</v>
      </c>
      <c r="N77">
        <f>WEEKNUM(orders[[#This Row],[Order Date]])</f>
        <v>1</v>
      </c>
      <c r="O77" t="str">
        <f>_xlfn.IFS(orders[[#This Row],[Customer Gender]]="M","Male", orders[[#This Row],[Customer Gender]]="F","Female", orders[[#This Row],[Customer Gender]]="O","Other", TRUE,"Unknown")</f>
        <v>Other</v>
      </c>
    </row>
    <row r="78" spans="1:15">
      <c r="A78" t="s">
        <v>141</v>
      </c>
      <c r="B78" t="s">
        <v>26</v>
      </c>
      <c r="C78">
        <v>8</v>
      </c>
      <c r="D78">
        <v>103.7</v>
      </c>
      <c r="E78">
        <v>829.6</v>
      </c>
      <c r="F78" s="1">
        <v>45660</v>
      </c>
      <c r="G78" s="1">
        <v>45661</v>
      </c>
      <c r="H78" t="s">
        <v>27</v>
      </c>
      <c r="I78" t="s">
        <v>18</v>
      </c>
      <c r="J78">
        <v>3</v>
      </c>
      <c r="K78" t="s">
        <v>19</v>
      </c>
      <c r="L78" t="s">
        <v>110</v>
      </c>
      <c r="M78">
        <f>orders[[#This Row],[Ship Date]]-orders[[#This Row],[Order Date]]</f>
        <v>1</v>
      </c>
      <c r="N78">
        <f>WEEKNUM(orders[[#This Row],[Order Date]])</f>
        <v>1</v>
      </c>
      <c r="O78" t="str">
        <f>_xlfn.IFS(orders[[#This Row],[Customer Gender]]="M","Male", orders[[#This Row],[Customer Gender]]="F","Female", orders[[#This Row],[Customer Gender]]="O","Other", TRUE,"Unknown")</f>
        <v>Female</v>
      </c>
    </row>
    <row r="79" spans="1:15">
      <c r="A79" t="s">
        <v>142</v>
      </c>
      <c r="B79" t="s">
        <v>37</v>
      </c>
      <c r="C79">
        <v>4</v>
      </c>
      <c r="D79">
        <v>58.6</v>
      </c>
      <c r="E79">
        <v>234.4</v>
      </c>
      <c r="F79" s="1">
        <v>45660</v>
      </c>
      <c r="G79" s="1">
        <v>45662</v>
      </c>
      <c r="H79" t="s">
        <v>23</v>
      </c>
      <c r="I79" t="s">
        <v>51</v>
      </c>
      <c r="J79">
        <v>4</v>
      </c>
      <c r="K79" t="s">
        <v>19</v>
      </c>
      <c r="L79" t="s">
        <v>110</v>
      </c>
      <c r="M79">
        <f>orders[[#This Row],[Ship Date]]-orders[[#This Row],[Order Date]]</f>
        <v>2</v>
      </c>
      <c r="N79">
        <f>WEEKNUM(orders[[#This Row],[Order Date]])</f>
        <v>1</v>
      </c>
      <c r="O79" t="str">
        <f>_xlfn.IFS(orders[[#This Row],[Customer Gender]]="M","Male", orders[[#This Row],[Customer Gender]]="F","Female", orders[[#This Row],[Customer Gender]]="O","Other", TRUE,"Unknown")</f>
        <v>Male</v>
      </c>
    </row>
    <row r="80" spans="1:15">
      <c r="A80" t="s">
        <v>143</v>
      </c>
      <c r="B80" t="s">
        <v>46</v>
      </c>
      <c r="C80">
        <v>4</v>
      </c>
      <c r="D80">
        <v>54.8</v>
      </c>
      <c r="E80">
        <v>219.2</v>
      </c>
      <c r="F80" s="1">
        <v>45660</v>
      </c>
      <c r="G80" s="1">
        <v>45664</v>
      </c>
      <c r="H80" t="s">
        <v>27</v>
      </c>
      <c r="I80" t="s">
        <v>40</v>
      </c>
      <c r="J80">
        <v>3</v>
      </c>
      <c r="K80" t="s">
        <v>19</v>
      </c>
      <c r="L80" t="s">
        <v>82</v>
      </c>
      <c r="M80">
        <f>orders[[#This Row],[Ship Date]]-orders[[#This Row],[Order Date]]</f>
        <v>4</v>
      </c>
      <c r="N80">
        <f>WEEKNUM(orders[[#This Row],[Order Date]])</f>
        <v>1</v>
      </c>
      <c r="O80" t="str">
        <f>_xlfn.IFS(orders[[#This Row],[Customer Gender]]="M","Male", orders[[#This Row],[Customer Gender]]="F","Female", orders[[#This Row],[Customer Gender]]="O","Other", TRUE,"Unknown")</f>
        <v>Female</v>
      </c>
    </row>
    <row r="81" spans="1:15">
      <c r="A81" t="s">
        <v>144</v>
      </c>
      <c r="B81" t="s">
        <v>69</v>
      </c>
      <c r="C81">
        <v>3</v>
      </c>
      <c r="D81">
        <v>78.8</v>
      </c>
      <c r="E81">
        <v>236.39999999999998</v>
      </c>
      <c r="F81" s="1">
        <v>45660</v>
      </c>
      <c r="G81" s="1">
        <v>45666</v>
      </c>
      <c r="H81" t="s">
        <v>27</v>
      </c>
      <c r="I81" t="s">
        <v>70</v>
      </c>
      <c r="J81">
        <v>3</v>
      </c>
      <c r="K81" t="s">
        <v>19</v>
      </c>
      <c r="L81" t="s">
        <v>115</v>
      </c>
      <c r="M81">
        <f>orders[[#This Row],[Ship Date]]-orders[[#This Row],[Order Date]]</f>
        <v>6</v>
      </c>
      <c r="N81">
        <f>WEEKNUM(orders[[#This Row],[Order Date]])</f>
        <v>1</v>
      </c>
      <c r="O81" t="str">
        <f>_xlfn.IFS(orders[[#This Row],[Customer Gender]]="M","Male", orders[[#This Row],[Customer Gender]]="F","Female", orders[[#This Row],[Customer Gender]]="O","Other", TRUE,"Unknown")</f>
        <v>Female</v>
      </c>
    </row>
    <row r="82" spans="1:15">
      <c r="A82" t="s">
        <v>145</v>
      </c>
      <c r="B82" t="s">
        <v>146</v>
      </c>
      <c r="C82">
        <v>5</v>
      </c>
      <c r="D82">
        <v>36.799999999999997</v>
      </c>
      <c r="E82">
        <v>184</v>
      </c>
      <c r="F82" s="1">
        <v>45660</v>
      </c>
      <c r="G82" s="1">
        <v>45663</v>
      </c>
      <c r="H82" t="s">
        <v>23</v>
      </c>
      <c r="I82" t="s">
        <v>70</v>
      </c>
      <c r="J82">
        <v>3</v>
      </c>
      <c r="K82" t="s">
        <v>19</v>
      </c>
      <c r="L82" t="s">
        <v>147</v>
      </c>
      <c r="M82">
        <f>orders[[#This Row],[Ship Date]]-orders[[#This Row],[Order Date]]</f>
        <v>3</v>
      </c>
      <c r="N82">
        <f>WEEKNUM(orders[[#This Row],[Order Date]])</f>
        <v>1</v>
      </c>
      <c r="O82" t="str">
        <f>_xlfn.IFS(orders[[#This Row],[Customer Gender]]="M","Male", orders[[#This Row],[Customer Gender]]="F","Female", orders[[#This Row],[Customer Gender]]="O","Other", TRUE,"Unknown")</f>
        <v>Male</v>
      </c>
    </row>
    <row r="83" spans="1:15">
      <c r="A83" t="s">
        <v>148</v>
      </c>
      <c r="B83" t="s">
        <v>39</v>
      </c>
      <c r="C83">
        <v>6</v>
      </c>
      <c r="D83">
        <v>50.6</v>
      </c>
      <c r="E83">
        <v>303.60000000000002</v>
      </c>
      <c r="F83" s="1">
        <v>45660</v>
      </c>
      <c r="G83" s="1">
        <v>45662</v>
      </c>
      <c r="H83" t="s">
        <v>27</v>
      </c>
      <c r="I83" t="s">
        <v>51</v>
      </c>
      <c r="J83">
        <v>4</v>
      </c>
      <c r="K83" t="s">
        <v>19</v>
      </c>
      <c r="L83" t="s">
        <v>33</v>
      </c>
      <c r="M83">
        <f>orders[[#This Row],[Ship Date]]-orders[[#This Row],[Order Date]]</f>
        <v>2</v>
      </c>
      <c r="N83">
        <f>WEEKNUM(orders[[#This Row],[Order Date]])</f>
        <v>1</v>
      </c>
      <c r="O83" t="str">
        <f>_xlfn.IFS(orders[[#This Row],[Customer Gender]]="M","Male", orders[[#This Row],[Customer Gender]]="F","Female", orders[[#This Row],[Customer Gender]]="O","Other", TRUE,"Unknown")</f>
        <v>Female</v>
      </c>
    </row>
    <row r="84" spans="1:15">
      <c r="A84" t="s">
        <v>149</v>
      </c>
      <c r="B84" t="s">
        <v>123</v>
      </c>
      <c r="C84">
        <v>3</v>
      </c>
      <c r="D84">
        <v>36.799999999999997</v>
      </c>
      <c r="E84">
        <v>110.39999999999999</v>
      </c>
      <c r="F84" s="1">
        <v>45660</v>
      </c>
      <c r="G84" s="1">
        <v>45660</v>
      </c>
      <c r="H84" t="s">
        <v>23</v>
      </c>
      <c r="I84" t="s">
        <v>40</v>
      </c>
      <c r="J84">
        <v>3</v>
      </c>
      <c r="K84" t="s">
        <v>19</v>
      </c>
      <c r="L84" t="s">
        <v>33</v>
      </c>
      <c r="M84">
        <f>orders[[#This Row],[Ship Date]]-orders[[#This Row],[Order Date]]</f>
        <v>0</v>
      </c>
      <c r="N84">
        <f>WEEKNUM(orders[[#This Row],[Order Date]])</f>
        <v>1</v>
      </c>
      <c r="O84" t="str">
        <f>_xlfn.IFS(orders[[#This Row],[Customer Gender]]="M","Male", orders[[#This Row],[Customer Gender]]="F","Female", orders[[#This Row],[Customer Gender]]="O","Other", TRUE,"Unknown")</f>
        <v>Male</v>
      </c>
    </row>
    <row r="85" spans="1:15">
      <c r="A85" t="s">
        <v>150</v>
      </c>
      <c r="B85" t="s">
        <v>44</v>
      </c>
      <c r="C85">
        <v>9</v>
      </c>
      <c r="D85">
        <v>41.8</v>
      </c>
      <c r="E85">
        <v>376.2</v>
      </c>
      <c r="F85" s="1">
        <v>45661</v>
      </c>
      <c r="G85" s="1">
        <v>45667</v>
      </c>
      <c r="H85" t="s">
        <v>27</v>
      </c>
      <c r="I85" t="s">
        <v>51</v>
      </c>
      <c r="J85">
        <v>4</v>
      </c>
      <c r="K85" t="s">
        <v>19</v>
      </c>
      <c r="L85" t="s">
        <v>33</v>
      </c>
      <c r="M85">
        <f>orders[[#This Row],[Ship Date]]-orders[[#This Row],[Order Date]]</f>
        <v>6</v>
      </c>
      <c r="N85">
        <f>WEEKNUM(orders[[#This Row],[Order Date]])</f>
        <v>1</v>
      </c>
      <c r="O85" t="str">
        <f>_xlfn.IFS(orders[[#This Row],[Customer Gender]]="M","Male", orders[[#This Row],[Customer Gender]]="F","Female", orders[[#This Row],[Customer Gender]]="O","Other", TRUE,"Unknown")</f>
        <v>Female</v>
      </c>
    </row>
    <row r="86" spans="1:15">
      <c r="A86" t="s">
        <v>151</v>
      </c>
      <c r="B86" t="s">
        <v>146</v>
      </c>
      <c r="C86">
        <v>1</v>
      </c>
      <c r="D86">
        <v>77.3</v>
      </c>
      <c r="E86">
        <v>77.3</v>
      </c>
      <c r="F86" s="1">
        <v>45661</v>
      </c>
      <c r="G86" s="1">
        <v>45662</v>
      </c>
      <c r="H86" t="s">
        <v>23</v>
      </c>
      <c r="I86" t="s">
        <v>70</v>
      </c>
      <c r="J86">
        <v>2</v>
      </c>
      <c r="K86" t="s">
        <v>19</v>
      </c>
      <c r="L86" t="s">
        <v>33</v>
      </c>
      <c r="M86">
        <f>orders[[#This Row],[Ship Date]]-orders[[#This Row],[Order Date]]</f>
        <v>1</v>
      </c>
      <c r="N86">
        <f>WEEKNUM(orders[[#This Row],[Order Date]])</f>
        <v>1</v>
      </c>
      <c r="O86" t="str">
        <f>_xlfn.IFS(orders[[#This Row],[Customer Gender]]="M","Male", orders[[#This Row],[Customer Gender]]="F","Female", orders[[#This Row],[Customer Gender]]="O","Other", TRUE,"Unknown")</f>
        <v>Male</v>
      </c>
    </row>
    <row r="87" spans="1:15">
      <c r="A87" t="s">
        <v>152</v>
      </c>
      <c r="B87" t="s">
        <v>44</v>
      </c>
      <c r="C87">
        <v>4</v>
      </c>
      <c r="D87">
        <v>19.8</v>
      </c>
      <c r="E87">
        <v>79.2</v>
      </c>
      <c r="F87" s="1">
        <v>45661</v>
      </c>
      <c r="G87" s="1">
        <v>45667</v>
      </c>
      <c r="H87" t="s">
        <v>23</v>
      </c>
      <c r="I87" t="s">
        <v>35</v>
      </c>
      <c r="J87">
        <v>5</v>
      </c>
      <c r="K87" t="s">
        <v>19</v>
      </c>
      <c r="L87" t="s">
        <v>33</v>
      </c>
      <c r="M87">
        <f>orders[[#This Row],[Ship Date]]-orders[[#This Row],[Order Date]]</f>
        <v>6</v>
      </c>
      <c r="N87">
        <f>WEEKNUM(orders[[#This Row],[Order Date]])</f>
        <v>1</v>
      </c>
      <c r="O87" t="str">
        <f>_xlfn.IFS(orders[[#This Row],[Customer Gender]]="M","Male", orders[[#This Row],[Customer Gender]]="F","Female", orders[[#This Row],[Customer Gender]]="O","Other", TRUE,"Unknown")</f>
        <v>Male</v>
      </c>
    </row>
    <row r="88" spans="1:15">
      <c r="A88" t="s">
        <v>153</v>
      </c>
      <c r="B88" t="s">
        <v>76</v>
      </c>
      <c r="C88">
        <v>4</v>
      </c>
      <c r="D88">
        <v>15.5</v>
      </c>
      <c r="E88">
        <v>62</v>
      </c>
      <c r="F88" s="1">
        <v>45661</v>
      </c>
      <c r="G88" s="1">
        <v>45662</v>
      </c>
      <c r="H88" t="s">
        <v>27</v>
      </c>
      <c r="I88" t="s">
        <v>35</v>
      </c>
      <c r="J88">
        <v>5</v>
      </c>
      <c r="K88" t="s">
        <v>19</v>
      </c>
      <c r="L88" t="s">
        <v>33</v>
      </c>
      <c r="M88">
        <f>orders[[#This Row],[Ship Date]]-orders[[#This Row],[Order Date]]</f>
        <v>1</v>
      </c>
      <c r="N88">
        <f>WEEKNUM(orders[[#This Row],[Order Date]])</f>
        <v>1</v>
      </c>
      <c r="O88" t="str">
        <f>_xlfn.IFS(orders[[#This Row],[Customer Gender]]="M","Male", orders[[#This Row],[Customer Gender]]="F","Female", orders[[#This Row],[Customer Gender]]="O","Other", TRUE,"Unknown")</f>
        <v>Female</v>
      </c>
    </row>
    <row r="89" spans="1:15">
      <c r="A89" t="s">
        <v>154</v>
      </c>
      <c r="B89" t="s">
        <v>69</v>
      </c>
      <c r="C89">
        <v>1</v>
      </c>
      <c r="D89">
        <v>46.8</v>
      </c>
      <c r="E89">
        <v>46.8</v>
      </c>
      <c r="F89" s="1">
        <v>45661</v>
      </c>
      <c r="G89" s="1">
        <v>45665</v>
      </c>
      <c r="H89" t="s">
        <v>23</v>
      </c>
      <c r="I89" t="s">
        <v>18</v>
      </c>
      <c r="J89">
        <v>5</v>
      </c>
      <c r="K89" t="s">
        <v>19</v>
      </c>
      <c r="L89" t="s">
        <v>33</v>
      </c>
      <c r="M89">
        <f>orders[[#This Row],[Ship Date]]-orders[[#This Row],[Order Date]]</f>
        <v>4</v>
      </c>
      <c r="N89">
        <f>WEEKNUM(orders[[#This Row],[Order Date]])</f>
        <v>1</v>
      </c>
      <c r="O89" t="str">
        <f>_xlfn.IFS(orders[[#This Row],[Customer Gender]]="M","Male", orders[[#This Row],[Customer Gender]]="F","Female", orders[[#This Row],[Customer Gender]]="O","Other", TRUE,"Unknown")</f>
        <v>Male</v>
      </c>
    </row>
    <row r="90" spans="1:15">
      <c r="A90" t="s">
        <v>155</v>
      </c>
      <c r="B90" t="s">
        <v>46</v>
      </c>
      <c r="C90">
        <v>9</v>
      </c>
      <c r="D90">
        <v>28.6</v>
      </c>
      <c r="E90">
        <v>257.40000000000003</v>
      </c>
      <c r="F90" s="1">
        <v>45661</v>
      </c>
      <c r="G90" s="1">
        <v>45665</v>
      </c>
      <c r="H90" t="s">
        <v>23</v>
      </c>
      <c r="I90" t="s">
        <v>18</v>
      </c>
      <c r="J90">
        <v>5</v>
      </c>
      <c r="K90" t="s">
        <v>19</v>
      </c>
      <c r="L90" t="s">
        <v>33</v>
      </c>
      <c r="M90">
        <f>orders[[#This Row],[Ship Date]]-orders[[#This Row],[Order Date]]</f>
        <v>4</v>
      </c>
      <c r="N90">
        <f>WEEKNUM(orders[[#This Row],[Order Date]])</f>
        <v>1</v>
      </c>
      <c r="O90" t="str">
        <f>_xlfn.IFS(orders[[#This Row],[Customer Gender]]="M","Male", orders[[#This Row],[Customer Gender]]="F","Female", orders[[#This Row],[Customer Gender]]="O","Other", TRUE,"Unknown")</f>
        <v>Male</v>
      </c>
    </row>
    <row r="91" spans="1:15">
      <c r="A91" t="s">
        <v>156</v>
      </c>
      <c r="B91" t="s">
        <v>26</v>
      </c>
      <c r="C91">
        <v>1</v>
      </c>
      <c r="D91">
        <v>97.7</v>
      </c>
      <c r="E91">
        <v>97.7</v>
      </c>
      <c r="F91" s="1">
        <v>45661</v>
      </c>
      <c r="G91" s="1">
        <v>45664</v>
      </c>
      <c r="H91" t="s">
        <v>27</v>
      </c>
      <c r="I91" t="s">
        <v>35</v>
      </c>
      <c r="J91">
        <v>4</v>
      </c>
      <c r="K91" t="s">
        <v>19</v>
      </c>
      <c r="L91" t="s">
        <v>33</v>
      </c>
      <c r="M91">
        <f>orders[[#This Row],[Ship Date]]-orders[[#This Row],[Order Date]]</f>
        <v>3</v>
      </c>
      <c r="N91">
        <f>WEEKNUM(orders[[#This Row],[Order Date]])</f>
        <v>1</v>
      </c>
      <c r="O91" t="str">
        <f>_xlfn.IFS(orders[[#This Row],[Customer Gender]]="M","Male", orders[[#This Row],[Customer Gender]]="F","Female", orders[[#This Row],[Customer Gender]]="O","Other", TRUE,"Unknown")</f>
        <v>Female</v>
      </c>
    </row>
    <row r="92" spans="1:15">
      <c r="A92" t="s">
        <v>157</v>
      </c>
      <c r="B92" t="s">
        <v>46</v>
      </c>
      <c r="C92">
        <v>5</v>
      </c>
      <c r="D92">
        <v>54.7</v>
      </c>
      <c r="E92">
        <v>273.5</v>
      </c>
      <c r="F92" s="1">
        <v>45661</v>
      </c>
      <c r="G92" s="1">
        <v>45664</v>
      </c>
      <c r="H92" t="s">
        <v>17</v>
      </c>
      <c r="I92" t="s">
        <v>18</v>
      </c>
      <c r="J92">
        <v>5</v>
      </c>
      <c r="K92" t="s">
        <v>19</v>
      </c>
      <c r="L92" t="s">
        <v>158</v>
      </c>
      <c r="M92">
        <f>orders[[#This Row],[Ship Date]]-orders[[#This Row],[Order Date]]</f>
        <v>3</v>
      </c>
      <c r="N92">
        <f>WEEKNUM(orders[[#This Row],[Order Date]])</f>
        <v>1</v>
      </c>
      <c r="O92" t="str">
        <f>_xlfn.IFS(orders[[#This Row],[Customer Gender]]="M","Male", orders[[#This Row],[Customer Gender]]="F","Female", orders[[#This Row],[Customer Gender]]="O","Other", TRUE,"Unknown")</f>
        <v>Unknown</v>
      </c>
    </row>
    <row r="93" spans="1:15">
      <c r="A93" t="s">
        <v>159</v>
      </c>
      <c r="B93" t="s">
        <v>26</v>
      </c>
      <c r="C93">
        <v>6</v>
      </c>
      <c r="D93">
        <v>130.5</v>
      </c>
      <c r="E93">
        <v>783</v>
      </c>
      <c r="F93" s="1">
        <v>45661</v>
      </c>
      <c r="G93" s="1">
        <v>45663</v>
      </c>
      <c r="H93" t="s">
        <v>27</v>
      </c>
      <c r="I93" t="s">
        <v>18</v>
      </c>
      <c r="J93">
        <v>3</v>
      </c>
      <c r="K93" t="s">
        <v>19</v>
      </c>
      <c r="L93" t="s">
        <v>158</v>
      </c>
      <c r="M93">
        <f>orders[[#This Row],[Ship Date]]-orders[[#This Row],[Order Date]]</f>
        <v>2</v>
      </c>
      <c r="N93">
        <f>WEEKNUM(orders[[#This Row],[Order Date]])</f>
        <v>1</v>
      </c>
      <c r="O93" t="str">
        <f>_xlfn.IFS(orders[[#This Row],[Customer Gender]]="M","Male", orders[[#This Row],[Customer Gender]]="F","Female", orders[[#This Row],[Customer Gender]]="O","Other", TRUE,"Unknown")</f>
        <v>Female</v>
      </c>
    </row>
    <row r="94" spans="1:15">
      <c r="A94" t="s">
        <v>160</v>
      </c>
      <c r="B94" t="s">
        <v>67</v>
      </c>
      <c r="C94">
        <v>2</v>
      </c>
      <c r="D94">
        <v>50.4</v>
      </c>
      <c r="E94">
        <v>100.8</v>
      </c>
      <c r="F94" s="1">
        <v>45661</v>
      </c>
      <c r="G94" s="1">
        <v>45663</v>
      </c>
      <c r="H94" t="s">
        <v>23</v>
      </c>
      <c r="I94" t="s">
        <v>40</v>
      </c>
      <c r="J94">
        <v>5</v>
      </c>
      <c r="K94" t="s">
        <v>19</v>
      </c>
      <c r="L94" t="s">
        <v>55</v>
      </c>
      <c r="M94">
        <f>orders[[#This Row],[Ship Date]]-orders[[#This Row],[Order Date]]</f>
        <v>2</v>
      </c>
      <c r="N94">
        <f>WEEKNUM(orders[[#This Row],[Order Date]])</f>
        <v>1</v>
      </c>
      <c r="O94" t="str">
        <f>_xlfn.IFS(orders[[#This Row],[Customer Gender]]="M","Male", orders[[#This Row],[Customer Gender]]="F","Female", orders[[#This Row],[Customer Gender]]="O","Other", TRUE,"Unknown")</f>
        <v>Male</v>
      </c>
    </row>
    <row r="95" spans="1:15">
      <c r="A95" t="s">
        <v>161</v>
      </c>
      <c r="B95" t="s">
        <v>39</v>
      </c>
      <c r="C95">
        <v>13</v>
      </c>
      <c r="D95">
        <v>61.5</v>
      </c>
      <c r="E95">
        <v>799.5</v>
      </c>
      <c r="F95" s="1">
        <v>45661</v>
      </c>
      <c r="G95" s="1">
        <v>45662</v>
      </c>
      <c r="H95" t="s">
        <v>17</v>
      </c>
      <c r="I95" t="s">
        <v>51</v>
      </c>
      <c r="J95">
        <v>3</v>
      </c>
      <c r="K95" t="s">
        <v>19</v>
      </c>
      <c r="L95" t="s">
        <v>77</v>
      </c>
      <c r="M95">
        <f>orders[[#This Row],[Ship Date]]-orders[[#This Row],[Order Date]]</f>
        <v>1</v>
      </c>
      <c r="N95">
        <f>WEEKNUM(orders[[#This Row],[Order Date]])</f>
        <v>1</v>
      </c>
      <c r="O95" t="str">
        <f>_xlfn.IFS(orders[[#This Row],[Customer Gender]]="M","Male", orders[[#This Row],[Customer Gender]]="F","Female", orders[[#This Row],[Customer Gender]]="O","Other", TRUE,"Unknown")</f>
        <v>Unknown</v>
      </c>
    </row>
    <row r="96" spans="1:15">
      <c r="A96" t="s">
        <v>162</v>
      </c>
      <c r="B96" t="s">
        <v>46</v>
      </c>
      <c r="C96">
        <v>4</v>
      </c>
      <c r="D96">
        <v>30.1</v>
      </c>
      <c r="E96">
        <v>120.4</v>
      </c>
      <c r="F96" s="1">
        <v>45661</v>
      </c>
      <c r="G96" s="1">
        <v>45662</v>
      </c>
      <c r="H96" t="s">
        <v>27</v>
      </c>
      <c r="I96" t="s">
        <v>18</v>
      </c>
      <c r="J96">
        <v>5</v>
      </c>
      <c r="K96" t="s">
        <v>19</v>
      </c>
      <c r="L96" t="s">
        <v>115</v>
      </c>
      <c r="M96">
        <f>orders[[#This Row],[Ship Date]]-orders[[#This Row],[Order Date]]</f>
        <v>1</v>
      </c>
      <c r="N96">
        <f>WEEKNUM(orders[[#This Row],[Order Date]])</f>
        <v>1</v>
      </c>
      <c r="O96" t="str">
        <f>_xlfn.IFS(orders[[#This Row],[Customer Gender]]="M","Male", orders[[#This Row],[Customer Gender]]="F","Female", orders[[#This Row],[Customer Gender]]="O","Other", TRUE,"Unknown")</f>
        <v>Female</v>
      </c>
    </row>
    <row r="97" spans="1:15">
      <c r="A97" t="s">
        <v>163</v>
      </c>
      <c r="B97" t="s">
        <v>26</v>
      </c>
      <c r="C97">
        <v>5</v>
      </c>
      <c r="D97">
        <v>74.8</v>
      </c>
      <c r="E97">
        <v>374</v>
      </c>
      <c r="F97" s="1">
        <v>45661</v>
      </c>
      <c r="G97" s="1">
        <v>45662</v>
      </c>
      <c r="H97" t="s">
        <v>27</v>
      </c>
      <c r="I97" t="s">
        <v>35</v>
      </c>
      <c r="J97">
        <v>4</v>
      </c>
      <c r="K97" t="s">
        <v>19</v>
      </c>
      <c r="L97" t="s">
        <v>24</v>
      </c>
      <c r="M97">
        <f>orders[[#This Row],[Ship Date]]-orders[[#This Row],[Order Date]]</f>
        <v>1</v>
      </c>
      <c r="N97">
        <f>WEEKNUM(orders[[#This Row],[Order Date]])</f>
        <v>1</v>
      </c>
      <c r="O97" t="str">
        <f>_xlfn.IFS(orders[[#This Row],[Customer Gender]]="M","Male", orders[[#This Row],[Customer Gender]]="F","Female", orders[[#This Row],[Customer Gender]]="O","Other", TRUE,"Unknown")</f>
        <v>Female</v>
      </c>
    </row>
    <row r="98" spans="1:15">
      <c r="A98" t="s">
        <v>164</v>
      </c>
      <c r="B98" t="s">
        <v>128</v>
      </c>
      <c r="C98">
        <v>3</v>
      </c>
      <c r="D98">
        <v>64.900000000000006</v>
      </c>
      <c r="E98">
        <v>194.70000000000002</v>
      </c>
      <c r="F98" s="1">
        <v>45661</v>
      </c>
      <c r="G98" s="1">
        <v>45668</v>
      </c>
      <c r="H98" t="s">
        <v>23</v>
      </c>
      <c r="I98" t="s">
        <v>18</v>
      </c>
      <c r="J98">
        <v>4</v>
      </c>
      <c r="K98" t="s">
        <v>19</v>
      </c>
      <c r="L98" t="s">
        <v>28</v>
      </c>
      <c r="M98">
        <f>orders[[#This Row],[Ship Date]]-orders[[#This Row],[Order Date]]</f>
        <v>7</v>
      </c>
      <c r="N98">
        <f>WEEKNUM(orders[[#This Row],[Order Date]])</f>
        <v>1</v>
      </c>
      <c r="O98" t="str">
        <f>_xlfn.IFS(orders[[#This Row],[Customer Gender]]="M","Male", orders[[#This Row],[Customer Gender]]="F","Female", orders[[#This Row],[Customer Gender]]="O","Other", TRUE,"Unknown")</f>
        <v>Male</v>
      </c>
    </row>
    <row r="99" spans="1:15">
      <c r="A99" t="s">
        <v>165</v>
      </c>
      <c r="B99" t="s">
        <v>46</v>
      </c>
      <c r="C99">
        <v>2</v>
      </c>
      <c r="D99">
        <v>50.5</v>
      </c>
      <c r="E99">
        <v>101</v>
      </c>
      <c r="F99" s="1">
        <v>45661</v>
      </c>
      <c r="G99" s="1">
        <v>45663</v>
      </c>
      <c r="H99" t="s">
        <v>23</v>
      </c>
      <c r="I99" t="s">
        <v>35</v>
      </c>
      <c r="J99">
        <v>4</v>
      </c>
      <c r="K99" t="s">
        <v>19</v>
      </c>
      <c r="L99" t="s">
        <v>147</v>
      </c>
      <c r="M99">
        <f>orders[[#This Row],[Ship Date]]-orders[[#This Row],[Order Date]]</f>
        <v>2</v>
      </c>
      <c r="N99">
        <f>WEEKNUM(orders[[#This Row],[Order Date]])</f>
        <v>1</v>
      </c>
      <c r="O99" t="str">
        <f>_xlfn.IFS(orders[[#This Row],[Customer Gender]]="M","Male", orders[[#This Row],[Customer Gender]]="F","Female", orders[[#This Row],[Customer Gender]]="O","Other", TRUE,"Unknown")</f>
        <v>Male</v>
      </c>
    </row>
    <row r="100" spans="1:15">
      <c r="A100" t="s">
        <v>166</v>
      </c>
      <c r="B100" t="s">
        <v>67</v>
      </c>
      <c r="C100">
        <v>7</v>
      </c>
      <c r="D100">
        <v>63</v>
      </c>
      <c r="E100">
        <v>441</v>
      </c>
      <c r="F100" s="1">
        <v>45661</v>
      </c>
      <c r="G100" s="1">
        <v>45664</v>
      </c>
      <c r="H100" t="s">
        <v>23</v>
      </c>
      <c r="I100" t="s">
        <v>51</v>
      </c>
      <c r="J100">
        <v>5</v>
      </c>
      <c r="K100" t="s">
        <v>19</v>
      </c>
      <c r="L100" t="s">
        <v>33</v>
      </c>
      <c r="M100">
        <f>orders[[#This Row],[Ship Date]]-orders[[#This Row],[Order Date]]</f>
        <v>3</v>
      </c>
      <c r="N100">
        <f>WEEKNUM(orders[[#This Row],[Order Date]])</f>
        <v>1</v>
      </c>
      <c r="O100" t="str">
        <f>_xlfn.IFS(orders[[#This Row],[Customer Gender]]="M","Male", orders[[#This Row],[Customer Gender]]="F","Female", orders[[#This Row],[Customer Gender]]="O","Other", TRUE,"Unknown")</f>
        <v>Male</v>
      </c>
    </row>
    <row r="101" spans="1:15">
      <c r="A101" t="s">
        <v>167</v>
      </c>
      <c r="B101" t="s">
        <v>26</v>
      </c>
      <c r="C101">
        <v>3</v>
      </c>
      <c r="D101">
        <v>93.6</v>
      </c>
      <c r="E101">
        <v>280.79999999999995</v>
      </c>
      <c r="F101" s="1">
        <v>45661</v>
      </c>
      <c r="G101" s="1">
        <v>45674</v>
      </c>
      <c r="H101" t="s">
        <v>27</v>
      </c>
      <c r="I101" t="s">
        <v>18</v>
      </c>
      <c r="J101">
        <v>5</v>
      </c>
      <c r="K101" t="s">
        <v>19</v>
      </c>
      <c r="L101" t="s">
        <v>33</v>
      </c>
      <c r="M101">
        <f>orders[[#This Row],[Ship Date]]-orders[[#This Row],[Order Date]]</f>
        <v>13</v>
      </c>
      <c r="N101">
        <f>WEEKNUM(orders[[#This Row],[Order Date]])</f>
        <v>1</v>
      </c>
      <c r="O101" t="str">
        <f>_xlfn.IFS(orders[[#This Row],[Customer Gender]]="M","Male", orders[[#This Row],[Customer Gender]]="F","Female", orders[[#This Row],[Customer Gender]]="O","Other", TRUE,"Unknown")</f>
        <v>Female</v>
      </c>
    </row>
    <row r="102" spans="1:15">
      <c r="A102" t="s">
        <v>168</v>
      </c>
      <c r="B102" t="s">
        <v>37</v>
      </c>
      <c r="C102">
        <v>30</v>
      </c>
      <c r="D102">
        <v>41.4</v>
      </c>
      <c r="E102">
        <v>1242</v>
      </c>
      <c r="F102" s="1">
        <v>45661</v>
      </c>
      <c r="G102" s="1">
        <v>45665</v>
      </c>
      <c r="H102" t="s">
        <v>23</v>
      </c>
      <c r="I102" t="s">
        <v>40</v>
      </c>
      <c r="J102">
        <v>5</v>
      </c>
      <c r="K102" t="s">
        <v>19</v>
      </c>
      <c r="L102" t="s">
        <v>33</v>
      </c>
      <c r="M102">
        <f>orders[[#This Row],[Ship Date]]-orders[[#This Row],[Order Date]]</f>
        <v>4</v>
      </c>
      <c r="N102">
        <f>WEEKNUM(orders[[#This Row],[Order Date]])</f>
        <v>1</v>
      </c>
      <c r="O102" t="str">
        <f>_xlfn.IFS(orders[[#This Row],[Customer Gender]]="M","Male", orders[[#This Row],[Customer Gender]]="F","Female", orders[[#This Row],[Customer Gender]]="O","Other", TRUE,"Unknown")</f>
        <v>Male</v>
      </c>
    </row>
    <row r="103" spans="1:15">
      <c r="A103" t="s">
        <v>169</v>
      </c>
      <c r="B103" t="s">
        <v>26</v>
      </c>
      <c r="C103">
        <v>2</v>
      </c>
      <c r="D103">
        <v>160</v>
      </c>
      <c r="E103">
        <v>320</v>
      </c>
      <c r="F103" s="1">
        <v>45662</v>
      </c>
      <c r="G103" s="1">
        <v>45663</v>
      </c>
      <c r="H103" t="s">
        <v>23</v>
      </c>
      <c r="I103" t="s">
        <v>40</v>
      </c>
      <c r="J103">
        <v>5</v>
      </c>
      <c r="K103" t="s">
        <v>19</v>
      </c>
      <c r="L103" t="s">
        <v>52</v>
      </c>
      <c r="M103">
        <f>orders[[#This Row],[Ship Date]]-orders[[#This Row],[Order Date]]</f>
        <v>1</v>
      </c>
      <c r="N103">
        <f>WEEKNUM(orders[[#This Row],[Order Date]])</f>
        <v>2</v>
      </c>
      <c r="O103" t="str">
        <f>_xlfn.IFS(orders[[#This Row],[Customer Gender]]="M","Male", orders[[#This Row],[Customer Gender]]="F","Female", orders[[#This Row],[Customer Gender]]="O","Other", TRUE,"Unknown")</f>
        <v>Male</v>
      </c>
    </row>
    <row r="104" spans="1:15">
      <c r="A104" t="s">
        <v>170</v>
      </c>
      <c r="B104" t="s">
        <v>171</v>
      </c>
      <c r="C104">
        <v>11</v>
      </c>
      <c r="D104">
        <v>10.5</v>
      </c>
      <c r="E104">
        <v>115.5</v>
      </c>
      <c r="F104" s="1">
        <v>45662</v>
      </c>
      <c r="G104" s="1">
        <v>45665</v>
      </c>
      <c r="H104" t="s">
        <v>27</v>
      </c>
      <c r="I104" t="s">
        <v>70</v>
      </c>
      <c r="J104">
        <v>4</v>
      </c>
      <c r="K104" t="s">
        <v>19</v>
      </c>
      <c r="L104" t="s">
        <v>62</v>
      </c>
      <c r="M104">
        <f>orders[[#This Row],[Ship Date]]-orders[[#This Row],[Order Date]]</f>
        <v>3</v>
      </c>
      <c r="N104">
        <f>WEEKNUM(orders[[#This Row],[Order Date]])</f>
        <v>2</v>
      </c>
      <c r="O104" t="str">
        <f>_xlfn.IFS(orders[[#This Row],[Customer Gender]]="M","Male", orders[[#This Row],[Customer Gender]]="F","Female", orders[[#This Row],[Customer Gender]]="O","Other", TRUE,"Unknown")</f>
        <v>Female</v>
      </c>
    </row>
    <row r="105" spans="1:15">
      <c r="A105" t="s">
        <v>172</v>
      </c>
      <c r="B105" t="s">
        <v>54</v>
      </c>
      <c r="C105">
        <v>2</v>
      </c>
      <c r="D105">
        <v>53</v>
      </c>
      <c r="E105">
        <v>106</v>
      </c>
      <c r="F105" s="1">
        <v>45662</v>
      </c>
      <c r="G105" s="1">
        <v>45662</v>
      </c>
      <c r="H105" t="s">
        <v>23</v>
      </c>
      <c r="I105" t="s">
        <v>40</v>
      </c>
      <c r="J105">
        <v>2</v>
      </c>
      <c r="K105" t="s">
        <v>19</v>
      </c>
      <c r="L105" t="s">
        <v>103</v>
      </c>
      <c r="M105">
        <f>orders[[#This Row],[Ship Date]]-orders[[#This Row],[Order Date]]</f>
        <v>0</v>
      </c>
      <c r="N105">
        <f>WEEKNUM(orders[[#This Row],[Order Date]])</f>
        <v>2</v>
      </c>
      <c r="O105" t="str">
        <f>_xlfn.IFS(orders[[#This Row],[Customer Gender]]="M","Male", orders[[#This Row],[Customer Gender]]="F","Female", orders[[#This Row],[Customer Gender]]="O","Other", TRUE,"Unknown")</f>
        <v>Male</v>
      </c>
    </row>
    <row r="106" spans="1:15">
      <c r="A106" t="s">
        <v>173</v>
      </c>
      <c r="B106" t="s">
        <v>44</v>
      </c>
      <c r="C106">
        <v>3</v>
      </c>
      <c r="D106">
        <v>18.5</v>
      </c>
      <c r="E106">
        <v>55.5</v>
      </c>
      <c r="F106" s="1">
        <v>45662</v>
      </c>
      <c r="G106" s="1">
        <v>45667</v>
      </c>
      <c r="H106" t="s">
        <v>27</v>
      </c>
      <c r="I106" t="s">
        <v>35</v>
      </c>
      <c r="J106">
        <v>5</v>
      </c>
      <c r="K106" t="s">
        <v>19</v>
      </c>
      <c r="L106" t="s">
        <v>77</v>
      </c>
      <c r="M106">
        <f>orders[[#This Row],[Ship Date]]-orders[[#This Row],[Order Date]]</f>
        <v>5</v>
      </c>
      <c r="N106">
        <f>WEEKNUM(orders[[#This Row],[Order Date]])</f>
        <v>2</v>
      </c>
      <c r="O106" t="str">
        <f>_xlfn.IFS(orders[[#This Row],[Customer Gender]]="M","Male", orders[[#This Row],[Customer Gender]]="F","Female", orders[[#This Row],[Customer Gender]]="O","Other", TRUE,"Unknown")</f>
        <v>Female</v>
      </c>
    </row>
    <row r="107" spans="1:15">
      <c r="A107" t="s">
        <v>174</v>
      </c>
      <c r="B107" t="s">
        <v>128</v>
      </c>
      <c r="C107">
        <v>3</v>
      </c>
      <c r="D107">
        <v>84.5</v>
      </c>
      <c r="E107">
        <v>253.5</v>
      </c>
      <c r="F107" s="1">
        <v>45662</v>
      </c>
      <c r="G107" s="1">
        <v>45664</v>
      </c>
      <c r="H107" t="s">
        <v>27</v>
      </c>
      <c r="I107" t="s">
        <v>70</v>
      </c>
      <c r="J107">
        <v>3</v>
      </c>
      <c r="K107" t="s">
        <v>19</v>
      </c>
      <c r="L107" t="s">
        <v>82</v>
      </c>
      <c r="M107">
        <f>orders[[#This Row],[Ship Date]]-orders[[#This Row],[Order Date]]</f>
        <v>2</v>
      </c>
      <c r="N107">
        <f>WEEKNUM(orders[[#This Row],[Order Date]])</f>
        <v>2</v>
      </c>
      <c r="O107" t="str">
        <f>_xlfn.IFS(orders[[#This Row],[Customer Gender]]="M","Male", orders[[#This Row],[Customer Gender]]="F","Female", orders[[#This Row],[Customer Gender]]="O","Other", TRUE,"Unknown")</f>
        <v>Female</v>
      </c>
    </row>
    <row r="108" spans="1:15">
      <c r="A108" t="s">
        <v>175</v>
      </c>
      <c r="B108" t="s">
        <v>123</v>
      </c>
      <c r="C108">
        <v>7</v>
      </c>
      <c r="D108">
        <v>31.2</v>
      </c>
      <c r="E108">
        <v>218.4</v>
      </c>
      <c r="F108" s="1">
        <v>45662</v>
      </c>
      <c r="G108" s="1">
        <v>45662</v>
      </c>
      <c r="H108" t="s">
        <v>27</v>
      </c>
      <c r="I108" t="s">
        <v>40</v>
      </c>
      <c r="J108">
        <v>5</v>
      </c>
      <c r="K108" t="s">
        <v>19</v>
      </c>
      <c r="L108" t="s">
        <v>33</v>
      </c>
      <c r="M108">
        <f>orders[[#This Row],[Ship Date]]-orders[[#This Row],[Order Date]]</f>
        <v>0</v>
      </c>
      <c r="N108">
        <f>WEEKNUM(orders[[#This Row],[Order Date]])</f>
        <v>2</v>
      </c>
      <c r="O108" t="str">
        <f>_xlfn.IFS(orders[[#This Row],[Customer Gender]]="M","Male", orders[[#This Row],[Customer Gender]]="F","Female", orders[[#This Row],[Customer Gender]]="O","Other", TRUE,"Unknown")</f>
        <v>Female</v>
      </c>
    </row>
    <row r="109" spans="1:15">
      <c r="A109" t="s">
        <v>176</v>
      </c>
      <c r="B109" t="s">
        <v>44</v>
      </c>
      <c r="C109">
        <v>18</v>
      </c>
      <c r="D109">
        <v>32.6</v>
      </c>
      <c r="E109">
        <v>586.80000000000007</v>
      </c>
      <c r="F109" s="1">
        <v>45662</v>
      </c>
      <c r="G109" s="1">
        <v>45663</v>
      </c>
      <c r="H109" t="s">
        <v>23</v>
      </c>
      <c r="I109" t="s">
        <v>35</v>
      </c>
      <c r="J109">
        <v>3</v>
      </c>
      <c r="K109" t="s">
        <v>19</v>
      </c>
      <c r="L109" t="s">
        <v>33</v>
      </c>
      <c r="M109">
        <f>orders[[#This Row],[Ship Date]]-orders[[#This Row],[Order Date]]</f>
        <v>1</v>
      </c>
      <c r="N109">
        <f>WEEKNUM(orders[[#This Row],[Order Date]])</f>
        <v>2</v>
      </c>
      <c r="O109" t="str">
        <f>_xlfn.IFS(orders[[#This Row],[Customer Gender]]="M","Male", orders[[#This Row],[Customer Gender]]="F","Female", orders[[#This Row],[Customer Gender]]="O","Other", TRUE,"Unknown")</f>
        <v>Male</v>
      </c>
    </row>
    <row r="110" spans="1:15">
      <c r="A110" t="s">
        <v>177</v>
      </c>
      <c r="B110" t="s">
        <v>54</v>
      </c>
      <c r="C110">
        <v>4</v>
      </c>
      <c r="D110">
        <v>45.4</v>
      </c>
      <c r="E110">
        <v>181.6</v>
      </c>
      <c r="F110" s="1">
        <v>45662</v>
      </c>
      <c r="G110" s="1">
        <v>45664</v>
      </c>
      <c r="H110" t="s">
        <v>23</v>
      </c>
      <c r="I110" t="s">
        <v>35</v>
      </c>
      <c r="J110">
        <v>4</v>
      </c>
      <c r="K110" t="s">
        <v>19</v>
      </c>
      <c r="L110" t="s">
        <v>33</v>
      </c>
      <c r="M110">
        <f>orders[[#This Row],[Ship Date]]-orders[[#This Row],[Order Date]]</f>
        <v>2</v>
      </c>
      <c r="N110">
        <f>WEEKNUM(orders[[#This Row],[Order Date]])</f>
        <v>2</v>
      </c>
      <c r="O110" t="str">
        <f>_xlfn.IFS(orders[[#This Row],[Customer Gender]]="M","Male", orders[[#This Row],[Customer Gender]]="F","Female", orders[[#This Row],[Customer Gender]]="O","Other", TRUE,"Unknown")</f>
        <v>Male</v>
      </c>
    </row>
    <row r="111" spans="1:15">
      <c r="A111" t="s">
        <v>178</v>
      </c>
      <c r="B111" t="s">
        <v>26</v>
      </c>
      <c r="C111">
        <v>12</v>
      </c>
      <c r="D111">
        <v>120</v>
      </c>
      <c r="E111">
        <v>1440</v>
      </c>
      <c r="F111" s="1">
        <v>45662</v>
      </c>
      <c r="G111" s="1">
        <v>45663</v>
      </c>
      <c r="H111" t="s">
        <v>27</v>
      </c>
      <c r="I111" t="s">
        <v>40</v>
      </c>
      <c r="J111">
        <v>2</v>
      </c>
      <c r="K111" t="s">
        <v>19</v>
      </c>
      <c r="L111" t="s">
        <v>33</v>
      </c>
      <c r="M111">
        <f>orders[[#This Row],[Ship Date]]-orders[[#This Row],[Order Date]]</f>
        <v>1</v>
      </c>
      <c r="N111">
        <f>WEEKNUM(orders[[#This Row],[Order Date]])</f>
        <v>2</v>
      </c>
      <c r="O111" t="str">
        <f>_xlfn.IFS(orders[[#This Row],[Customer Gender]]="M","Male", orders[[#This Row],[Customer Gender]]="F","Female", orders[[#This Row],[Customer Gender]]="O","Other", TRUE,"Unknown")</f>
        <v>Female</v>
      </c>
    </row>
    <row r="112" spans="1:15">
      <c r="A112" t="s">
        <v>179</v>
      </c>
      <c r="B112" t="s">
        <v>16</v>
      </c>
      <c r="C112">
        <v>4</v>
      </c>
      <c r="D112">
        <v>18.899999999999999</v>
      </c>
      <c r="E112">
        <v>75.599999999999994</v>
      </c>
      <c r="F112" s="1">
        <v>45662</v>
      </c>
      <c r="G112" s="1">
        <v>45664</v>
      </c>
      <c r="H112" t="s">
        <v>23</v>
      </c>
      <c r="I112" t="s">
        <v>18</v>
      </c>
      <c r="J112">
        <v>5</v>
      </c>
      <c r="K112" t="s">
        <v>19</v>
      </c>
      <c r="L112" t="s">
        <v>33</v>
      </c>
      <c r="M112">
        <f>orders[[#This Row],[Ship Date]]-orders[[#This Row],[Order Date]]</f>
        <v>2</v>
      </c>
      <c r="N112">
        <f>WEEKNUM(orders[[#This Row],[Order Date]])</f>
        <v>2</v>
      </c>
      <c r="O112" t="str">
        <f>_xlfn.IFS(orders[[#This Row],[Customer Gender]]="M","Male", orders[[#This Row],[Customer Gender]]="F","Female", orders[[#This Row],[Customer Gender]]="O","Other", TRUE,"Unknown")</f>
        <v>Male</v>
      </c>
    </row>
    <row r="113" spans="1:15">
      <c r="A113" t="s">
        <v>180</v>
      </c>
      <c r="B113" t="s">
        <v>32</v>
      </c>
      <c r="C113">
        <v>1</v>
      </c>
      <c r="D113">
        <v>32</v>
      </c>
      <c r="E113">
        <v>32</v>
      </c>
      <c r="F113" s="1">
        <v>45662</v>
      </c>
      <c r="G113" s="1">
        <v>45664</v>
      </c>
      <c r="H113" t="s">
        <v>27</v>
      </c>
      <c r="I113" t="s">
        <v>70</v>
      </c>
      <c r="J113">
        <v>4</v>
      </c>
      <c r="K113" t="s">
        <v>19</v>
      </c>
      <c r="L113" t="s">
        <v>33</v>
      </c>
      <c r="M113">
        <f>orders[[#This Row],[Ship Date]]-orders[[#This Row],[Order Date]]</f>
        <v>2</v>
      </c>
      <c r="N113">
        <f>WEEKNUM(orders[[#This Row],[Order Date]])</f>
        <v>2</v>
      </c>
      <c r="O113" t="str">
        <f>_xlfn.IFS(orders[[#This Row],[Customer Gender]]="M","Male", orders[[#This Row],[Customer Gender]]="F","Female", orders[[#This Row],[Customer Gender]]="O","Other", TRUE,"Unknown")</f>
        <v>Female</v>
      </c>
    </row>
    <row r="114" spans="1:15">
      <c r="A114" t="s">
        <v>181</v>
      </c>
      <c r="B114" t="s">
        <v>42</v>
      </c>
      <c r="C114">
        <v>2</v>
      </c>
      <c r="D114">
        <v>37.299999999999997</v>
      </c>
      <c r="E114">
        <v>74.599999999999994</v>
      </c>
      <c r="F114" s="1">
        <v>45662</v>
      </c>
      <c r="G114" s="1">
        <v>45663</v>
      </c>
      <c r="H114" t="s">
        <v>23</v>
      </c>
      <c r="I114" t="s">
        <v>40</v>
      </c>
      <c r="J114">
        <v>4</v>
      </c>
      <c r="K114" t="s">
        <v>19</v>
      </c>
      <c r="L114" t="s">
        <v>33</v>
      </c>
      <c r="M114">
        <f>orders[[#This Row],[Ship Date]]-orders[[#This Row],[Order Date]]</f>
        <v>1</v>
      </c>
      <c r="N114">
        <f>WEEKNUM(orders[[#This Row],[Order Date]])</f>
        <v>2</v>
      </c>
      <c r="O114" t="str">
        <f>_xlfn.IFS(orders[[#This Row],[Customer Gender]]="M","Male", orders[[#This Row],[Customer Gender]]="F","Female", orders[[#This Row],[Customer Gender]]="O","Other", TRUE,"Unknown")</f>
        <v>Male</v>
      </c>
    </row>
    <row r="115" spans="1:15">
      <c r="A115" t="s">
        <v>182</v>
      </c>
      <c r="B115" t="s">
        <v>146</v>
      </c>
      <c r="C115">
        <v>1</v>
      </c>
      <c r="D115">
        <v>119.8</v>
      </c>
      <c r="E115">
        <v>119.8</v>
      </c>
      <c r="F115" s="1">
        <v>45662</v>
      </c>
      <c r="G115" s="1">
        <v>45663</v>
      </c>
      <c r="H115" t="s">
        <v>23</v>
      </c>
      <c r="I115" t="s">
        <v>35</v>
      </c>
      <c r="J115">
        <v>3</v>
      </c>
      <c r="K115" t="s">
        <v>19</v>
      </c>
      <c r="L115" t="s">
        <v>33</v>
      </c>
      <c r="M115">
        <f>orders[[#This Row],[Ship Date]]-orders[[#This Row],[Order Date]]</f>
        <v>1</v>
      </c>
      <c r="N115">
        <f>WEEKNUM(orders[[#This Row],[Order Date]])</f>
        <v>2</v>
      </c>
      <c r="O115" t="str">
        <f>_xlfn.IFS(orders[[#This Row],[Customer Gender]]="M","Male", orders[[#This Row],[Customer Gender]]="F","Female", orders[[#This Row],[Customer Gender]]="O","Other", TRUE,"Unknown")</f>
        <v>Male</v>
      </c>
    </row>
    <row r="116" spans="1:15">
      <c r="A116" t="s">
        <v>183</v>
      </c>
      <c r="B116" t="s">
        <v>54</v>
      </c>
      <c r="C116">
        <v>2</v>
      </c>
      <c r="D116">
        <v>26.4</v>
      </c>
      <c r="E116">
        <v>52.8</v>
      </c>
      <c r="F116" s="1">
        <v>45662</v>
      </c>
      <c r="G116" s="1">
        <v>45665</v>
      </c>
      <c r="H116" t="s">
        <v>23</v>
      </c>
      <c r="I116" t="s">
        <v>40</v>
      </c>
      <c r="J116">
        <v>4</v>
      </c>
      <c r="K116" t="s">
        <v>19</v>
      </c>
      <c r="L116" t="s">
        <v>33</v>
      </c>
      <c r="M116">
        <f>orders[[#This Row],[Ship Date]]-orders[[#This Row],[Order Date]]</f>
        <v>3</v>
      </c>
      <c r="N116">
        <f>WEEKNUM(orders[[#This Row],[Order Date]])</f>
        <v>2</v>
      </c>
      <c r="O116" t="str">
        <f>_xlfn.IFS(orders[[#This Row],[Customer Gender]]="M","Male", orders[[#This Row],[Customer Gender]]="F","Female", orders[[#This Row],[Customer Gender]]="O","Other", TRUE,"Unknown")</f>
        <v>Male</v>
      </c>
    </row>
    <row r="117" spans="1:15">
      <c r="A117" t="s">
        <v>184</v>
      </c>
      <c r="B117" t="s">
        <v>39</v>
      </c>
      <c r="C117">
        <v>6</v>
      </c>
      <c r="D117">
        <v>76.5</v>
      </c>
      <c r="E117">
        <v>459</v>
      </c>
      <c r="F117" s="1">
        <v>45662</v>
      </c>
      <c r="G117" s="1">
        <v>45663</v>
      </c>
      <c r="H117" t="s">
        <v>27</v>
      </c>
      <c r="I117" t="s">
        <v>35</v>
      </c>
      <c r="J117">
        <v>3</v>
      </c>
      <c r="K117" t="s">
        <v>19</v>
      </c>
      <c r="L117" t="s">
        <v>33</v>
      </c>
      <c r="M117">
        <f>orders[[#This Row],[Ship Date]]-orders[[#This Row],[Order Date]]</f>
        <v>1</v>
      </c>
      <c r="N117">
        <f>WEEKNUM(orders[[#This Row],[Order Date]])</f>
        <v>2</v>
      </c>
      <c r="O117" t="str">
        <f>_xlfn.IFS(orders[[#This Row],[Customer Gender]]="M","Male", orders[[#This Row],[Customer Gender]]="F","Female", orders[[#This Row],[Customer Gender]]="O","Other", TRUE,"Unknown")</f>
        <v>Female</v>
      </c>
    </row>
    <row r="118" spans="1:15">
      <c r="A118" t="s">
        <v>185</v>
      </c>
      <c r="B118" t="s">
        <v>32</v>
      </c>
      <c r="C118">
        <v>10</v>
      </c>
      <c r="D118">
        <v>45.7</v>
      </c>
      <c r="E118">
        <v>457</v>
      </c>
      <c r="F118" s="1">
        <v>45662</v>
      </c>
      <c r="G118" s="1">
        <v>45663</v>
      </c>
      <c r="H118" t="s">
        <v>27</v>
      </c>
      <c r="I118" t="s">
        <v>40</v>
      </c>
      <c r="J118">
        <v>4</v>
      </c>
      <c r="K118" t="s">
        <v>19</v>
      </c>
      <c r="L118" t="s">
        <v>186</v>
      </c>
      <c r="M118">
        <f>orders[[#This Row],[Ship Date]]-orders[[#This Row],[Order Date]]</f>
        <v>1</v>
      </c>
      <c r="N118">
        <f>WEEKNUM(orders[[#This Row],[Order Date]])</f>
        <v>2</v>
      </c>
      <c r="O118" t="str">
        <f>_xlfn.IFS(orders[[#This Row],[Customer Gender]]="M","Male", orders[[#This Row],[Customer Gender]]="F","Female", orders[[#This Row],[Customer Gender]]="O","Other", TRUE,"Unknown")</f>
        <v>Female</v>
      </c>
    </row>
    <row r="119" spans="1:15">
      <c r="A119" t="s">
        <v>187</v>
      </c>
      <c r="B119" t="s">
        <v>22</v>
      </c>
      <c r="C119">
        <v>12</v>
      </c>
      <c r="D119">
        <v>92.6</v>
      </c>
      <c r="E119">
        <v>1111.1999999999998</v>
      </c>
      <c r="F119" s="1">
        <v>45662</v>
      </c>
      <c r="G119" s="1">
        <v>45664</v>
      </c>
      <c r="H119" t="s">
        <v>27</v>
      </c>
      <c r="I119" t="s">
        <v>40</v>
      </c>
      <c r="J119">
        <v>4</v>
      </c>
      <c r="K119" t="s">
        <v>19</v>
      </c>
      <c r="L119" t="s">
        <v>188</v>
      </c>
      <c r="M119">
        <f>orders[[#This Row],[Ship Date]]-orders[[#This Row],[Order Date]]</f>
        <v>2</v>
      </c>
      <c r="N119">
        <f>WEEKNUM(orders[[#This Row],[Order Date]])</f>
        <v>2</v>
      </c>
      <c r="O119" t="str">
        <f>_xlfn.IFS(orders[[#This Row],[Customer Gender]]="M","Male", orders[[#This Row],[Customer Gender]]="F","Female", orders[[#This Row],[Customer Gender]]="O","Other", TRUE,"Unknown")</f>
        <v>Female</v>
      </c>
    </row>
    <row r="120" spans="1:15">
      <c r="A120" t="s">
        <v>189</v>
      </c>
      <c r="B120" t="s">
        <v>39</v>
      </c>
      <c r="C120">
        <v>6</v>
      </c>
      <c r="D120">
        <v>60.1</v>
      </c>
      <c r="E120">
        <v>360.6</v>
      </c>
      <c r="F120" s="1">
        <v>45662</v>
      </c>
      <c r="G120" s="1">
        <v>45663</v>
      </c>
      <c r="H120" t="s">
        <v>23</v>
      </c>
      <c r="I120" t="s">
        <v>35</v>
      </c>
      <c r="J120">
        <v>4</v>
      </c>
      <c r="K120" t="s">
        <v>19</v>
      </c>
      <c r="L120" t="s">
        <v>158</v>
      </c>
      <c r="M120">
        <f>orders[[#This Row],[Ship Date]]-orders[[#This Row],[Order Date]]</f>
        <v>1</v>
      </c>
      <c r="N120">
        <f>WEEKNUM(orders[[#This Row],[Order Date]])</f>
        <v>2</v>
      </c>
      <c r="O120" t="str">
        <f>_xlfn.IFS(orders[[#This Row],[Customer Gender]]="M","Male", orders[[#This Row],[Customer Gender]]="F","Female", orders[[#This Row],[Customer Gender]]="O","Other", TRUE,"Unknown")</f>
        <v>Male</v>
      </c>
    </row>
    <row r="121" spans="1:15">
      <c r="A121" t="s">
        <v>190</v>
      </c>
      <c r="B121" t="s">
        <v>22</v>
      </c>
      <c r="C121">
        <v>3</v>
      </c>
      <c r="D121">
        <v>73</v>
      </c>
      <c r="E121">
        <v>219</v>
      </c>
      <c r="F121" s="1">
        <v>45662</v>
      </c>
      <c r="G121" s="1">
        <v>45663</v>
      </c>
      <c r="H121" t="s">
        <v>27</v>
      </c>
      <c r="I121" t="s">
        <v>51</v>
      </c>
      <c r="J121">
        <v>3</v>
      </c>
      <c r="K121" t="s">
        <v>19</v>
      </c>
      <c r="L121" t="s">
        <v>55</v>
      </c>
      <c r="M121">
        <f>orders[[#This Row],[Ship Date]]-orders[[#This Row],[Order Date]]</f>
        <v>1</v>
      </c>
      <c r="N121">
        <f>WEEKNUM(orders[[#This Row],[Order Date]])</f>
        <v>2</v>
      </c>
      <c r="O121" t="str">
        <f>_xlfn.IFS(orders[[#This Row],[Customer Gender]]="M","Male", orders[[#This Row],[Customer Gender]]="F","Female", orders[[#This Row],[Customer Gender]]="O","Other", TRUE,"Unknown")</f>
        <v>Female</v>
      </c>
    </row>
    <row r="122" spans="1:15">
      <c r="A122" t="s">
        <v>191</v>
      </c>
      <c r="B122" t="s">
        <v>39</v>
      </c>
      <c r="C122">
        <v>3</v>
      </c>
      <c r="D122">
        <v>44.3</v>
      </c>
      <c r="E122">
        <v>132.89999999999998</v>
      </c>
      <c r="F122" s="1">
        <v>45662</v>
      </c>
      <c r="G122" s="1">
        <v>45666</v>
      </c>
      <c r="H122" t="s">
        <v>17</v>
      </c>
      <c r="I122" t="s">
        <v>40</v>
      </c>
      <c r="J122">
        <v>5</v>
      </c>
      <c r="K122" t="s">
        <v>19</v>
      </c>
      <c r="L122" t="s">
        <v>55</v>
      </c>
      <c r="M122">
        <f>orders[[#This Row],[Ship Date]]-orders[[#This Row],[Order Date]]</f>
        <v>4</v>
      </c>
      <c r="N122">
        <f>WEEKNUM(orders[[#This Row],[Order Date]])</f>
        <v>2</v>
      </c>
      <c r="O122" t="str">
        <f>_xlfn.IFS(orders[[#This Row],[Customer Gender]]="M","Male", orders[[#This Row],[Customer Gender]]="F","Female", orders[[#This Row],[Customer Gender]]="O","Other", TRUE,"Unknown")</f>
        <v>Unknown</v>
      </c>
    </row>
    <row r="123" spans="1:15">
      <c r="A123" t="s">
        <v>192</v>
      </c>
      <c r="B123" t="s">
        <v>39</v>
      </c>
      <c r="C123">
        <v>3</v>
      </c>
      <c r="D123">
        <v>63.3</v>
      </c>
      <c r="E123">
        <v>189.89999999999998</v>
      </c>
      <c r="F123" s="1">
        <v>45662</v>
      </c>
      <c r="G123" s="1">
        <v>45663</v>
      </c>
      <c r="H123" t="s">
        <v>23</v>
      </c>
      <c r="I123" t="s">
        <v>40</v>
      </c>
      <c r="J123">
        <v>4</v>
      </c>
      <c r="K123" t="s">
        <v>19</v>
      </c>
      <c r="L123" t="s">
        <v>55</v>
      </c>
      <c r="M123">
        <f>orders[[#This Row],[Ship Date]]-orders[[#This Row],[Order Date]]</f>
        <v>1</v>
      </c>
      <c r="N123">
        <f>WEEKNUM(orders[[#This Row],[Order Date]])</f>
        <v>2</v>
      </c>
      <c r="O123" t="str">
        <f>_xlfn.IFS(orders[[#This Row],[Customer Gender]]="M","Male", orders[[#This Row],[Customer Gender]]="F","Female", orders[[#This Row],[Customer Gender]]="O","Other", TRUE,"Unknown")</f>
        <v>Male</v>
      </c>
    </row>
    <row r="124" spans="1:15">
      <c r="A124" t="s">
        <v>193</v>
      </c>
      <c r="B124" t="s">
        <v>69</v>
      </c>
      <c r="C124">
        <v>1</v>
      </c>
      <c r="D124">
        <v>66.8</v>
      </c>
      <c r="E124">
        <v>66.8</v>
      </c>
      <c r="F124" s="1">
        <v>45662</v>
      </c>
      <c r="G124" s="1">
        <v>45663</v>
      </c>
      <c r="H124" t="s">
        <v>27</v>
      </c>
      <c r="I124" t="s">
        <v>35</v>
      </c>
      <c r="J124">
        <v>4</v>
      </c>
      <c r="K124" t="s">
        <v>19</v>
      </c>
      <c r="L124" t="s">
        <v>55</v>
      </c>
      <c r="M124">
        <f>orders[[#This Row],[Ship Date]]-orders[[#This Row],[Order Date]]</f>
        <v>1</v>
      </c>
      <c r="N124">
        <f>WEEKNUM(orders[[#This Row],[Order Date]])</f>
        <v>2</v>
      </c>
      <c r="O124" t="str">
        <f>_xlfn.IFS(orders[[#This Row],[Customer Gender]]="M","Male", orders[[#This Row],[Customer Gender]]="F","Female", orders[[#This Row],[Customer Gender]]="O","Other", TRUE,"Unknown")</f>
        <v>Female</v>
      </c>
    </row>
    <row r="125" spans="1:15">
      <c r="A125" t="s">
        <v>194</v>
      </c>
      <c r="B125" t="s">
        <v>26</v>
      </c>
      <c r="C125">
        <v>2</v>
      </c>
      <c r="D125">
        <v>59.7</v>
      </c>
      <c r="E125">
        <v>119.4</v>
      </c>
      <c r="F125" s="1">
        <v>45662</v>
      </c>
      <c r="G125" s="1">
        <v>45663</v>
      </c>
      <c r="H125" t="s">
        <v>27</v>
      </c>
      <c r="I125" t="s">
        <v>18</v>
      </c>
      <c r="J125">
        <v>4</v>
      </c>
      <c r="K125" t="s">
        <v>19</v>
      </c>
      <c r="L125" t="s">
        <v>59</v>
      </c>
      <c r="M125">
        <f>orders[[#This Row],[Ship Date]]-orders[[#This Row],[Order Date]]</f>
        <v>1</v>
      </c>
      <c r="N125">
        <f>WEEKNUM(orders[[#This Row],[Order Date]])</f>
        <v>2</v>
      </c>
      <c r="O125" t="str">
        <f>_xlfn.IFS(orders[[#This Row],[Customer Gender]]="M","Male", orders[[#This Row],[Customer Gender]]="F","Female", orders[[#This Row],[Customer Gender]]="O","Other", TRUE,"Unknown")</f>
        <v>Female</v>
      </c>
    </row>
    <row r="126" spans="1:15">
      <c r="A126" t="s">
        <v>195</v>
      </c>
      <c r="B126" t="s">
        <v>22</v>
      </c>
      <c r="C126">
        <v>6</v>
      </c>
      <c r="D126">
        <v>92</v>
      </c>
      <c r="E126">
        <v>552</v>
      </c>
      <c r="F126" s="1">
        <v>45662</v>
      </c>
      <c r="G126" s="1">
        <v>45664</v>
      </c>
      <c r="H126" t="s">
        <v>23</v>
      </c>
      <c r="I126" t="s">
        <v>18</v>
      </c>
      <c r="J126">
        <v>2</v>
      </c>
      <c r="K126" t="s">
        <v>19</v>
      </c>
      <c r="L126" t="s">
        <v>59</v>
      </c>
      <c r="M126">
        <f>orders[[#This Row],[Ship Date]]-orders[[#This Row],[Order Date]]</f>
        <v>2</v>
      </c>
      <c r="N126">
        <f>WEEKNUM(orders[[#This Row],[Order Date]])</f>
        <v>2</v>
      </c>
      <c r="O126" t="str">
        <f>_xlfn.IFS(orders[[#This Row],[Customer Gender]]="M","Male", orders[[#This Row],[Customer Gender]]="F","Female", orders[[#This Row],[Customer Gender]]="O","Other", TRUE,"Unknown")</f>
        <v>Male</v>
      </c>
    </row>
    <row r="127" spans="1:15">
      <c r="A127" t="s">
        <v>196</v>
      </c>
      <c r="B127" t="s">
        <v>42</v>
      </c>
      <c r="C127">
        <v>2</v>
      </c>
      <c r="D127">
        <v>87.6</v>
      </c>
      <c r="E127">
        <v>175.2</v>
      </c>
      <c r="F127" s="1">
        <v>45662</v>
      </c>
      <c r="G127" s="1">
        <v>45664</v>
      </c>
      <c r="H127" t="s">
        <v>23</v>
      </c>
      <c r="I127" t="s">
        <v>35</v>
      </c>
      <c r="J127">
        <v>3</v>
      </c>
      <c r="K127" t="s">
        <v>19</v>
      </c>
      <c r="L127" t="s">
        <v>62</v>
      </c>
      <c r="M127">
        <f>orders[[#This Row],[Ship Date]]-orders[[#This Row],[Order Date]]</f>
        <v>2</v>
      </c>
      <c r="N127">
        <f>WEEKNUM(orders[[#This Row],[Order Date]])</f>
        <v>2</v>
      </c>
      <c r="O127" t="str">
        <f>_xlfn.IFS(orders[[#This Row],[Customer Gender]]="M","Male", orders[[#This Row],[Customer Gender]]="F","Female", orders[[#This Row],[Customer Gender]]="O","Other", TRUE,"Unknown")</f>
        <v>Male</v>
      </c>
    </row>
    <row r="128" spans="1:15">
      <c r="A128" t="s">
        <v>197</v>
      </c>
      <c r="B128" t="s">
        <v>39</v>
      </c>
      <c r="C128">
        <v>3</v>
      </c>
      <c r="D128">
        <v>84.5</v>
      </c>
      <c r="E128">
        <v>253.5</v>
      </c>
      <c r="F128" s="1">
        <v>45662</v>
      </c>
      <c r="G128" s="1">
        <v>45663</v>
      </c>
      <c r="H128" t="s">
        <v>27</v>
      </c>
      <c r="I128" t="s">
        <v>35</v>
      </c>
      <c r="J128">
        <v>3</v>
      </c>
      <c r="K128" t="s">
        <v>19</v>
      </c>
      <c r="L128" t="s">
        <v>62</v>
      </c>
      <c r="M128">
        <f>orders[[#This Row],[Ship Date]]-orders[[#This Row],[Order Date]]</f>
        <v>1</v>
      </c>
      <c r="N128">
        <f>WEEKNUM(orders[[#This Row],[Order Date]])</f>
        <v>2</v>
      </c>
      <c r="O128" t="str">
        <f>_xlfn.IFS(orders[[#This Row],[Customer Gender]]="M","Male", orders[[#This Row],[Customer Gender]]="F","Female", orders[[#This Row],[Customer Gender]]="O","Other", TRUE,"Unknown")</f>
        <v>Female</v>
      </c>
    </row>
    <row r="129" spans="1:15">
      <c r="A129" t="s">
        <v>198</v>
      </c>
      <c r="B129" t="s">
        <v>22</v>
      </c>
      <c r="C129">
        <v>2</v>
      </c>
      <c r="D129">
        <v>116.3</v>
      </c>
      <c r="E129">
        <v>232.6</v>
      </c>
      <c r="F129" s="1">
        <v>45663</v>
      </c>
      <c r="G129" s="1">
        <v>45665</v>
      </c>
      <c r="H129" t="s">
        <v>23</v>
      </c>
      <c r="I129" t="s">
        <v>40</v>
      </c>
      <c r="J129">
        <v>5</v>
      </c>
      <c r="K129" t="s">
        <v>19</v>
      </c>
      <c r="L129" t="s">
        <v>62</v>
      </c>
      <c r="M129">
        <f>orders[[#This Row],[Ship Date]]-orders[[#This Row],[Order Date]]</f>
        <v>2</v>
      </c>
      <c r="N129">
        <f>WEEKNUM(orders[[#This Row],[Order Date]])</f>
        <v>2</v>
      </c>
      <c r="O129" t="str">
        <f>_xlfn.IFS(orders[[#This Row],[Customer Gender]]="M","Male", orders[[#This Row],[Customer Gender]]="F","Female", orders[[#This Row],[Customer Gender]]="O","Other", TRUE,"Unknown")</f>
        <v>Male</v>
      </c>
    </row>
    <row r="130" spans="1:15">
      <c r="A130" t="s">
        <v>199</v>
      </c>
      <c r="B130" t="s">
        <v>39</v>
      </c>
      <c r="C130">
        <v>5</v>
      </c>
      <c r="D130">
        <v>52.7</v>
      </c>
      <c r="E130">
        <v>263.5</v>
      </c>
      <c r="F130" s="1">
        <v>45663</v>
      </c>
      <c r="G130" s="1">
        <v>45667</v>
      </c>
      <c r="H130" t="s">
        <v>23</v>
      </c>
      <c r="I130" t="s">
        <v>18</v>
      </c>
      <c r="J130">
        <v>4</v>
      </c>
      <c r="K130" t="s">
        <v>19</v>
      </c>
      <c r="L130" t="s">
        <v>62</v>
      </c>
      <c r="M130">
        <f>orders[[#This Row],[Ship Date]]-orders[[#This Row],[Order Date]]</f>
        <v>4</v>
      </c>
      <c r="N130">
        <f>WEEKNUM(orders[[#This Row],[Order Date]])</f>
        <v>2</v>
      </c>
      <c r="O130" t="str">
        <f>_xlfn.IFS(orders[[#This Row],[Customer Gender]]="M","Male", orders[[#This Row],[Customer Gender]]="F","Female", orders[[#This Row],[Customer Gender]]="O","Other", TRUE,"Unknown")</f>
        <v>Male</v>
      </c>
    </row>
    <row r="131" spans="1:15">
      <c r="A131" t="s">
        <v>200</v>
      </c>
      <c r="B131" t="s">
        <v>128</v>
      </c>
      <c r="C131">
        <v>3</v>
      </c>
      <c r="D131">
        <v>34.200000000000003</v>
      </c>
      <c r="E131">
        <v>102.60000000000001</v>
      </c>
      <c r="F131" s="1">
        <v>45663</v>
      </c>
      <c r="G131" s="1">
        <v>45664</v>
      </c>
      <c r="H131" t="s">
        <v>23</v>
      </c>
      <c r="I131" t="s">
        <v>18</v>
      </c>
      <c r="J131">
        <v>5</v>
      </c>
      <c r="K131" t="s">
        <v>19</v>
      </c>
      <c r="L131" t="s">
        <v>201</v>
      </c>
      <c r="M131">
        <f>orders[[#This Row],[Ship Date]]-orders[[#This Row],[Order Date]]</f>
        <v>1</v>
      </c>
      <c r="N131">
        <f>WEEKNUM(orders[[#This Row],[Order Date]])</f>
        <v>2</v>
      </c>
      <c r="O131" t="str">
        <f>_xlfn.IFS(orders[[#This Row],[Customer Gender]]="M","Male", orders[[#This Row],[Customer Gender]]="F","Female", orders[[#This Row],[Customer Gender]]="O","Other", TRUE,"Unknown")</f>
        <v>Male</v>
      </c>
    </row>
    <row r="132" spans="1:15">
      <c r="A132" t="s">
        <v>202</v>
      </c>
      <c r="B132" t="s">
        <v>46</v>
      </c>
      <c r="C132">
        <v>1</v>
      </c>
      <c r="D132">
        <v>23.3</v>
      </c>
      <c r="E132">
        <v>23.3</v>
      </c>
      <c r="F132" s="1">
        <v>45663</v>
      </c>
      <c r="G132" s="1">
        <v>45672</v>
      </c>
      <c r="H132" t="s">
        <v>89</v>
      </c>
      <c r="I132" t="s">
        <v>40</v>
      </c>
      <c r="J132">
        <v>5</v>
      </c>
      <c r="K132" t="s">
        <v>19</v>
      </c>
      <c r="L132" t="s">
        <v>72</v>
      </c>
      <c r="M132">
        <f>orders[[#This Row],[Ship Date]]-orders[[#This Row],[Order Date]]</f>
        <v>9</v>
      </c>
      <c r="N132">
        <f>WEEKNUM(orders[[#This Row],[Order Date]])</f>
        <v>2</v>
      </c>
      <c r="O132" t="str">
        <f>_xlfn.IFS(orders[[#This Row],[Customer Gender]]="M","Male", orders[[#This Row],[Customer Gender]]="F","Female", orders[[#This Row],[Customer Gender]]="O","Other", TRUE,"Unknown")</f>
        <v>Other</v>
      </c>
    </row>
    <row r="133" spans="1:15">
      <c r="A133" t="s">
        <v>203</v>
      </c>
      <c r="B133" t="s">
        <v>16</v>
      </c>
      <c r="C133">
        <v>26</v>
      </c>
      <c r="D133">
        <v>25.9</v>
      </c>
      <c r="E133">
        <v>673.4</v>
      </c>
      <c r="F133" s="1">
        <v>45663</v>
      </c>
      <c r="G133" s="1">
        <v>45666</v>
      </c>
      <c r="H133" t="s">
        <v>27</v>
      </c>
      <c r="I133" t="s">
        <v>70</v>
      </c>
      <c r="J133">
        <v>3</v>
      </c>
      <c r="K133" t="s">
        <v>19</v>
      </c>
      <c r="L133" t="s">
        <v>72</v>
      </c>
      <c r="M133">
        <f>orders[[#This Row],[Ship Date]]-orders[[#This Row],[Order Date]]</f>
        <v>3</v>
      </c>
      <c r="N133">
        <f>WEEKNUM(orders[[#This Row],[Order Date]])</f>
        <v>2</v>
      </c>
      <c r="O133" t="str">
        <f>_xlfn.IFS(orders[[#This Row],[Customer Gender]]="M","Male", orders[[#This Row],[Customer Gender]]="F","Female", orders[[#This Row],[Customer Gender]]="O","Other", TRUE,"Unknown")</f>
        <v>Female</v>
      </c>
    </row>
    <row r="134" spans="1:15">
      <c r="A134" t="s">
        <v>204</v>
      </c>
      <c r="B134" t="s">
        <v>39</v>
      </c>
      <c r="C134">
        <v>29</v>
      </c>
      <c r="D134">
        <v>54.9</v>
      </c>
      <c r="E134">
        <v>1592.1</v>
      </c>
      <c r="F134" s="1">
        <v>45663</v>
      </c>
      <c r="G134" s="1">
        <v>45664</v>
      </c>
      <c r="H134" t="s">
        <v>23</v>
      </c>
      <c r="I134" t="s">
        <v>35</v>
      </c>
      <c r="J134">
        <v>5</v>
      </c>
      <c r="K134" t="s">
        <v>19</v>
      </c>
      <c r="L134" t="s">
        <v>72</v>
      </c>
      <c r="M134">
        <f>orders[[#This Row],[Ship Date]]-orders[[#This Row],[Order Date]]</f>
        <v>1</v>
      </c>
      <c r="N134">
        <f>WEEKNUM(orders[[#This Row],[Order Date]])</f>
        <v>2</v>
      </c>
      <c r="O134" t="str">
        <f>_xlfn.IFS(orders[[#This Row],[Customer Gender]]="M","Male", orders[[#This Row],[Customer Gender]]="F","Female", orders[[#This Row],[Customer Gender]]="O","Other", TRUE,"Unknown")</f>
        <v>Male</v>
      </c>
    </row>
    <row r="135" spans="1:15">
      <c r="A135" t="s">
        <v>205</v>
      </c>
      <c r="B135" t="s">
        <v>37</v>
      </c>
      <c r="C135">
        <v>3</v>
      </c>
      <c r="D135">
        <v>75.8</v>
      </c>
      <c r="E135">
        <v>227.39999999999998</v>
      </c>
      <c r="F135" s="1">
        <v>45663</v>
      </c>
      <c r="G135" s="1">
        <v>45668</v>
      </c>
      <c r="H135" t="s">
        <v>89</v>
      </c>
      <c r="I135" t="s">
        <v>35</v>
      </c>
      <c r="J135">
        <v>4</v>
      </c>
      <c r="K135" t="s">
        <v>19</v>
      </c>
      <c r="L135" t="s">
        <v>108</v>
      </c>
      <c r="M135">
        <f>orders[[#This Row],[Ship Date]]-orders[[#This Row],[Order Date]]</f>
        <v>5</v>
      </c>
      <c r="N135">
        <f>WEEKNUM(orders[[#This Row],[Order Date]])</f>
        <v>2</v>
      </c>
      <c r="O135" t="str">
        <f>_xlfn.IFS(orders[[#This Row],[Customer Gender]]="M","Male", orders[[#This Row],[Customer Gender]]="F","Female", orders[[#This Row],[Customer Gender]]="O","Other", TRUE,"Unknown")</f>
        <v>Other</v>
      </c>
    </row>
    <row r="136" spans="1:15">
      <c r="A136" t="s">
        <v>206</v>
      </c>
      <c r="B136" t="s">
        <v>22</v>
      </c>
      <c r="C136">
        <v>9</v>
      </c>
      <c r="D136">
        <v>44.9</v>
      </c>
      <c r="E136">
        <v>404.09999999999997</v>
      </c>
      <c r="F136" s="1">
        <v>45663</v>
      </c>
      <c r="G136" s="1">
        <v>45666</v>
      </c>
      <c r="H136" t="s">
        <v>27</v>
      </c>
      <c r="I136" t="s">
        <v>40</v>
      </c>
      <c r="J136">
        <v>5</v>
      </c>
      <c r="K136" t="s">
        <v>19</v>
      </c>
      <c r="L136" t="s">
        <v>28</v>
      </c>
      <c r="M136">
        <f>orders[[#This Row],[Ship Date]]-orders[[#This Row],[Order Date]]</f>
        <v>3</v>
      </c>
      <c r="N136">
        <f>WEEKNUM(orders[[#This Row],[Order Date]])</f>
        <v>2</v>
      </c>
      <c r="O136" t="str">
        <f>_xlfn.IFS(orders[[#This Row],[Customer Gender]]="M","Male", orders[[#This Row],[Customer Gender]]="F","Female", orders[[#This Row],[Customer Gender]]="O","Other", TRUE,"Unknown")</f>
        <v>Female</v>
      </c>
    </row>
    <row r="137" spans="1:15">
      <c r="A137" t="s">
        <v>207</v>
      </c>
      <c r="B137" t="s">
        <v>67</v>
      </c>
      <c r="C137">
        <v>2</v>
      </c>
      <c r="D137">
        <v>48.8</v>
      </c>
      <c r="E137">
        <v>97.6</v>
      </c>
      <c r="F137" s="1">
        <v>45663</v>
      </c>
      <c r="G137" s="1">
        <v>45665</v>
      </c>
      <c r="H137" t="s">
        <v>27</v>
      </c>
      <c r="I137" t="s">
        <v>51</v>
      </c>
      <c r="J137">
        <v>4</v>
      </c>
      <c r="K137" t="s">
        <v>19</v>
      </c>
      <c r="L137" t="s">
        <v>208</v>
      </c>
      <c r="M137">
        <f>orders[[#This Row],[Ship Date]]-orders[[#This Row],[Order Date]]</f>
        <v>2</v>
      </c>
      <c r="N137">
        <f>WEEKNUM(orders[[#This Row],[Order Date]])</f>
        <v>2</v>
      </c>
      <c r="O137" t="str">
        <f>_xlfn.IFS(orders[[#This Row],[Customer Gender]]="M","Male", orders[[#This Row],[Customer Gender]]="F","Female", orders[[#This Row],[Customer Gender]]="O","Other", TRUE,"Unknown")</f>
        <v>Female</v>
      </c>
    </row>
    <row r="138" spans="1:15">
      <c r="A138" t="s">
        <v>209</v>
      </c>
      <c r="B138" t="s">
        <v>123</v>
      </c>
      <c r="C138">
        <v>1</v>
      </c>
      <c r="D138">
        <v>20.3</v>
      </c>
      <c r="E138">
        <v>20.3</v>
      </c>
      <c r="F138" s="1">
        <v>45663</v>
      </c>
      <c r="G138" s="1">
        <v>45664</v>
      </c>
      <c r="H138" t="s">
        <v>27</v>
      </c>
      <c r="I138" t="s">
        <v>18</v>
      </c>
      <c r="J138">
        <v>5</v>
      </c>
      <c r="K138" t="s">
        <v>19</v>
      </c>
      <c r="L138" t="s">
        <v>147</v>
      </c>
      <c r="M138">
        <f>orders[[#This Row],[Ship Date]]-orders[[#This Row],[Order Date]]</f>
        <v>1</v>
      </c>
      <c r="N138">
        <f>WEEKNUM(orders[[#This Row],[Order Date]])</f>
        <v>2</v>
      </c>
      <c r="O138" t="str">
        <f>_xlfn.IFS(orders[[#This Row],[Customer Gender]]="M","Male", orders[[#This Row],[Customer Gender]]="F","Female", orders[[#This Row],[Customer Gender]]="O","Other", TRUE,"Unknown")</f>
        <v>Female</v>
      </c>
    </row>
    <row r="139" spans="1:15">
      <c r="A139" t="s">
        <v>210</v>
      </c>
      <c r="B139" t="s">
        <v>37</v>
      </c>
      <c r="C139">
        <v>7</v>
      </c>
      <c r="D139">
        <v>36.4</v>
      </c>
      <c r="E139">
        <v>254.79999999999998</v>
      </c>
      <c r="F139" s="1">
        <v>45663</v>
      </c>
      <c r="G139" s="1">
        <v>45666</v>
      </c>
      <c r="H139" t="s">
        <v>27</v>
      </c>
      <c r="I139" t="s">
        <v>18</v>
      </c>
      <c r="J139">
        <v>3</v>
      </c>
      <c r="K139" t="s">
        <v>19</v>
      </c>
      <c r="L139" t="s">
        <v>33</v>
      </c>
      <c r="M139">
        <f>orders[[#This Row],[Ship Date]]-orders[[#This Row],[Order Date]]</f>
        <v>3</v>
      </c>
      <c r="N139">
        <f>WEEKNUM(orders[[#This Row],[Order Date]])</f>
        <v>2</v>
      </c>
      <c r="O139" t="str">
        <f>_xlfn.IFS(orders[[#This Row],[Customer Gender]]="M","Male", orders[[#This Row],[Customer Gender]]="F","Female", orders[[#This Row],[Customer Gender]]="O","Other", TRUE,"Unknown")</f>
        <v>Female</v>
      </c>
    </row>
    <row r="140" spans="1:15">
      <c r="A140" t="s">
        <v>211</v>
      </c>
      <c r="B140" t="s">
        <v>16</v>
      </c>
      <c r="C140">
        <v>1</v>
      </c>
      <c r="D140">
        <v>19</v>
      </c>
      <c r="E140">
        <v>19</v>
      </c>
      <c r="F140" s="1">
        <v>45663</v>
      </c>
      <c r="G140" s="1">
        <v>45668</v>
      </c>
      <c r="H140" t="s">
        <v>27</v>
      </c>
      <c r="I140" t="s">
        <v>35</v>
      </c>
      <c r="J140">
        <v>5</v>
      </c>
      <c r="K140" t="s">
        <v>19</v>
      </c>
      <c r="L140" t="s">
        <v>33</v>
      </c>
      <c r="M140">
        <f>orders[[#This Row],[Ship Date]]-orders[[#This Row],[Order Date]]</f>
        <v>5</v>
      </c>
      <c r="N140">
        <f>WEEKNUM(orders[[#This Row],[Order Date]])</f>
        <v>2</v>
      </c>
      <c r="O140" t="str">
        <f>_xlfn.IFS(orders[[#This Row],[Customer Gender]]="M","Male", orders[[#This Row],[Customer Gender]]="F","Female", orders[[#This Row],[Customer Gender]]="O","Other", TRUE,"Unknown")</f>
        <v>Female</v>
      </c>
    </row>
    <row r="141" spans="1:15">
      <c r="A141" t="s">
        <v>212</v>
      </c>
      <c r="B141" t="s">
        <v>44</v>
      </c>
      <c r="C141">
        <v>1</v>
      </c>
      <c r="D141">
        <v>17.8</v>
      </c>
      <c r="E141">
        <v>17.8</v>
      </c>
      <c r="F141" s="1">
        <v>45663</v>
      </c>
      <c r="G141" s="1">
        <v>45663</v>
      </c>
      <c r="H141" t="s">
        <v>23</v>
      </c>
      <c r="I141" t="s">
        <v>18</v>
      </c>
      <c r="J141">
        <v>4</v>
      </c>
      <c r="K141" t="s">
        <v>19</v>
      </c>
      <c r="L141" t="s">
        <v>33</v>
      </c>
      <c r="M141">
        <f>orders[[#This Row],[Ship Date]]-orders[[#This Row],[Order Date]]</f>
        <v>0</v>
      </c>
      <c r="N141">
        <f>WEEKNUM(orders[[#This Row],[Order Date]])</f>
        <v>2</v>
      </c>
      <c r="O141" t="str">
        <f>_xlfn.IFS(orders[[#This Row],[Customer Gender]]="M","Male", orders[[#This Row],[Customer Gender]]="F","Female", orders[[#This Row],[Customer Gender]]="O","Other", TRUE,"Unknown")</f>
        <v>Male</v>
      </c>
    </row>
    <row r="142" spans="1:15">
      <c r="A142" t="s">
        <v>213</v>
      </c>
      <c r="B142" t="s">
        <v>26</v>
      </c>
      <c r="C142">
        <v>6</v>
      </c>
      <c r="D142">
        <v>139.6</v>
      </c>
      <c r="E142">
        <v>837.59999999999991</v>
      </c>
      <c r="F142" s="1">
        <v>45663</v>
      </c>
      <c r="G142" s="1">
        <v>45666</v>
      </c>
      <c r="H142" t="s">
        <v>23</v>
      </c>
      <c r="I142" t="s">
        <v>18</v>
      </c>
      <c r="J142">
        <v>4</v>
      </c>
      <c r="K142" t="s">
        <v>19</v>
      </c>
      <c r="L142" t="s">
        <v>33</v>
      </c>
      <c r="M142">
        <f>orders[[#This Row],[Ship Date]]-orders[[#This Row],[Order Date]]</f>
        <v>3</v>
      </c>
      <c r="N142">
        <f>WEEKNUM(orders[[#This Row],[Order Date]])</f>
        <v>2</v>
      </c>
      <c r="O142" t="str">
        <f>_xlfn.IFS(orders[[#This Row],[Customer Gender]]="M","Male", orders[[#This Row],[Customer Gender]]="F","Female", orders[[#This Row],[Customer Gender]]="O","Other", TRUE,"Unknown")</f>
        <v>Male</v>
      </c>
    </row>
    <row r="143" spans="1:15">
      <c r="A143" t="s">
        <v>214</v>
      </c>
      <c r="B143" t="s">
        <v>46</v>
      </c>
      <c r="C143">
        <v>1</v>
      </c>
      <c r="D143">
        <v>31.7</v>
      </c>
      <c r="E143">
        <v>31.7</v>
      </c>
      <c r="F143" s="1">
        <v>45663</v>
      </c>
      <c r="G143" s="1">
        <v>45663</v>
      </c>
      <c r="H143" t="s">
        <v>17</v>
      </c>
      <c r="I143" t="s">
        <v>18</v>
      </c>
      <c r="J143">
        <v>4</v>
      </c>
      <c r="K143" t="s">
        <v>19</v>
      </c>
      <c r="L143" t="s">
        <v>33</v>
      </c>
      <c r="M143">
        <f>orders[[#This Row],[Ship Date]]-orders[[#This Row],[Order Date]]</f>
        <v>0</v>
      </c>
      <c r="N143">
        <f>WEEKNUM(orders[[#This Row],[Order Date]])</f>
        <v>2</v>
      </c>
      <c r="O143" t="str">
        <f>_xlfn.IFS(orders[[#This Row],[Customer Gender]]="M","Male", orders[[#This Row],[Customer Gender]]="F","Female", orders[[#This Row],[Customer Gender]]="O","Other", TRUE,"Unknown")</f>
        <v>Unknown</v>
      </c>
    </row>
    <row r="144" spans="1:15">
      <c r="A144" t="s">
        <v>215</v>
      </c>
      <c r="B144" t="s">
        <v>44</v>
      </c>
      <c r="C144">
        <v>8</v>
      </c>
      <c r="D144">
        <v>26.3</v>
      </c>
      <c r="E144">
        <v>210.4</v>
      </c>
      <c r="F144" s="1">
        <v>45663</v>
      </c>
      <c r="G144" s="1">
        <v>45666</v>
      </c>
      <c r="H144" t="s">
        <v>27</v>
      </c>
      <c r="I144" t="s">
        <v>70</v>
      </c>
      <c r="J144">
        <v>2</v>
      </c>
      <c r="K144" t="s">
        <v>19</v>
      </c>
      <c r="L144" t="s">
        <v>33</v>
      </c>
      <c r="M144">
        <f>orders[[#This Row],[Ship Date]]-orders[[#This Row],[Order Date]]</f>
        <v>3</v>
      </c>
      <c r="N144">
        <f>WEEKNUM(orders[[#This Row],[Order Date]])</f>
        <v>2</v>
      </c>
      <c r="O144" t="str">
        <f>_xlfn.IFS(orders[[#This Row],[Customer Gender]]="M","Male", orders[[#This Row],[Customer Gender]]="F","Female", orders[[#This Row],[Customer Gender]]="O","Other", TRUE,"Unknown")</f>
        <v>Female</v>
      </c>
    </row>
    <row r="145" spans="1:15">
      <c r="A145" t="s">
        <v>216</v>
      </c>
      <c r="B145" t="s">
        <v>32</v>
      </c>
      <c r="C145">
        <v>2</v>
      </c>
      <c r="D145">
        <v>47.8</v>
      </c>
      <c r="E145">
        <v>95.6</v>
      </c>
      <c r="F145" s="1">
        <v>45663</v>
      </c>
      <c r="G145" s="1">
        <v>45664</v>
      </c>
      <c r="H145" t="s">
        <v>17</v>
      </c>
      <c r="I145" t="s">
        <v>18</v>
      </c>
      <c r="J145">
        <v>4</v>
      </c>
      <c r="K145" t="s">
        <v>19</v>
      </c>
      <c r="L145" t="s">
        <v>33</v>
      </c>
      <c r="M145">
        <f>orders[[#This Row],[Ship Date]]-orders[[#This Row],[Order Date]]</f>
        <v>1</v>
      </c>
      <c r="N145">
        <f>WEEKNUM(orders[[#This Row],[Order Date]])</f>
        <v>2</v>
      </c>
      <c r="O145" t="str">
        <f>_xlfn.IFS(orders[[#This Row],[Customer Gender]]="M","Male", orders[[#This Row],[Customer Gender]]="F","Female", orders[[#This Row],[Customer Gender]]="O","Other", TRUE,"Unknown")</f>
        <v>Unknown</v>
      </c>
    </row>
    <row r="146" spans="1:15">
      <c r="A146" t="s">
        <v>217</v>
      </c>
      <c r="B146" t="s">
        <v>46</v>
      </c>
      <c r="C146">
        <v>3</v>
      </c>
      <c r="D146">
        <v>69.400000000000006</v>
      </c>
      <c r="E146">
        <v>208.20000000000002</v>
      </c>
      <c r="F146" s="1">
        <v>45663</v>
      </c>
      <c r="G146" s="1">
        <v>45667</v>
      </c>
      <c r="H146" t="s">
        <v>27</v>
      </c>
      <c r="I146" t="s">
        <v>18</v>
      </c>
      <c r="J146">
        <v>4</v>
      </c>
      <c r="K146" t="s">
        <v>19</v>
      </c>
      <c r="L146" t="s">
        <v>33</v>
      </c>
      <c r="M146">
        <f>orders[[#This Row],[Ship Date]]-orders[[#This Row],[Order Date]]</f>
        <v>4</v>
      </c>
      <c r="N146">
        <f>WEEKNUM(orders[[#This Row],[Order Date]])</f>
        <v>2</v>
      </c>
      <c r="O146" t="str">
        <f>_xlfn.IFS(orders[[#This Row],[Customer Gender]]="M","Male", orders[[#This Row],[Customer Gender]]="F","Female", orders[[#This Row],[Customer Gender]]="O","Other", TRUE,"Unknown")</f>
        <v>Female</v>
      </c>
    </row>
    <row r="147" spans="1:15">
      <c r="A147" t="s">
        <v>218</v>
      </c>
      <c r="B147" t="s">
        <v>146</v>
      </c>
      <c r="C147">
        <v>12</v>
      </c>
      <c r="D147">
        <v>25.8</v>
      </c>
      <c r="E147">
        <v>309.60000000000002</v>
      </c>
      <c r="F147" s="1">
        <v>45663</v>
      </c>
      <c r="G147" s="1">
        <v>45664</v>
      </c>
      <c r="H147" t="s">
        <v>23</v>
      </c>
      <c r="I147" t="s">
        <v>70</v>
      </c>
      <c r="J147">
        <v>2</v>
      </c>
      <c r="K147" t="s">
        <v>19</v>
      </c>
      <c r="L147" t="s">
        <v>33</v>
      </c>
      <c r="M147">
        <f>orders[[#This Row],[Ship Date]]-orders[[#This Row],[Order Date]]</f>
        <v>1</v>
      </c>
      <c r="N147">
        <f>WEEKNUM(orders[[#This Row],[Order Date]])</f>
        <v>2</v>
      </c>
      <c r="O147" t="str">
        <f>_xlfn.IFS(orders[[#This Row],[Customer Gender]]="M","Male", orders[[#This Row],[Customer Gender]]="F","Female", orders[[#This Row],[Customer Gender]]="O","Other", TRUE,"Unknown")</f>
        <v>Male</v>
      </c>
    </row>
    <row r="148" spans="1:15">
      <c r="A148" t="s">
        <v>219</v>
      </c>
      <c r="B148" t="s">
        <v>16</v>
      </c>
      <c r="C148">
        <v>4</v>
      </c>
      <c r="D148">
        <v>26.4</v>
      </c>
      <c r="E148">
        <v>105.6</v>
      </c>
      <c r="F148" s="1">
        <v>45663</v>
      </c>
      <c r="G148" s="1">
        <v>45664</v>
      </c>
      <c r="H148" t="s">
        <v>23</v>
      </c>
      <c r="I148" t="s">
        <v>35</v>
      </c>
      <c r="J148">
        <v>5</v>
      </c>
      <c r="K148" t="s">
        <v>19</v>
      </c>
      <c r="L148" t="s">
        <v>33</v>
      </c>
      <c r="M148">
        <f>orders[[#This Row],[Ship Date]]-orders[[#This Row],[Order Date]]</f>
        <v>1</v>
      </c>
      <c r="N148">
        <f>WEEKNUM(orders[[#This Row],[Order Date]])</f>
        <v>2</v>
      </c>
      <c r="O148" t="str">
        <f>_xlfn.IFS(orders[[#This Row],[Customer Gender]]="M","Male", orders[[#This Row],[Customer Gender]]="F","Female", orders[[#This Row],[Customer Gender]]="O","Other", TRUE,"Unknown")</f>
        <v>Male</v>
      </c>
    </row>
    <row r="149" spans="1:15">
      <c r="A149" t="s">
        <v>220</v>
      </c>
      <c r="B149" t="s">
        <v>44</v>
      </c>
      <c r="C149">
        <v>4</v>
      </c>
      <c r="D149">
        <v>15.7</v>
      </c>
      <c r="E149">
        <v>62.8</v>
      </c>
      <c r="F149" s="1">
        <v>45663</v>
      </c>
      <c r="G149" s="1">
        <v>45664</v>
      </c>
      <c r="H149" t="s">
        <v>23</v>
      </c>
      <c r="I149" t="s">
        <v>40</v>
      </c>
      <c r="J149">
        <v>4</v>
      </c>
      <c r="K149" t="s">
        <v>19</v>
      </c>
      <c r="L149" t="s">
        <v>33</v>
      </c>
      <c r="M149">
        <f>orders[[#This Row],[Ship Date]]-orders[[#This Row],[Order Date]]</f>
        <v>1</v>
      </c>
      <c r="N149">
        <f>WEEKNUM(orders[[#This Row],[Order Date]])</f>
        <v>2</v>
      </c>
      <c r="O149" t="str">
        <f>_xlfn.IFS(orders[[#This Row],[Customer Gender]]="M","Male", orders[[#This Row],[Customer Gender]]="F","Female", orders[[#This Row],[Customer Gender]]="O","Other", TRUE,"Unknown")</f>
        <v>Male</v>
      </c>
    </row>
    <row r="150" spans="1:15">
      <c r="A150" t="s">
        <v>221</v>
      </c>
      <c r="B150" t="s">
        <v>44</v>
      </c>
      <c r="C150">
        <v>1</v>
      </c>
      <c r="D150">
        <v>39.700000000000003</v>
      </c>
      <c r="E150">
        <v>39.700000000000003</v>
      </c>
      <c r="F150" s="1">
        <v>45663</v>
      </c>
      <c r="G150" s="1">
        <v>45667</v>
      </c>
      <c r="H150" t="s">
        <v>23</v>
      </c>
      <c r="I150" t="s">
        <v>18</v>
      </c>
      <c r="J150">
        <v>4</v>
      </c>
      <c r="K150" t="s">
        <v>19</v>
      </c>
      <c r="L150" t="s">
        <v>33</v>
      </c>
      <c r="M150">
        <f>orders[[#This Row],[Ship Date]]-orders[[#This Row],[Order Date]]</f>
        <v>4</v>
      </c>
      <c r="N150">
        <f>WEEKNUM(orders[[#This Row],[Order Date]])</f>
        <v>2</v>
      </c>
      <c r="O150" t="str">
        <f>_xlfn.IFS(orders[[#This Row],[Customer Gender]]="M","Male", orders[[#This Row],[Customer Gender]]="F","Female", orders[[#This Row],[Customer Gender]]="O","Other", TRUE,"Unknown")</f>
        <v>Male</v>
      </c>
    </row>
    <row r="151" spans="1:15">
      <c r="A151" t="s">
        <v>222</v>
      </c>
      <c r="B151" t="s">
        <v>54</v>
      </c>
      <c r="C151">
        <v>4</v>
      </c>
      <c r="D151">
        <v>31.1</v>
      </c>
      <c r="E151">
        <v>124.4</v>
      </c>
      <c r="F151" s="1">
        <v>45663</v>
      </c>
      <c r="G151" s="1">
        <v>45665</v>
      </c>
      <c r="H151" t="s">
        <v>27</v>
      </c>
      <c r="I151" t="s">
        <v>40</v>
      </c>
      <c r="J151">
        <v>3</v>
      </c>
      <c r="K151" t="s">
        <v>19</v>
      </c>
      <c r="L151" t="s">
        <v>33</v>
      </c>
      <c r="M151">
        <f>orders[[#This Row],[Ship Date]]-orders[[#This Row],[Order Date]]</f>
        <v>2</v>
      </c>
      <c r="N151">
        <f>WEEKNUM(orders[[#This Row],[Order Date]])</f>
        <v>2</v>
      </c>
      <c r="O151" t="str">
        <f>_xlfn.IFS(orders[[#This Row],[Customer Gender]]="M","Male", orders[[#This Row],[Customer Gender]]="F","Female", orders[[#This Row],[Customer Gender]]="O","Other", TRUE,"Unknown")</f>
        <v>Female</v>
      </c>
    </row>
    <row r="152" spans="1:15">
      <c r="A152" t="s">
        <v>223</v>
      </c>
      <c r="B152" t="s">
        <v>76</v>
      </c>
      <c r="C152">
        <v>15</v>
      </c>
      <c r="D152">
        <v>23.4</v>
      </c>
      <c r="E152">
        <v>351</v>
      </c>
      <c r="F152" s="1">
        <v>45663</v>
      </c>
      <c r="G152" s="1">
        <v>45672</v>
      </c>
      <c r="H152" t="s">
        <v>23</v>
      </c>
      <c r="I152" t="s">
        <v>18</v>
      </c>
      <c r="J152">
        <v>4</v>
      </c>
      <c r="K152" t="s">
        <v>19</v>
      </c>
      <c r="L152" t="s">
        <v>33</v>
      </c>
      <c r="M152">
        <f>orders[[#This Row],[Ship Date]]-orders[[#This Row],[Order Date]]</f>
        <v>9</v>
      </c>
      <c r="N152">
        <f>WEEKNUM(orders[[#This Row],[Order Date]])</f>
        <v>2</v>
      </c>
      <c r="O152" t="str">
        <f>_xlfn.IFS(orders[[#This Row],[Customer Gender]]="M","Male", orders[[#This Row],[Customer Gender]]="F","Female", orders[[#This Row],[Customer Gender]]="O","Other", TRUE,"Unknown")</f>
        <v>Male</v>
      </c>
    </row>
    <row r="153" spans="1:15">
      <c r="A153" t="s">
        <v>224</v>
      </c>
      <c r="B153" t="s">
        <v>22</v>
      </c>
      <c r="C153">
        <v>4</v>
      </c>
      <c r="D153">
        <v>57.1</v>
      </c>
      <c r="E153">
        <v>228.4</v>
      </c>
      <c r="F153" s="1">
        <v>45664</v>
      </c>
      <c r="G153" s="1">
        <v>45665</v>
      </c>
      <c r="H153" t="s">
        <v>23</v>
      </c>
      <c r="I153" t="s">
        <v>40</v>
      </c>
      <c r="J153">
        <v>4</v>
      </c>
      <c r="K153" t="s">
        <v>19</v>
      </c>
      <c r="L153" t="s">
        <v>188</v>
      </c>
      <c r="M153">
        <f>orders[[#This Row],[Ship Date]]-orders[[#This Row],[Order Date]]</f>
        <v>1</v>
      </c>
      <c r="N153">
        <f>WEEKNUM(orders[[#This Row],[Order Date]])</f>
        <v>2</v>
      </c>
      <c r="O153" t="str">
        <f>_xlfn.IFS(orders[[#This Row],[Customer Gender]]="M","Male", orders[[#This Row],[Customer Gender]]="F","Female", orders[[#This Row],[Customer Gender]]="O","Other", TRUE,"Unknown")</f>
        <v>Male</v>
      </c>
    </row>
    <row r="154" spans="1:15">
      <c r="A154" t="s">
        <v>225</v>
      </c>
      <c r="B154" t="s">
        <v>26</v>
      </c>
      <c r="C154">
        <v>5</v>
      </c>
      <c r="D154">
        <v>89.9</v>
      </c>
      <c r="E154">
        <v>449.5</v>
      </c>
      <c r="F154" s="1">
        <v>45664</v>
      </c>
      <c r="G154" s="1">
        <v>45664</v>
      </c>
      <c r="H154" t="s">
        <v>27</v>
      </c>
      <c r="I154" t="s">
        <v>18</v>
      </c>
      <c r="J154">
        <v>1</v>
      </c>
      <c r="K154" t="s">
        <v>19</v>
      </c>
      <c r="L154" t="s">
        <v>158</v>
      </c>
      <c r="M154">
        <f>orders[[#This Row],[Ship Date]]-orders[[#This Row],[Order Date]]</f>
        <v>0</v>
      </c>
      <c r="N154">
        <f>WEEKNUM(orders[[#This Row],[Order Date]])</f>
        <v>2</v>
      </c>
      <c r="O154" t="str">
        <f>_xlfn.IFS(orders[[#This Row],[Customer Gender]]="M","Male", orders[[#This Row],[Customer Gender]]="F","Female", orders[[#This Row],[Customer Gender]]="O","Other", TRUE,"Unknown")</f>
        <v>Female</v>
      </c>
    </row>
    <row r="155" spans="1:15">
      <c r="A155" t="s">
        <v>226</v>
      </c>
      <c r="B155" t="s">
        <v>54</v>
      </c>
      <c r="C155">
        <v>7</v>
      </c>
      <c r="D155">
        <v>48.1</v>
      </c>
      <c r="E155">
        <v>336.7</v>
      </c>
      <c r="F155" s="1">
        <v>45664</v>
      </c>
      <c r="G155" s="1">
        <v>45666</v>
      </c>
      <c r="H155" t="s">
        <v>27</v>
      </c>
      <c r="I155" t="s">
        <v>35</v>
      </c>
      <c r="J155">
        <v>5</v>
      </c>
      <c r="K155" t="s">
        <v>19</v>
      </c>
      <c r="L155" t="s">
        <v>55</v>
      </c>
      <c r="M155">
        <f>orders[[#This Row],[Ship Date]]-orders[[#This Row],[Order Date]]</f>
        <v>2</v>
      </c>
      <c r="N155">
        <f>WEEKNUM(orders[[#This Row],[Order Date]])</f>
        <v>2</v>
      </c>
      <c r="O155" t="str">
        <f>_xlfn.IFS(orders[[#This Row],[Customer Gender]]="M","Male", orders[[#This Row],[Customer Gender]]="F","Female", orders[[#This Row],[Customer Gender]]="O","Other", TRUE,"Unknown")</f>
        <v>Female</v>
      </c>
    </row>
    <row r="156" spans="1:15">
      <c r="A156" t="s">
        <v>227</v>
      </c>
      <c r="B156" t="s">
        <v>44</v>
      </c>
      <c r="C156">
        <v>2</v>
      </c>
      <c r="D156">
        <v>29.3</v>
      </c>
      <c r="E156">
        <v>58.6</v>
      </c>
      <c r="F156" s="1">
        <v>45664</v>
      </c>
      <c r="G156" s="1">
        <v>45664</v>
      </c>
      <c r="H156" t="s">
        <v>27</v>
      </c>
      <c r="I156" t="s">
        <v>35</v>
      </c>
      <c r="J156">
        <v>3</v>
      </c>
      <c r="K156" t="s">
        <v>19</v>
      </c>
      <c r="L156" t="s">
        <v>55</v>
      </c>
      <c r="M156">
        <f>orders[[#This Row],[Ship Date]]-orders[[#This Row],[Order Date]]</f>
        <v>0</v>
      </c>
      <c r="N156">
        <f>WEEKNUM(orders[[#This Row],[Order Date]])</f>
        <v>2</v>
      </c>
      <c r="O156" t="str">
        <f>_xlfn.IFS(orders[[#This Row],[Customer Gender]]="M","Male", orders[[#This Row],[Customer Gender]]="F","Female", orders[[#This Row],[Customer Gender]]="O","Other", TRUE,"Unknown")</f>
        <v>Female</v>
      </c>
    </row>
    <row r="157" spans="1:15">
      <c r="A157" t="s">
        <v>228</v>
      </c>
      <c r="B157" t="s">
        <v>44</v>
      </c>
      <c r="C157">
        <v>4</v>
      </c>
      <c r="D157">
        <v>28.8</v>
      </c>
      <c r="E157">
        <v>115.2</v>
      </c>
      <c r="F157" s="1">
        <v>45664</v>
      </c>
      <c r="G157" s="1">
        <v>45665</v>
      </c>
      <c r="H157" t="s">
        <v>27</v>
      </c>
      <c r="I157" t="s">
        <v>18</v>
      </c>
      <c r="J157">
        <v>2</v>
      </c>
      <c r="K157" t="s">
        <v>19</v>
      </c>
      <c r="L157" t="s">
        <v>55</v>
      </c>
      <c r="M157">
        <f>orders[[#This Row],[Ship Date]]-orders[[#This Row],[Order Date]]</f>
        <v>1</v>
      </c>
      <c r="N157">
        <f>WEEKNUM(orders[[#This Row],[Order Date]])</f>
        <v>2</v>
      </c>
      <c r="O157" t="str">
        <f>_xlfn.IFS(orders[[#This Row],[Customer Gender]]="M","Male", orders[[#This Row],[Customer Gender]]="F","Female", orders[[#This Row],[Customer Gender]]="O","Other", TRUE,"Unknown")</f>
        <v>Female</v>
      </c>
    </row>
    <row r="158" spans="1:15">
      <c r="A158" t="s">
        <v>229</v>
      </c>
      <c r="B158" t="s">
        <v>54</v>
      </c>
      <c r="C158">
        <v>5</v>
      </c>
      <c r="D158">
        <v>40.5</v>
      </c>
      <c r="E158">
        <v>202.5</v>
      </c>
      <c r="F158" s="1">
        <v>45664</v>
      </c>
      <c r="G158" s="1">
        <v>45668</v>
      </c>
      <c r="H158" t="s">
        <v>27</v>
      </c>
      <c r="I158" t="s">
        <v>51</v>
      </c>
      <c r="J158">
        <v>4</v>
      </c>
      <c r="K158" t="s">
        <v>19</v>
      </c>
      <c r="L158" t="s">
        <v>55</v>
      </c>
      <c r="M158">
        <f>orders[[#This Row],[Ship Date]]-orders[[#This Row],[Order Date]]</f>
        <v>4</v>
      </c>
      <c r="N158">
        <f>WEEKNUM(orders[[#This Row],[Order Date]])</f>
        <v>2</v>
      </c>
      <c r="O158" t="str">
        <f>_xlfn.IFS(orders[[#This Row],[Customer Gender]]="M","Male", orders[[#This Row],[Customer Gender]]="F","Female", orders[[#This Row],[Customer Gender]]="O","Other", TRUE,"Unknown")</f>
        <v>Female</v>
      </c>
    </row>
    <row r="159" spans="1:15">
      <c r="A159" t="s">
        <v>230</v>
      </c>
      <c r="B159" t="s">
        <v>146</v>
      </c>
      <c r="C159">
        <v>14</v>
      </c>
      <c r="D159">
        <v>65.099999999999994</v>
      </c>
      <c r="E159">
        <v>911.39999999999986</v>
      </c>
      <c r="F159" s="1">
        <v>45664</v>
      </c>
      <c r="G159" s="1">
        <v>45665</v>
      </c>
      <c r="H159" t="s">
        <v>27</v>
      </c>
      <c r="I159" t="s">
        <v>70</v>
      </c>
      <c r="J159">
        <v>4</v>
      </c>
      <c r="K159" t="s">
        <v>19</v>
      </c>
      <c r="L159" t="s">
        <v>59</v>
      </c>
      <c r="M159">
        <f>orders[[#This Row],[Ship Date]]-orders[[#This Row],[Order Date]]</f>
        <v>1</v>
      </c>
      <c r="N159">
        <f>WEEKNUM(orders[[#This Row],[Order Date]])</f>
        <v>2</v>
      </c>
      <c r="O159" t="str">
        <f>_xlfn.IFS(orders[[#This Row],[Customer Gender]]="M","Male", orders[[#This Row],[Customer Gender]]="F","Female", orders[[#This Row],[Customer Gender]]="O","Other", TRUE,"Unknown")</f>
        <v>Female</v>
      </c>
    </row>
    <row r="160" spans="1:15">
      <c r="A160" t="s">
        <v>231</v>
      </c>
      <c r="B160" t="s">
        <v>44</v>
      </c>
      <c r="C160">
        <v>4</v>
      </c>
      <c r="D160">
        <v>40.299999999999997</v>
      </c>
      <c r="E160">
        <v>161.19999999999999</v>
      </c>
      <c r="F160" s="1">
        <v>45664</v>
      </c>
      <c r="G160" s="1">
        <v>45669</v>
      </c>
      <c r="H160" t="s">
        <v>27</v>
      </c>
      <c r="I160" t="s">
        <v>40</v>
      </c>
      <c r="J160">
        <v>4</v>
      </c>
      <c r="K160" t="s">
        <v>19</v>
      </c>
      <c r="L160" t="s">
        <v>59</v>
      </c>
      <c r="M160">
        <f>orders[[#This Row],[Ship Date]]-orders[[#This Row],[Order Date]]</f>
        <v>5</v>
      </c>
      <c r="N160">
        <f>WEEKNUM(orders[[#This Row],[Order Date]])</f>
        <v>2</v>
      </c>
      <c r="O160" t="str">
        <f>_xlfn.IFS(orders[[#This Row],[Customer Gender]]="M","Male", orders[[#This Row],[Customer Gender]]="F","Female", orders[[#This Row],[Customer Gender]]="O","Other", TRUE,"Unknown")</f>
        <v>Female</v>
      </c>
    </row>
    <row r="161" spans="1:15">
      <c r="A161" t="s">
        <v>232</v>
      </c>
      <c r="B161" t="s">
        <v>39</v>
      </c>
      <c r="C161">
        <v>5</v>
      </c>
      <c r="D161">
        <v>51.8</v>
      </c>
      <c r="E161">
        <v>259</v>
      </c>
      <c r="F161" s="1">
        <v>45664</v>
      </c>
      <c r="G161" s="1">
        <v>45665</v>
      </c>
      <c r="H161" t="s">
        <v>23</v>
      </c>
      <c r="I161" t="s">
        <v>40</v>
      </c>
      <c r="J161">
        <v>5</v>
      </c>
      <c r="K161" t="s">
        <v>19</v>
      </c>
      <c r="L161" t="s">
        <v>62</v>
      </c>
      <c r="M161">
        <f>orders[[#This Row],[Ship Date]]-orders[[#This Row],[Order Date]]</f>
        <v>1</v>
      </c>
      <c r="N161">
        <f>WEEKNUM(orders[[#This Row],[Order Date]])</f>
        <v>2</v>
      </c>
      <c r="O161" t="str">
        <f>_xlfn.IFS(orders[[#This Row],[Customer Gender]]="M","Male", orders[[#This Row],[Customer Gender]]="F","Female", orders[[#This Row],[Customer Gender]]="O","Other", TRUE,"Unknown")</f>
        <v>Male</v>
      </c>
    </row>
    <row r="162" spans="1:15">
      <c r="A162" t="s">
        <v>233</v>
      </c>
      <c r="B162" t="s">
        <v>39</v>
      </c>
      <c r="C162">
        <v>3</v>
      </c>
      <c r="D162">
        <v>61.3</v>
      </c>
      <c r="E162">
        <v>183.89999999999998</v>
      </c>
      <c r="F162" s="1">
        <v>45664</v>
      </c>
      <c r="G162" s="1">
        <v>45665</v>
      </c>
      <c r="H162" t="s">
        <v>27</v>
      </c>
      <c r="I162" t="s">
        <v>51</v>
      </c>
      <c r="J162">
        <v>4</v>
      </c>
      <c r="K162" t="s">
        <v>19</v>
      </c>
      <c r="L162" t="s">
        <v>62</v>
      </c>
      <c r="M162">
        <f>orders[[#This Row],[Ship Date]]-orders[[#This Row],[Order Date]]</f>
        <v>1</v>
      </c>
      <c r="N162">
        <f>WEEKNUM(orders[[#This Row],[Order Date]])</f>
        <v>2</v>
      </c>
      <c r="O162" t="str">
        <f>_xlfn.IFS(orders[[#This Row],[Customer Gender]]="M","Male", orders[[#This Row],[Customer Gender]]="F","Female", orders[[#This Row],[Customer Gender]]="O","Other", TRUE,"Unknown")</f>
        <v>Female</v>
      </c>
    </row>
    <row r="163" spans="1:15">
      <c r="A163" t="s">
        <v>234</v>
      </c>
      <c r="B163" t="s">
        <v>26</v>
      </c>
      <c r="C163">
        <v>4</v>
      </c>
      <c r="D163">
        <v>122.5</v>
      </c>
      <c r="E163">
        <v>490</v>
      </c>
      <c r="F163" s="1">
        <v>45664</v>
      </c>
      <c r="G163" s="1">
        <v>45665</v>
      </c>
      <c r="H163" t="s">
        <v>23</v>
      </c>
      <c r="I163" t="s">
        <v>18</v>
      </c>
      <c r="J163">
        <v>4</v>
      </c>
      <c r="K163" t="s">
        <v>19</v>
      </c>
      <c r="L163" t="s">
        <v>62</v>
      </c>
      <c r="M163">
        <f>orders[[#This Row],[Ship Date]]-orders[[#This Row],[Order Date]]</f>
        <v>1</v>
      </c>
      <c r="N163">
        <f>WEEKNUM(orders[[#This Row],[Order Date]])</f>
        <v>2</v>
      </c>
      <c r="O163" t="str">
        <f>_xlfn.IFS(orders[[#This Row],[Customer Gender]]="M","Male", orders[[#This Row],[Customer Gender]]="F","Female", orders[[#This Row],[Customer Gender]]="O","Other", TRUE,"Unknown")</f>
        <v>Male</v>
      </c>
    </row>
    <row r="164" spans="1:15">
      <c r="A164" t="s">
        <v>235</v>
      </c>
      <c r="B164" t="s">
        <v>16</v>
      </c>
      <c r="C164">
        <v>9</v>
      </c>
      <c r="D164">
        <v>12.5</v>
      </c>
      <c r="E164">
        <v>112.5</v>
      </c>
      <c r="F164" s="1">
        <v>45664</v>
      </c>
      <c r="G164" s="1">
        <v>45665</v>
      </c>
      <c r="H164" t="s">
        <v>17</v>
      </c>
      <c r="I164" t="s">
        <v>35</v>
      </c>
      <c r="J164">
        <v>5</v>
      </c>
      <c r="K164" t="s">
        <v>19</v>
      </c>
      <c r="L164" t="s">
        <v>62</v>
      </c>
      <c r="M164">
        <f>orders[[#This Row],[Ship Date]]-orders[[#This Row],[Order Date]]</f>
        <v>1</v>
      </c>
      <c r="N164">
        <f>WEEKNUM(orders[[#This Row],[Order Date]])</f>
        <v>2</v>
      </c>
      <c r="O164" t="str">
        <f>_xlfn.IFS(orders[[#This Row],[Customer Gender]]="M","Male", orders[[#This Row],[Customer Gender]]="F","Female", orders[[#This Row],[Customer Gender]]="O","Other", TRUE,"Unknown")</f>
        <v>Unknown</v>
      </c>
    </row>
    <row r="165" spans="1:15">
      <c r="A165" t="s">
        <v>236</v>
      </c>
      <c r="B165" t="s">
        <v>123</v>
      </c>
      <c r="C165">
        <v>8</v>
      </c>
      <c r="D165">
        <v>37.5</v>
      </c>
      <c r="E165">
        <v>300</v>
      </c>
      <c r="F165" s="1">
        <v>45664</v>
      </c>
      <c r="G165" s="1">
        <v>45665</v>
      </c>
      <c r="H165" t="s">
        <v>27</v>
      </c>
      <c r="I165" t="s">
        <v>18</v>
      </c>
      <c r="J165">
        <v>4</v>
      </c>
      <c r="K165" t="s">
        <v>19</v>
      </c>
      <c r="L165" t="s">
        <v>72</v>
      </c>
      <c r="M165">
        <f>orders[[#This Row],[Ship Date]]-orders[[#This Row],[Order Date]]</f>
        <v>1</v>
      </c>
      <c r="N165">
        <f>WEEKNUM(orders[[#This Row],[Order Date]])</f>
        <v>2</v>
      </c>
      <c r="O165" t="str">
        <f>_xlfn.IFS(orders[[#This Row],[Customer Gender]]="M","Male", orders[[#This Row],[Customer Gender]]="F","Female", orders[[#This Row],[Customer Gender]]="O","Other", TRUE,"Unknown")</f>
        <v>Female</v>
      </c>
    </row>
    <row r="166" spans="1:15">
      <c r="A166" t="s">
        <v>237</v>
      </c>
      <c r="B166" t="s">
        <v>39</v>
      </c>
      <c r="C166">
        <v>3</v>
      </c>
      <c r="D166">
        <v>40</v>
      </c>
      <c r="E166">
        <v>120</v>
      </c>
      <c r="F166" s="1">
        <v>45664</v>
      </c>
      <c r="G166" s="1">
        <v>45667</v>
      </c>
      <c r="H166" t="s">
        <v>23</v>
      </c>
      <c r="I166" t="s">
        <v>18</v>
      </c>
      <c r="J166">
        <v>2</v>
      </c>
      <c r="K166" t="s">
        <v>19</v>
      </c>
      <c r="L166" t="s">
        <v>77</v>
      </c>
      <c r="M166">
        <f>orders[[#This Row],[Ship Date]]-orders[[#This Row],[Order Date]]</f>
        <v>3</v>
      </c>
      <c r="N166">
        <f>WEEKNUM(orders[[#This Row],[Order Date]])</f>
        <v>2</v>
      </c>
      <c r="O166" t="str">
        <f>_xlfn.IFS(orders[[#This Row],[Customer Gender]]="M","Male", orders[[#This Row],[Customer Gender]]="F","Female", orders[[#This Row],[Customer Gender]]="O","Other", TRUE,"Unknown")</f>
        <v>Male</v>
      </c>
    </row>
    <row r="167" spans="1:15">
      <c r="A167" t="s">
        <v>238</v>
      </c>
      <c r="B167" t="s">
        <v>135</v>
      </c>
      <c r="C167">
        <v>8</v>
      </c>
      <c r="D167">
        <v>38.5</v>
      </c>
      <c r="E167">
        <v>308</v>
      </c>
      <c r="F167" s="1">
        <v>45664</v>
      </c>
      <c r="G167" s="1">
        <v>45669</v>
      </c>
      <c r="H167" t="s">
        <v>27</v>
      </c>
      <c r="I167" t="s">
        <v>40</v>
      </c>
      <c r="J167">
        <v>3</v>
      </c>
      <c r="K167" t="s">
        <v>19</v>
      </c>
      <c r="L167" t="s">
        <v>77</v>
      </c>
      <c r="M167">
        <f>orders[[#This Row],[Ship Date]]-orders[[#This Row],[Order Date]]</f>
        <v>5</v>
      </c>
      <c r="N167">
        <f>WEEKNUM(orders[[#This Row],[Order Date]])</f>
        <v>2</v>
      </c>
      <c r="O167" t="str">
        <f>_xlfn.IFS(orders[[#This Row],[Customer Gender]]="M","Male", orders[[#This Row],[Customer Gender]]="F","Female", orders[[#This Row],[Customer Gender]]="O","Other", TRUE,"Unknown")</f>
        <v>Female</v>
      </c>
    </row>
    <row r="168" spans="1:15">
      <c r="A168" t="s">
        <v>239</v>
      </c>
      <c r="B168" t="s">
        <v>26</v>
      </c>
      <c r="C168">
        <v>2</v>
      </c>
      <c r="D168">
        <v>86.4</v>
      </c>
      <c r="E168">
        <v>172.8</v>
      </c>
      <c r="F168" s="1">
        <v>45664</v>
      </c>
      <c r="G168" s="1">
        <v>45666</v>
      </c>
      <c r="H168" t="s">
        <v>27</v>
      </c>
      <c r="I168" t="s">
        <v>18</v>
      </c>
      <c r="J168">
        <v>4</v>
      </c>
      <c r="K168" t="s">
        <v>19</v>
      </c>
      <c r="L168" t="s">
        <v>108</v>
      </c>
      <c r="M168">
        <f>orders[[#This Row],[Ship Date]]-orders[[#This Row],[Order Date]]</f>
        <v>2</v>
      </c>
      <c r="N168">
        <f>WEEKNUM(orders[[#This Row],[Order Date]])</f>
        <v>2</v>
      </c>
      <c r="O168" t="str">
        <f>_xlfn.IFS(orders[[#This Row],[Customer Gender]]="M","Male", orders[[#This Row],[Customer Gender]]="F","Female", orders[[#This Row],[Customer Gender]]="O","Other", TRUE,"Unknown")</f>
        <v>Female</v>
      </c>
    </row>
    <row r="169" spans="1:15">
      <c r="A169" t="s">
        <v>240</v>
      </c>
      <c r="B169" t="s">
        <v>54</v>
      </c>
      <c r="C169">
        <v>1</v>
      </c>
      <c r="D169">
        <v>50.7</v>
      </c>
      <c r="E169">
        <v>50.7</v>
      </c>
      <c r="F169" s="1">
        <v>45664</v>
      </c>
      <c r="G169" s="1">
        <v>45668</v>
      </c>
      <c r="H169" t="s">
        <v>27</v>
      </c>
      <c r="I169" t="s">
        <v>35</v>
      </c>
      <c r="J169">
        <v>4</v>
      </c>
      <c r="K169" t="s">
        <v>19</v>
      </c>
      <c r="L169" t="s">
        <v>108</v>
      </c>
      <c r="M169">
        <f>orders[[#This Row],[Ship Date]]-orders[[#This Row],[Order Date]]</f>
        <v>4</v>
      </c>
      <c r="N169">
        <f>WEEKNUM(orders[[#This Row],[Order Date]])</f>
        <v>2</v>
      </c>
      <c r="O169" t="str">
        <f>_xlfn.IFS(orders[[#This Row],[Customer Gender]]="M","Male", orders[[#This Row],[Customer Gender]]="F","Female", orders[[#This Row],[Customer Gender]]="O","Other", TRUE,"Unknown")</f>
        <v>Female</v>
      </c>
    </row>
    <row r="170" spans="1:15">
      <c r="A170" t="s">
        <v>241</v>
      </c>
      <c r="B170" t="s">
        <v>54</v>
      </c>
      <c r="C170">
        <v>2</v>
      </c>
      <c r="D170">
        <v>61</v>
      </c>
      <c r="E170">
        <v>122</v>
      </c>
      <c r="F170" s="1">
        <v>45664</v>
      </c>
      <c r="G170" s="1">
        <v>45675</v>
      </c>
      <c r="H170" t="s">
        <v>27</v>
      </c>
      <c r="I170" t="s">
        <v>70</v>
      </c>
      <c r="J170">
        <v>3</v>
      </c>
      <c r="K170" t="s">
        <v>19</v>
      </c>
      <c r="L170" t="s">
        <v>108</v>
      </c>
      <c r="M170">
        <f>orders[[#This Row],[Ship Date]]-orders[[#This Row],[Order Date]]</f>
        <v>11</v>
      </c>
      <c r="N170">
        <f>WEEKNUM(orders[[#This Row],[Order Date]])</f>
        <v>2</v>
      </c>
      <c r="O170" t="str">
        <f>_xlfn.IFS(orders[[#This Row],[Customer Gender]]="M","Male", orders[[#This Row],[Customer Gender]]="F","Female", orders[[#This Row],[Customer Gender]]="O","Other", TRUE,"Unknown")</f>
        <v>Female</v>
      </c>
    </row>
    <row r="171" spans="1:15">
      <c r="A171" t="s">
        <v>242</v>
      </c>
      <c r="B171" t="s">
        <v>32</v>
      </c>
      <c r="C171">
        <v>2</v>
      </c>
      <c r="D171">
        <v>19.899999999999999</v>
      </c>
      <c r="E171">
        <v>39.799999999999997</v>
      </c>
      <c r="F171" s="1">
        <v>45664</v>
      </c>
      <c r="G171" s="1">
        <v>45667</v>
      </c>
      <c r="H171" t="s">
        <v>27</v>
      </c>
      <c r="I171" t="s">
        <v>35</v>
      </c>
      <c r="J171">
        <v>4</v>
      </c>
      <c r="K171" t="s">
        <v>19</v>
      </c>
      <c r="L171" t="s">
        <v>243</v>
      </c>
      <c r="M171">
        <f>orders[[#This Row],[Ship Date]]-orders[[#This Row],[Order Date]]</f>
        <v>3</v>
      </c>
      <c r="N171">
        <f>WEEKNUM(orders[[#This Row],[Order Date]])</f>
        <v>2</v>
      </c>
      <c r="O171" t="str">
        <f>_xlfn.IFS(orders[[#This Row],[Customer Gender]]="M","Male", orders[[#This Row],[Customer Gender]]="F","Female", orders[[#This Row],[Customer Gender]]="O","Other", TRUE,"Unknown")</f>
        <v>Female</v>
      </c>
    </row>
    <row r="172" spans="1:15">
      <c r="A172" t="s">
        <v>244</v>
      </c>
      <c r="B172" t="s">
        <v>37</v>
      </c>
      <c r="C172">
        <v>1</v>
      </c>
      <c r="D172">
        <v>78.3</v>
      </c>
      <c r="E172">
        <v>78.3</v>
      </c>
      <c r="F172" s="1">
        <v>45664</v>
      </c>
      <c r="G172" s="1">
        <v>45664</v>
      </c>
      <c r="H172" t="s">
        <v>27</v>
      </c>
      <c r="I172" t="s">
        <v>18</v>
      </c>
      <c r="J172">
        <v>5</v>
      </c>
      <c r="K172" t="s">
        <v>19</v>
      </c>
      <c r="L172" t="s">
        <v>24</v>
      </c>
      <c r="M172">
        <f>orders[[#This Row],[Ship Date]]-orders[[#This Row],[Order Date]]</f>
        <v>0</v>
      </c>
      <c r="N172">
        <f>WEEKNUM(orders[[#This Row],[Order Date]])</f>
        <v>2</v>
      </c>
      <c r="O172" t="str">
        <f>_xlfn.IFS(orders[[#This Row],[Customer Gender]]="M","Male", orders[[#This Row],[Customer Gender]]="F","Female", orders[[#This Row],[Customer Gender]]="O","Other", TRUE,"Unknown")</f>
        <v>Female</v>
      </c>
    </row>
    <row r="173" spans="1:15">
      <c r="A173" t="s">
        <v>245</v>
      </c>
      <c r="B173" t="s">
        <v>16</v>
      </c>
      <c r="C173">
        <v>19</v>
      </c>
      <c r="D173">
        <v>10.4</v>
      </c>
      <c r="E173">
        <v>197.6</v>
      </c>
      <c r="F173" s="1">
        <v>45664</v>
      </c>
      <c r="G173" s="1">
        <v>45666</v>
      </c>
      <c r="H173" t="s">
        <v>23</v>
      </c>
      <c r="I173" t="s">
        <v>18</v>
      </c>
      <c r="J173">
        <v>5</v>
      </c>
      <c r="K173" t="s">
        <v>19</v>
      </c>
      <c r="L173" t="s">
        <v>28</v>
      </c>
      <c r="M173">
        <f>orders[[#This Row],[Ship Date]]-orders[[#This Row],[Order Date]]</f>
        <v>2</v>
      </c>
      <c r="N173">
        <f>WEEKNUM(orders[[#This Row],[Order Date]])</f>
        <v>2</v>
      </c>
      <c r="O173" t="str">
        <f>_xlfn.IFS(orders[[#This Row],[Customer Gender]]="M","Male", orders[[#This Row],[Customer Gender]]="F","Female", orders[[#This Row],[Customer Gender]]="O","Other", TRUE,"Unknown")</f>
        <v>Male</v>
      </c>
    </row>
    <row r="174" spans="1:15">
      <c r="A174" t="s">
        <v>246</v>
      </c>
      <c r="B174" t="s">
        <v>54</v>
      </c>
      <c r="C174">
        <v>1</v>
      </c>
      <c r="D174">
        <v>36.1</v>
      </c>
      <c r="E174">
        <v>36.1</v>
      </c>
      <c r="F174" s="1">
        <v>45664</v>
      </c>
      <c r="G174" s="1">
        <v>45667</v>
      </c>
      <c r="H174" t="s">
        <v>23</v>
      </c>
      <c r="I174" t="s">
        <v>51</v>
      </c>
      <c r="J174">
        <v>5</v>
      </c>
      <c r="K174" t="s">
        <v>19</v>
      </c>
      <c r="L174" t="s">
        <v>33</v>
      </c>
      <c r="M174">
        <f>orders[[#This Row],[Ship Date]]-orders[[#This Row],[Order Date]]</f>
        <v>3</v>
      </c>
      <c r="N174">
        <f>WEEKNUM(orders[[#This Row],[Order Date]])</f>
        <v>2</v>
      </c>
      <c r="O174" t="str">
        <f>_xlfn.IFS(orders[[#This Row],[Customer Gender]]="M","Male", orders[[#This Row],[Customer Gender]]="F","Female", orders[[#This Row],[Customer Gender]]="O","Other", TRUE,"Unknown")</f>
        <v>Male</v>
      </c>
    </row>
    <row r="175" spans="1:15">
      <c r="A175" t="s">
        <v>247</v>
      </c>
      <c r="B175" t="s">
        <v>81</v>
      </c>
      <c r="C175">
        <v>2</v>
      </c>
      <c r="D175">
        <v>17.3</v>
      </c>
      <c r="E175">
        <v>34.6</v>
      </c>
      <c r="F175" s="1">
        <v>45664</v>
      </c>
      <c r="G175" s="1">
        <v>45666</v>
      </c>
      <c r="H175" t="s">
        <v>27</v>
      </c>
      <c r="I175" t="s">
        <v>35</v>
      </c>
      <c r="J175">
        <v>5</v>
      </c>
      <c r="K175" t="s">
        <v>19</v>
      </c>
      <c r="L175" t="s">
        <v>33</v>
      </c>
      <c r="M175">
        <f>orders[[#This Row],[Ship Date]]-orders[[#This Row],[Order Date]]</f>
        <v>2</v>
      </c>
      <c r="N175">
        <f>WEEKNUM(orders[[#This Row],[Order Date]])</f>
        <v>2</v>
      </c>
      <c r="O175" t="str">
        <f>_xlfn.IFS(orders[[#This Row],[Customer Gender]]="M","Male", orders[[#This Row],[Customer Gender]]="F","Female", orders[[#This Row],[Customer Gender]]="O","Other", TRUE,"Unknown")</f>
        <v>Female</v>
      </c>
    </row>
    <row r="176" spans="1:15">
      <c r="A176" t="s">
        <v>248</v>
      </c>
      <c r="B176" t="s">
        <v>54</v>
      </c>
      <c r="C176">
        <v>2</v>
      </c>
      <c r="D176">
        <v>30.5</v>
      </c>
      <c r="E176">
        <v>61</v>
      </c>
      <c r="F176" s="1">
        <v>45664</v>
      </c>
      <c r="G176" s="1">
        <v>45665</v>
      </c>
      <c r="H176" t="s">
        <v>27</v>
      </c>
      <c r="I176" t="s">
        <v>35</v>
      </c>
      <c r="J176">
        <v>5</v>
      </c>
      <c r="K176" t="s">
        <v>19</v>
      </c>
      <c r="L176" t="s">
        <v>33</v>
      </c>
      <c r="M176">
        <f>orders[[#This Row],[Ship Date]]-orders[[#This Row],[Order Date]]</f>
        <v>1</v>
      </c>
      <c r="N176">
        <f>WEEKNUM(orders[[#This Row],[Order Date]])</f>
        <v>2</v>
      </c>
      <c r="O176" t="str">
        <f>_xlfn.IFS(orders[[#This Row],[Customer Gender]]="M","Male", orders[[#This Row],[Customer Gender]]="F","Female", orders[[#This Row],[Customer Gender]]="O","Other", TRUE,"Unknown")</f>
        <v>Female</v>
      </c>
    </row>
    <row r="177" spans="1:15">
      <c r="A177" t="s">
        <v>249</v>
      </c>
      <c r="B177" t="s">
        <v>146</v>
      </c>
      <c r="C177">
        <v>62</v>
      </c>
      <c r="D177">
        <v>70.099999999999994</v>
      </c>
      <c r="E177">
        <v>4346.2</v>
      </c>
      <c r="F177" s="1">
        <v>45664</v>
      </c>
      <c r="G177" s="1">
        <v>45664</v>
      </c>
      <c r="H177" t="s">
        <v>27</v>
      </c>
      <c r="I177" t="s">
        <v>40</v>
      </c>
      <c r="J177">
        <v>4</v>
      </c>
      <c r="K177" t="s">
        <v>19</v>
      </c>
      <c r="L177" t="s">
        <v>33</v>
      </c>
      <c r="M177">
        <f>orders[[#This Row],[Ship Date]]-orders[[#This Row],[Order Date]]</f>
        <v>0</v>
      </c>
      <c r="N177">
        <f>WEEKNUM(orders[[#This Row],[Order Date]])</f>
        <v>2</v>
      </c>
      <c r="O177" t="str">
        <f>_xlfn.IFS(orders[[#This Row],[Customer Gender]]="M","Male", orders[[#This Row],[Customer Gender]]="F","Female", orders[[#This Row],[Customer Gender]]="O","Other", TRUE,"Unknown")</f>
        <v>Female</v>
      </c>
    </row>
    <row r="178" spans="1:15">
      <c r="A178" t="s">
        <v>250</v>
      </c>
      <c r="B178" t="s">
        <v>30</v>
      </c>
      <c r="C178">
        <v>1</v>
      </c>
      <c r="D178">
        <v>76.099999999999994</v>
      </c>
      <c r="E178">
        <v>76.099999999999994</v>
      </c>
      <c r="F178" s="1">
        <v>45664</v>
      </c>
      <c r="G178" s="1">
        <v>45664</v>
      </c>
      <c r="H178" t="s">
        <v>27</v>
      </c>
      <c r="I178" t="s">
        <v>40</v>
      </c>
      <c r="J178">
        <v>3</v>
      </c>
      <c r="K178" t="s">
        <v>19</v>
      </c>
      <c r="L178" t="s">
        <v>33</v>
      </c>
      <c r="M178">
        <f>orders[[#This Row],[Ship Date]]-orders[[#This Row],[Order Date]]</f>
        <v>0</v>
      </c>
      <c r="N178">
        <f>WEEKNUM(orders[[#This Row],[Order Date]])</f>
        <v>2</v>
      </c>
      <c r="O178" t="str">
        <f>_xlfn.IFS(orders[[#This Row],[Customer Gender]]="M","Male", orders[[#This Row],[Customer Gender]]="F","Female", orders[[#This Row],[Customer Gender]]="O","Other", TRUE,"Unknown")</f>
        <v>Female</v>
      </c>
    </row>
    <row r="179" spans="1:15">
      <c r="A179" t="s">
        <v>251</v>
      </c>
      <c r="B179" t="s">
        <v>123</v>
      </c>
      <c r="C179">
        <v>13</v>
      </c>
      <c r="D179">
        <v>34.200000000000003</v>
      </c>
      <c r="E179">
        <v>444.6</v>
      </c>
      <c r="F179" s="1">
        <v>45664</v>
      </c>
      <c r="G179" s="1">
        <v>45665</v>
      </c>
      <c r="H179" t="s">
        <v>23</v>
      </c>
      <c r="I179" t="s">
        <v>18</v>
      </c>
      <c r="J179">
        <v>4</v>
      </c>
      <c r="K179" t="s">
        <v>19</v>
      </c>
      <c r="L179" t="s">
        <v>33</v>
      </c>
      <c r="M179">
        <f>orders[[#This Row],[Ship Date]]-orders[[#This Row],[Order Date]]</f>
        <v>1</v>
      </c>
      <c r="N179">
        <f>WEEKNUM(orders[[#This Row],[Order Date]])</f>
        <v>2</v>
      </c>
      <c r="O179" t="str">
        <f>_xlfn.IFS(orders[[#This Row],[Customer Gender]]="M","Male", orders[[#This Row],[Customer Gender]]="F","Female", orders[[#This Row],[Customer Gender]]="O","Other", TRUE,"Unknown")</f>
        <v>Male</v>
      </c>
    </row>
    <row r="180" spans="1:15">
      <c r="A180" t="s">
        <v>252</v>
      </c>
      <c r="B180" t="s">
        <v>44</v>
      </c>
      <c r="C180">
        <v>5</v>
      </c>
      <c r="D180">
        <v>30.3</v>
      </c>
      <c r="E180">
        <v>151.5</v>
      </c>
      <c r="F180" s="1">
        <v>45664</v>
      </c>
      <c r="G180" s="1">
        <v>45669</v>
      </c>
      <c r="H180" t="s">
        <v>27</v>
      </c>
      <c r="I180" t="s">
        <v>70</v>
      </c>
      <c r="J180">
        <v>4</v>
      </c>
      <c r="K180" t="s">
        <v>19</v>
      </c>
      <c r="L180" t="s">
        <v>33</v>
      </c>
      <c r="M180">
        <f>orders[[#This Row],[Ship Date]]-orders[[#This Row],[Order Date]]</f>
        <v>5</v>
      </c>
      <c r="N180">
        <f>WEEKNUM(orders[[#This Row],[Order Date]])</f>
        <v>2</v>
      </c>
      <c r="O180" t="str">
        <f>_xlfn.IFS(orders[[#This Row],[Customer Gender]]="M","Male", orders[[#This Row],[Customer Gender]]="F","Female", orders[[#This Row],[Customer Gender]]="O","Other", TRUE,"Unknown")</f>
        <v>Female</v>
      </c>
    </row>
    <row r="181" spans="1:15">
      <c r="A181" t="s">
        <v>253</v>
      </c>
      <c r="B181" t="s">
        <v>39</v>
      </c>
      <c r="C181">
        <v>5</v>
      </c>
      <c r="D181">
        <v>52.5</v>
      </c>
      <c r="E181">
        <v>262.5</v>
      </c>
      <c r="F181" s="1">
        <v>45664</v>
      </c>
      <c r="G181" s="1">
        <v>45668</v>
      </c>
      <c r="H181" t="s">
        <v>17</v>
      </c>
      <c r="I181" t="s">
        <v>51</v>
      </c>
      <c r="J181">
        <v>4</v>
      </c>
      <c r="K181" t="s">
        <v>19</v>
      </c>
      <c r="L181" t="s">
        <v>33</v>
      </c>
      <c r="M181">
        <f>orders[[#This Row],[Ship Date]]-orders[[#This Row],[Order Date]]</f>
        <v>4</v>
      </c>
      <c r="N181">
        <f>WEEKNUM(orders[[#This Row],[Order Date]])</f>
        <v>2</v>
      </c>
      <c r="O181" t="str">
        <f>_xlfn.IFS(orders[[#This Row],[Customer Gender]]="M","Male", orders[[#This Row],[Customer Gender]]="F","Female", orders[[#This Row],[Customer Gender]]="O","Other", TRUE,"Unknown")</f>
        <v>Unknown</v>
      </c>
    </row>
    <row r="182" spans="1:15">
      <c r="A182" t="s">
        <v>254</v>
      </c>
      <c r="B182" t="s">
        <v>46</v>
      </c>
      <c r="C182">
        <v>11</v>
      </c>
      <c r="D182">
        <v>28.7</v>
      </c>
      <c r="E182">
        <v>315.7</v>
      </c>
      <c r="F182" s="1">
        <v>45664</v>
      </c>
      <c r="G182" s="1">
        <v>45665</v>
      </c>
      <c r="H182" t="s">
        <v>27</v>
      </c>
      <c r="I182" t="s">
        <v>40</v>
      </c>
      <c r="J182">
        <v>4</v>
      </c>
      <c r="K182" t="s">
        <v>19</v>
      </c>
      <c r="L182" t="s">
        <v>33</v>
      </c>
      <c r="M182">
        <f>orders[[#This Row],[Ship Date]]-orders[[#This Row],[Order Date]]</f>
        <v>1</v>
      </c>
      <c r="N182">
        <f>WEEKNUM(orders[[#This Row],[Order Date]])</f>
        <v>2</v>
      </c>
      <c r="O182" t="str">
        <f>_xlfn.IFS(orders[[#This Row],[Customer Gender]]="M","Male", orders[[#This Row],[Customer Gender]]="F","Female", orders[[#This Row],[Customer Gender]]="O","Other", TRUE,"Unknown")</f>
        <v>Female</v>
      </c>
    </row>
    <row r="183" spans="1:15">
      <c r="A183" t="s">
        <v>255</v>
      </c>
      <c r="B183" t="s">
        <v>42</v>
      </c>
      <c r="C183">
        <v>7</v>
      </c>
      <c r="D183">
        <v>52</v>
      </c>
      <c r="E183">
        <v>364</v>
      </c>
      <c r="F183" s="1">
        <v>45664</v>
      </c>
      <c r="G183" s="1">
        <v>45665</v>
      </c>
      <c r="H183" t="s">
        <v>23</v>
      </c>
      <c r="I183" t="s">
        <v>35</v>
      </c>
      <c r="J183">
        <v>2</v>
      </c>
      <c r="K183" t="s">
        <v>19</v>
      </c>
      <c r="L183" t="s">
        <v>33</v>
      </c>
      <c r="M183">
        <f>orders[[#This Row],[Ship Date]]-orders[[#This Row],[Order Date]]</f>
        <v>1</v>
      </c>
      <c r="N183">
        <f>WEEKNUM(orders[[#This Row],[Order Date]])</f>
        <v>2</v>
      </c>
      <c r="O183" t="str">
        <f>_xlfn.IFS(orders[[#This Row],[Customer Gender]]="M","Male", orders[[#This Row],[Customer Gender]]="F","Female", orders[[#This Row],[Customer Gender]]="O","Other", TRUE,"Unknown")</f>
        <v>Male</v>
      </c>
    </row>
    <row r="184" spans="1:15">
      <c r="A184" t="s">
        <v>256</v>
      </c>
      <c r="B184" t="s">
        <v>16</v>
      </c>
      <c r="C184">
        <v>1</v>
      </c>
      <c r="D184">
        <v>13.3</v>
      </c>
      <c r="E184">
        <v>13.3</v>
      </c>
      <c r="F184" s="1">
        <v>45665</v>
      </c>
      <c r="G184" s="1">
        <v>45669</v>
      </c>
      <c r="H184" t="s">
        <v>27</v>
      </c>
      <c r="I184" t="s">
        <v>40</v>
      </c>
      <c r="J184">
        <v>3</v>
      </c>
      <c r="K184" t="s">
        <v>19</v>
      </c>
      <c r="L184" t="s">
        <v>33</v>
      </c>
      <c r="M184">
        <f>orders[[#This Row],[Ship Date]]-orders[[#This Row],[Order Date]]</f>
        <v>4</v>
      </c>
      <c r="N184">
        <f>WEEKNUM(orders[[#This Row],[Order Date]])</f>
        <v>2</v>
      </c>
      <c r="O184" t="str">
        <f>_xlfn.IFS(orders[[#This Row],[Customer Gender]]="M","Male", orders[[#This Row],[Customer Gender]]="F","Female", orders[[#This Row],[Customer Gender]]="O","Other", TRUE,"Unknown")</f>
        <v>Female</v>
      </c>
    </row>
    <row r="185" spans="1:15">
      <c r="A185" t="s">
        <v>257</v>
      </c>
      <c r="B185" t="s">
        <v>16</v>
      </c>
      <c r="C185">
        <v>3</v>
      </c>
      <c r="D185">
        <v>15.7</v>
      </c>
      <c r="E185">
        <v>47.099999999999994</v>
      </c>
      <c r="F185" s="1">
        <v>45665</v>
      </c>
      <c r="G185" s="1">
        <v>45666</v>
      </c>
      <c r="H185" t="s">
        <v>27</v>
      </c>
      <c r="I185" t="s">
        <v>35</v>
      </c>
      <c r="J185">
        <v>4</v>
      </c>
      <c r="K185" t="s">
        <v>19</v>
      </c>
      <c r="L185" t="s">
        <v>258</v>
      </c>
      <c r="M185">
        <f>orders[[#This Row],[Ship Date]]-orders[[#This Row],[Order Date]]</f>
        <v>1</v>
      </c>
      <c r="N185">
        <f>WEEKNUM(orders[[#This Row],[Order Date]])</f>
        <v>2</v>
      </c>
      <c r="O185" t="str">
        <f>_xlfn.IFS(orders[[#This Row],[Customer Gender]]="M","Male", orders[[#This Row],[Customer Gender]]="F","Female", orders[[#This Row],[Customer Gender]]="O","Other", TRUE,"Unknown")</f>
        <v>Female</v>
      </c>
    </row>
    <row r="186" spans="1:15">
      <c r="A186" t="s">
        <v>259</v>
      </c>
      <c r="B186" t="s">
        <v>44</v>
      </c>
      <c r="C186">
        <v>2</v>
      </c>
      <c r="D186">
        <v>25.6</v>
      </c>
      <c r="E186">
        <v>51.2</v>
      </c>
      <c r="F186" s="1">
        <v>45665</v>
      </c>
      <c r="G186" s="1">
        <v>45666</v>
      </c>
      <c r="H186" t="s">
        <v>23</v>
      </c>
      <c r="I186" t="s">
        <v>18</v>
      </c>
      <c r="J186">
        <v>5</v>
      </c>
      <c r="K186" t="s">
        <v>19</v>
      </c>
      <c r="L186" t="s">
        <v>158</v>
      </c>
      <c r="M186">
        <f>orders[[#This Row],[Ship Date]]-orders[[#This Row],[Order Date]]</f>
        <v>1</v>
      </c>
      <c r="N186">
        <f>WEEKNUM(orders[[#This Row],[Order Date]])</f>
        <v>2</v>
      </c>
      <c r="O186" t="str">
        <f>_xlfn.IFS(orders[[#This Row],[Customer Gender]]="M","Male", orders[[#This Row],[Customer Gender]]="F","Female", orders[[#This Row],[Customer Gender]]="O","Other", TRUE,"Unknown")</f>
        <v>Male</v>
      </c>
    </row>
    <row r="187" spans="1:15">
      <c r="A187" t="s">
        <v>260</v>
      </c>
      <c r="B187" t="s">
        <v>44</v>
      </c>
      <c r="C187">
        <v>1</v>
      </c>
      <c r="D187">
        <v>43.4</v>
      </c>
      <c r="E187">
        <v>43.4</v>
      </c>
      <c r="F187" s="1">
        <v>45665</v>
      </c>
      <c r="G187" s="1">
        <v>45670</v>
      </c>
      <c r="H187" t="s">
        <v>23</v>
      </c>
      <c r="I187" t="s">
        <v>18</v>
      </c>
      <c r="J187">
        <v>4</v>
      </c>
      <c r="K187" t="s">
        <v>19</v>
      </c>
      <c r="L187" t="s">
        <v>55</v>
      </c>
      <c r="M187">
        <f>orders[[#This Row],[Ship Date]]-orders[[#This Row],[Order Date]]</f>
        <v>5</v>
      </c>
      <c r="N187">
        <f>WEEKNUM(orders[[#This Row],[Order Date]])</f>
        <v>2</v>
      </c>
      <c r="O187" t="str">
        <f>_xlfn.IFS(orders[[#This Row],[Customer Gender]]="M","Male", orders[[#This Row],[Customer Gender]]="F","Female", orders[[#This Row],[Customer Gender]]="O","Other", TRUE,"Unknown")</f>
        <v>Male</v>
      </c>
    </row>
    <row r="188" spans="1:15">
      <c r="A188" t="s">
        <v>261</v>
      </c>
      <c r="B188" t="s">
        <v>67</v>
      </c>
      <c r="C188">
        <v>9</v>
      </c>
      <c r="D188">
        <v>33.4</v>
      </c>
      <c r="E188">
        <v>300.59999999999997</v>
      </c>
      <c r="F188" s="1">
        <v>45665</v>
      </c>
      <c r="G188" s="1">
        <v>45665</v>
      </c>
      <c r="H188" t="s">
        <v>27</v>
      </c>
      <c r="I188" t="s">
        <v>18</v>
      </c>
      <c r="J188">
        <v>4</v>
      </c>
      <c r="K188" t="s">
        <v>19</v>
      </c>
      <c r="L188" t="s">
        <v>62</v>
      </c>
      <c r="M188">
        <f>orders[[#This Row],[Ship Date]]-orders[[#This Row],[Order Date]]</f>
        <v>0</v>
      </c>
      <c r="N188">
        <f>WEEKNUM(orders[[#This Row],[Order Date]])</f>
        <v>2</v>
      </c>
      <c r="O188" t="str">
        <f>_xlfn.IFS(orders[[#This Row],[Customer Gender]]="M","Male", orders[[#This Row],[Customer Gender]]="F","Female", orders[[#This Row],[Customer Gender]]="O","Other", TRUE,"Unknown")</f>
        <v>Female</v>
      </c>
    </row>
    <row r="189" spans="1:15">
      <c r="A189" t="s">
        <v>262</v>
      </c>
      <c r="B189" t="s">
        <v>44</v>
      </c>
      <c r="C189">
        <v>19</v>
      </c>
      <c r="D189">
        <v>55</v>
      </c>
      <c r="E189">
        <v>1045</v>
      </c>
      <c r="F189" s="1">
        <v>45665</v>
      </c>
      <c r="G189" s="1">
        <v>45666</v>
      </c>
      <c r="H189" t="s">
        <v>27</v>
      </c>
      <c r="I189" t="s">
        <v>35</v>
      </c>
      <c r="J189">
        <v>5</v>
      </c>
      <c r="K189" t="s">
        <v>19</v>
      </c>
      <c r="L189" t="s">
        <v>62</v>
      </c>
      <c r="M189">
        <f>orders[[#This Row],[Ship Date]]-orders[[#This Row],[Order Date]]</f>
        <v>1</v>
      </c>
      <c r="N189">
        <f>WEEKNUM(orders[[#This Row],[Order Date]])</f>
        <v>2</v>
      </c>
      <c r="O189" t="str">
        <f>_xlfn.IFS(orders[[#This Row],[Customer Gender]]="M","Male", orders[[#This Row],[Customer Gender]]="F","Female", orders[[#This Row],[Customer Gender]]="O","Other", TRUE,"Unknown")</f>
        <v>Female</v>
      </c>
    </row>
    <row r="190" spans="1:15">
      <c r="A190" t="s">
        <v>263</v>
      </c>
      <c r="B190" t="s">
        <v>44</v>
      </c>
      <c r="C190">
        <v>3</v>
      </c>
      <c r="D190">
        <v>23.6</v>
      </c>
      <c r="E190">
        <v>70.800000000000011</v>
      </c>
      <c r="F190" s="1">
        <v>45665</v>
      </c>
      <c r="G190" s="1">
        <v>45666</v>
      </c>
      <c r="H190" t="s">
        <v>23</v>
      </c>
      <c r="I190" t="s">
        <v>18</v>
      </c>
      <c r="J190">
        <v>5</v>
      </c>
      <c r="K190" t="s">
        <v>19</v>
      </c>
      <c r="L190" t="s">
        <v>62</v>
      </c>
      <c r="M190">
        <f>orders[[#This Row],[Ship Date]]-orders[[#This Row],[Order Date]]</f>
        <v>1</v>
      </c>
      <c r="N190">
        <f>WEEKNUM(orders[[#This Row],[Order Date]])</f>
        <v>2</v>
      </c>
      <c r="O190" t="str">
        <f>_xlfn.IFS(orders[[#This Row],[Customer Gender]]="M","Male", orders[[#This Row],[Customer Gender]]="F","Female", orders[[#This Row],[Customer Gender]]="O","Other", TRUE,"Unknown")</f>
        <v>Male</v>
      </c>
    </row>
    <row r="191" spans="1:15">
      <c r="A191" t="s">
        <v>264</v>
      </c>
      <c r="B191" t="s">
        <v>69</v>
      </c>
      <c r="C191">
        <v>9</v>
      </c>
      <c r="D191">
        <v>104</v>
      </c>
      <c r="E191">
        <v>936</v>
      </c>
      <c r="F191" s="1">
        <v>45665</v>
      </c>
      <c r="G191" s="1">
        <v>45667</v>
      </c>
      <c r="H191" t="s">
        <v>27</v>
      </c>
      <c r="I191" t="s">
        <v>40</v>
      </c>
      <c r="J191">
        <v>5</v>
      </c>
      <c r="K191" t="s">
        <v>19</v>
      </c>
      <c r="L191" t="s">
        <v>103</v>
      </c>
      <c r="M191">
        <f>orders[[#This Row],[Ship Date]]-orders[[#This Row],[Order Date]]</f>
        <v>2</v>
      </c>
      <c r="N191">
        <f>WEEKNUM(orders[[#This Row],[Order Date]])</f>
        <v>2</v>
      </c>
      <c r="O191" t="str">
        <f>_xlfn.IFS(orders[[#This Row],[Customer Gender]]="M","Male", orders[[#This Row],[Customer Gender]]="F","Female", orders[[#This Row],[Customer Gender]]="O","Other", TRUE,"Unknown")</f>
        <v>Female</v>
      </c>
    </row>
    <row r="192" spans="1:15">
      <c r="A192" t="s">
        <v>265</v>
      </c>
      <c r="B192" t="s">
        <v>39</v>
      </c>
      <c r="C192">
        <v>2</v>
      </c>
      <c r="D192">
        <v>51.8</v>
      </c>
      <c r="E192">
        <v>103.6</v>
      </c>
      <c r="F192" s="1">
        <v>45665</v>
      </c>
      <c r="G192" s="1">
        <v>45669</v>
      </c>
      <c r="H192" t="s">
        <v>17</v>
      </c>
      <c r="I192" t="s">
        <v>18</v>
      </c>
      <c r="J192">
        <v>5</v>
      </c>
      <c r="K192" t="s">
        <v>19</v>
      </c>
      <c r="L192" t="s">
        <v>74</v>
      </c>
      <c r="M192">
        <f>orders[[#This Row],[Ship Date]]-orders[[#This Row],[Order Date]]</f>
        <v>4</v>
      </c>
      <c r="N192">
        <f>WEEKNUM(orders[[#This Row],[Order Date]])</f>
        <v>2</v>
      </c>
      <c r="O192" t="str">
        <f>_xlfn.IFS(orders[[#This Row],[Customer Gender]]="M","Male", orders[[#This Row],[Customer Gender]]="F","Female", orders[[#This Row],[Customer Gender]]="O","Other", TRUE,"Unknown")</f>
        <v>Unknown</v>
      </c>
    </row>
    <row r="193" spans="1:15">
      <c r="A193" t="s">
        <v>266</v>
      </c>
      <c r="B193" t="s">
        <v>54</v>
      </c>
      <c r="C193">
        <v>5</v>
      </c>
      <c r="D193">
        <v>34.5</v>
      </c>
      <c r="E193">
        <v>172.5</v>
      </c>
      <c r="F193" s="1">
        <v>45665</v>
      </c>
      <c r="G193" s="1">
        <v>45667</v>
      </c>
      <c r="H193" t="s">
        <v>17</v>
      </c>
      <c r="I193" t="s">
        <v>40</v>
      </c>
      <c r="J193">
        <v>5</v>
      </c>
      <c r="K193" t="s">
        <v>19</v>
      </c>
      <c r="L193" t="s">
        <v>77</v>
      </c>
      <c r="M193">
        <f>orders[[#This Row],[Ship Date]]-orders[[#This Row],[Order Date]]</f>
        <v>2</v>
      </c>
      <c r="N193">
        <f>WEEKNUM(orders[[#This Row],[Order Date]])</f>
        <v>2</v>
      </c>
      <c r="O193" t="str">
        <f>_xlfn.IFS(orders[[#This Row],[Customer Gender]]="M","Male", orders[[#This Row],[Customer Gender]]="F","Female", orders[[#This Row],[Customer Gender]]="O","Other", TRUE,"Unknown")</f>
        <v>Unknown</v>
      </c>
    </row>
    <row r="194" spans="1:15">
      <c r="A194" t="s">
        <v>267</v>
      </c>
      <c r="B194" t="s">
        <v>39</v>
      </c>
      <c r="C194">
        <v>2</v>
      </c>
      <c r="D194">
        <v>51.8</v>
      </c>
      <c r="E194">
        <v>103.6</v>
      </c>
      <c r="F194" s="1">
        <v>45665</v>
      </c>
      <c r="G194" s="1">
        <v>45667</v>
      </c>
      <c r="H194" t="s">
        <v>23</v>
      </c>
      <c r="I194" t="s">
        <v>35</v>
      </c>
      <c r="J194">
        <v>5</v>
      </c>
      <c r="K194" t="s">
        <v>19</v>
      </c>
      <c r="L194" t="s">
        <v>268</v>
      </c>
      <c r="M194">
        <f>orders[[#This Row],[Ship Date]]-orders[[#This Row],[Order Date]]</f>
        <v>2</v>
      </c>
      <c r="N194">
        <f>WEEKNUM(orders[[#This Row],[Order Date]])</f>
        <v>2</v>
      </c>
      <c r="O194" t="str">
        <f>_xlfn.IFS(orders[[#This Row],[Customer Gender]]="M","Male", orders[[#This Row],[Customer Gender]]="F","Female", orders[[#This Row],[Customer Gender]]="O","Other", TRUE,"Unknown")</f>
        <v>Male</v>
      </c>
    </row>
    <row r="195" spans="1:15">
      <c r="A195" t="s">
        <v>269</v>
      </c>
      <c r="B195" t="s">
        <v>146</v>
      </c>
      <c r="C195">
        <v>43</v>
      </c>
      <c r="D195">
        <v>131.5</v>
      </c>
      <c r="E195">
        <v>5654.5</v>
      </c>
      <c r="F195" s="1">
        <v>45665</v>
      </c>
      <c r="G195" s="1">
        <v>45666</v>
      </c>
      <c r="H195" t="s">
        <v>27</v>
      </c>
      <c r="I195" t="s">
        <v>18</v>
      </c>
      <c r="J195">
        <v>5</v>
      </c>
      <c r="K195" t="s">
        <v>19</v>
      </c>
      <c r="L195" t="s">
        <v>108</v>
      </c>
      <c r="M195">
        <f>orders[[#This Row],[Ship Date]]-orders[[#This Row],[Order Date]]</f>
        <v>1</v>
      </c>
      <c r="N195">
        <f>WEEKNUM(orders[[#This Row],[Order Date]])</f>
        <v>2</v>
      </c>
      <c r="O195" t="str">
        <f>_xlfn.IFS(orders[[#This Row],[Customer Gender]]="M","Male", orders[[#This Row],[Customer Gender]]="F","Female", orders[[#This Row],[Customer Gender]]="O","Other", TRUE,"Unknown")</f>
        <v>Female</v>
      </c>
    </row>
    <row r="196" spans="1:15">
      <c r="A196" t="s">
        <v>270</v>
      </c>
      <c r="B196" t="s">
        <v>44</v>
      </c>
      <c r="C196">
        <v>7</v>
      </c>
      <c r="D196">
        <v>47.8</v>
      </c>
      <c r="E196">
        <v>334.59999999999997</v>
      </c>
      <c r="F196" s="1">
        <v>45665</v>
      </c>
      <c r="G196" s="1">
        <v>45665</v>
      </c>
      <c r="H196" t="s">
        <v>27</v>
      </c>
      <c r="I196" t="s">
        <v>18</v>
      </c>
      <c r="J196">
        <v>4</v>
      </c>
      <c r="K196" t="s">
        <v>19</v>
      </c>
      <c r="L196" t="s">
        <v>110</v>
      </c>
      <c r="M196">
        <f>orders[[#This Row],[Ship Date]]-orders[[#This Row],[Order Date]]</f>
        <v>0</v>
      </c>
      <c r="N196">
        <f>WEEKNUM(orders[[#This Row],[Order Date]])</f>
        <v>2</v>
      </c>
      <c r="O196" t="str">
        <f>_xlfn.IFS(orders[[#This Row],[Customer Gender]]="M","Male", orders[[#This Row],[Customer Gender]]="F","Female", orders[[#This Row],[Customer Gender]]="O","Other", TRUE,"Unknown")</f>
        <v>Female</v>
      </c>
    </row>
    <row r="197" spans="1:15">
      <c r="A197" t="s">
        <v>271</v>
      </c>
      <c r="B197" t="s">
        <v>16</v>
      </c>
      <c r="C197">
        <v>2</v>
      </c>
      <c r="D197">
        <v>10.199999999999999</v>
      </c>
      <c r="E197">
        <v>20.399999999999999</v>
      </c>
      <c r="F197" s="1">
        <v>45665</v>
      </c>
      <c r="G197" s="1">
        <v>45667</v>
      </c>
      <c r="H197" t="s">
        <v>27</v>
      </c>
      <c r="I197" t="s">
        <v>18</v>
      </c>
      <c r="J197">
        <v>4</v>
      </c>
      <c r="K197" t="s">
        <v>19</v>
      </c>
      <c r="L197" t="s">
        <v>110</v>
      </c>
      <c r="M197">
        <f>orders[[#This Row],[Ship Date]]-orders[[#This Row],[Order Date]]</f>
        <v>2</v>
      </c>
      <c r="N197">
        <f>WEEKNUM(orders[[#This Row],[Order Date]])</f>
        <v>2</v>
      </c>
      <c r="O197" t="str">
        <f>_xlfn.IFS(orders[[#This Row],[Customer Gender]]="M","Male", orders[[#This Row],[Customer Gender]]="F","Female", orders[[#This Row],[Customer Gender]]="O","Other", TRUE,"Unknown")</f>
        <v>Female</v>
      </c>
    </row>
    <row r="198" spans="1:15">
      <c r="A198" t="s">
        <v>272</v>
      </c>
      <c r="B198" t="s">
        <v>44</v>
      </c>
      <c r="C198">
        <v>8</v>
      </c>
      <c r="D198">
        <v>41</v>
      </c>
      <c r="E198">
        <v>328</v>
      </c>
      <c r="F198" s="1">
        <v>45665</v>
      </c>
      <c r="G198" s="1">
        <v>45665</v>
      </c>
      <c r="H198" t="s">
        <v>27</v>
      </c>
      <c r="I198" t="s">
        <v>35</v>
      </c>
      <c r="J198">
        <v>5</v>
      </c>
      <c r="K198" t="s">
        <v>19</v>
      </c>
      <c r="L198" t="s">
        <v>110</v>
      </c>
      <c r="M198">
        <f>orders[[#This Row],[Ship Date]]-orders[[#This Row],[Order Date]]</f>
        <v>0</v>
      </c>
      <c r="N198">
        <f>WEEKNUM(orders[[#This Row],[Order Date]])</f>
        <v>2</v>
      </c>
      <c r="O198" t="str">
        <f>_xlfn.IFS(orders[[#This Row],[Customer Gender]]="M","Male", orders[[#This Row],[Customer Gender]]="F","Female", orders[[#This Row],[Customer Gender]]="O","Other", TRUE,"Unknown")</f>
        <v>Female</v>
      </c>
    </row>
    <row r="199" spans="1:15">
      <c r="A199" t="s">
        <v>273</v>
      </c>
      <c r="B199" t="s">
        <v>54</v>
      </c>
      <c r="C199">
        <v>7</v>
      </c>
      <c r="D199">
        <v>50.8</v>
      </c>
      <c r="E199">
        <v>355.59999999999997</v>
      </c>
      <c r="F199" s="1">
        <v>45665</v>
      </c>
      <c r="G199" s="1">
        <v>45668</v>
      </c>
      <c r="H199" t="s">
        <v>27</v>
      </c>
      <c r="I199" t="s">
        <v>35</v>
      </c>
      <c r="J199">
        <v>4</v>
      </c>
      <c r="K199" t="s">
        <v>19</v>
      </c>
      <c r="L199" t="s">
        <v>115</v>
      </c>
      <c r="M199">
        <f>orders[[#This Row],[Ship Date]]-orders[[#This Row],[Order Date]]</f>
        <v>3</v>
      </c>
      <c r="N199">
        <f>WEEKNUM(orders[[#This Row],[Order Date]])</f>
        <v>2</v>
      </c>
      <c r="O199" t="str">
        <f>_xlfn.IFS(orders[[#This Row],[Customer Gender]]="M","Male", orders[[#This Row],[Customer Gender]]="F","Female", orders[[#This Row],[Customer Gender]]="O","Other", TRUE,"Unknown")</f>
        <v>Female</v>
      </c>
    </row>
    <row r="200" spans="1:15">
      <c r="A200" t="s">
        <v>274</v>
      </c>
      <c r="B200" t="s">
        <v>146</v>
      </c>
      <c r="C200">
        <v>3</v>
      </c>
      <c r="D200">
        <v>39.6</v>
      </c>
      <c r="E200">
        <v>118.80000000000001</v>
      </c>
      <c r="F200" s="1">
        <v>45665</v>
      </c>
      <c r="G200" s="1">
        <v>45666</v>
      </c>
      <c r="H200" t="s">
        <v>23</v>
      </c>
      <c r="I200" t="s">
        <v>40</v>
      </c>
      <c r="J200">
        <v>5</v>
      </c>
      <c r="K200" t="s">
        <v>19</v>
      </c>
      <c r="L200" t="s">
        <v>24</v>
      </c>
      <c r="M200">
        <f>orders[[#This Row],[Ship Date]]-orders[[#This Row],[Order Date]]</f>
        <v>1</v>
      </c>
      <c r="N200">
        <f>WEEKNUM(orders[[#This Row],[Order Date]])</f>
        <v>2</v>
      </c>
      <c r="O200" t="str">
        <f>_xlfn.IFS(orders[[#This Row],[Customer Gender]]="M","Male", orders[[#This Row],[Customer Gender]]="F","Female", orders[[#This Row],[Customer Gender]]="O","Other", TRUE,"Unknown")</f>
        <v>Male</v>
      </c>
    </row>
    <row r="201" spans="1:15">
      <c r="A201" t="s">
        <v>275</v>
      </c>
      <c r="B201" t="s">
        <v>37</v>
      </c>
      <c r="C201">
        <v>2</v>
      </c>
      <c r="D201">
        <v>69.5</v>
      </c>
      <c r="E201">
        <v>139</v>
      </c>
      <c r="F201" s="1">
        <v>45665</v>
      </c>
      <c r="G201" s="1">
        <v>45667</v>
      </c>
      <c r="H201" t="s">
        <v>23</v>
      </c>
      <c r="I201" t="s">
        <v>18</v>
      </c>
      <c r="J201">
        <v>5</v>
      </c>
      <c r="K201" t="s">
        <v>19</v>
      </c>
      <c r="L201" t="s">
        <v>28</v>
      </c>
      <c r="M201">
        <f>orders[[#This Row],[Ship Date]]-orders[[#This Row],[Order Date]]</f>
        <v>2</v>
      </c>
      <c r="N201">
        <f>WEEKNUM(orders[[#This Row],[Order Date]])</f>
        <v>2</v>
      </c>
      <c r="O201" t="str">
        <f>_xlfn.IFS(orders[[#This Row],[Customer Gender]]="M","Male", orders[[#This Row],[Customer Gender]]="F","Female", orders[[#This Row],[Customer Gender]]="O","Other", TRUE,"Unknown")</f>
        <v>Male</v>
      </c>
    </row>
    <row r="202" spans="1:15">
      <c r="A202" t="s">
        <v>276</v>
      </c>
      <c r="B202" t="s">
        <v>44</v>
      </c>
      <c r="C202">
        <v>8</v>
      </c>
      <c r="D202">
        <v>32.6</v>
      </c>
      <c r="E202">
        <v>260.8</v>
      </c>
      <c r="F202" s="1">
        <v>45665</v>
      </c>
      <c r="G202" s="1">
        <v>45668</v>
      </c>
      <c r="H202" t="s">
        <v>23</v>
      </c>
      <c r="I202" t="s">
        <v>35</v>
      </c>
      <c r="J202">
        <v>4</v>
      </c>
      <c r="K202" t="s">
        <v>19</v>
      </c>
      <c r="L202" t="s">
        <v>33</v>
      </c>
      <c r="M202">
        <f>orders[[#This Row],[Ship Date]]-orders[[#This Row],[Order Date]]</f>
        <v>3</v>
      </c>
      <c r="N202">
        <f>WEEKNUM(orders[[#This Row],[Order Date]])</f>
        <v>2</v>
      </c>
      <c r="O202" t="str">
        <f>_xlfn.IFS(orders[[#This Row],[Customer Gender]]="M","Male", orders[[#This Row],[Customer Gender]]="F","Female", orders[[#This Row],[Customer Gender]]="O","Other", TRUE,"Unknown")</f>
        <v>Male</v>
      </c>
    </row>
    <row r="203" spans="1:15">
      <c r="A203" t="s">
        <v>277</v>
      </c>
      <c r="B203" t="s">
        <v>42</v>
      </c>
      <c r="C203">
        <v>2</v>
      </c>
      <c r="D203">
        <v>49.1</v>
      </c>
      <c r="E203">
        <v>98.2</v>
      </c>
      <c r="F203" s="1">
        <v>45665</v>
      </c>
      <c r="G203" s="1">
        <v>45673</v>
      </c>
      <c r="H203" t="s">
        <v>23</v>
      </c>
      <c r="I203" t="s">
        <v>51</v>
      </c>
      <c r="J203">
        <v>5</v>
      </c>
      <c r="K203" t="s">
        <v>19</v>
      </c>
      <c r="L203" t="s">
        <v>33</v>
      </c>
      <c r="M203">
        <f>orders[[#This Row],[Ship Date]]-orders[[#This Row],[Order Date]]</f>
        <v>8</v>
      </c>
      <c r="N203">
        <f>WEEKNUM(orders[[#This Row],[Order Date]])</f>
        <v>2</v>
      </c>
      <c r="O203" t="str">
        <f>_xlfn.IFS(orders[[#This Row],[Customer Gender]]="M","Male", orders[[#This Row],[Customer Gender]]="F","Female", orders[[#This Row],[Customer Gender]]="O","Other", TRUE,"Unknown")</f>
        <v>Male</v>
      </c>
    </row>
    <row r="204" spans="1:15">
      <c r="A204" t="s">
        <v>278</v>
      </c>
      <c r="B204" t="s">
        <v>39</v>
      </c>
      <c r="C204">
        <v>2</v>
      </c>
      <c r="D204">
        <v>49.4</v>
      </c>
      <c r="E204">
        <v>98.8</v>
      </c>
      <c r="F204" s="1">
        <v>45666</v>
      </c>
      <c r="G204" s="1">
        <v>45667</v>
      </c>
      <c r="H204" t="s">
        <v>27</v>
      </c>
      <c r="I204" t="s">
        <v>40</v>
      </c>
      <c r="J204">
        <v>4</v>
      </c>
      <c r="K204" t="s">
        <v>19</v>
      </c>
      <c r="L204" t="s">
        <v>33</v>
      </c>
      <c r="M204">
        <f>orders[[#This Row],[Ship Date]]-orders[[#This Row],[Order Date]]</f>
        <v>1</v>
      </c>
      <c r="N204">
        <f>WEEKNUM(orders[[#This Row],[Order Date]])</f>
        <v>2</v>
      </c>
      <c r="O204" t="str">
        <f>_xlfn.IFS(orders[[#This Row],[Customer Gender]]="M","Male", orders[[#This Row],[Customer Gender]]="F","Female", orders[[#This Row],[Customer Gender]]="O","Other", TRUE,"Unknown")</f>
        <v>Female</v>
      </c>
    </row>
    <row r="205" spans="1:15">
      <c r="A205" t="s">
        <v>279</v>
      </c>
      <c r="B205" t="s">
        <v>42</v>
      </c>
      <c r="C205">
        <v>7</v>
      </c>
      <c r="D205">
        <v>65.099999999999994</v>
      </c>
      <c r="E205">
        <v>455.69999999999993</v>
      </c>
      <c r="F205" s="1">
        <v>45666</v>
      </c>
      <c r="G205" s="1">
        <v>45669</v>
      </c>
      <c r="H205" t="s">
        <v>27</v>
      </c>
      <c r="I205" t="s">
        <v>40</v>
      </c>
      <c r="J205">
        <v>5</v>
      </c>
      <c r="K205" t="s">
        <v>19</v>
      </c>
      <c r="L205" t="s">
        <v>33</v>
      </c>
      <c r="M205">
        <f>orders[[#This Row],[Ship Date]]-orders[[#This Row],[Order Date]]</f>
        <v>3</v>
      </c>
      <c r="N205">
        <f>WEEKNUM(orders[[#This Row],[Order Date]])</f>
        <v>2</v>
      </c>
      <c r="O205" t="str">
        <f>_xlfn.IFS(orders[[#This Row],[Customer Gender]]="M","Male", orders[[#This Row],[Customer Gender]]="F","Female", orders[[#This Row],[Customer Gender]]="O","Other", TRUE,"Unknown")</f>
        <v>Female</v>
      </c>
    </row>
    <row r="206" spans="1:15">
      <c r="A206" t="s">
        <v>280</v>
      </c>
      <c r="B206" t="s">
        <v>30</v>
      </c>
      <c r="C206">
        <v>2</v>
      </c>
      <c r="D206">
        <v>52.1</v>
      </c>
      <c r="E206">
        <v>104.2</v>
      </c>
      <c r="F206" s="1">
        <v>45666</v>
      </c>
      <c r="G206" s="1">
        <v>45670</v>
      </c>
      <c r="H206" t="s">
        <v>27</v>
      </c>
      <c r="I206" t="s">
        <v>40</v>
      </c>
      <c r="J206">
        <v>4</v>
      </c>
      <c r="K206" t="s">
        <v>19</v>
      </c>
      <c r="L206" t="s">
        <v>33</v>
      </c>
      <c r="M206">
        <f>orders[[#This Row],[Ship Date]]-orders[[#This Row],[Order Date]]</f>
        <v>4</v>
      </c>
      <c r="N206">
        <f>WEEKNUM(orders[[#This Row],[Order Date]])</f>
        <v>2</v>
      </c>
      <c r="O206" t="str">
        <f>_xlfn.IFS(orders[[#This Row],[Customer Gender]]="M","Male", orders[[#This Row],[Customer Gender]]="F","Female", orders[[#This Row],[Customer Gender]]="O","Other", TRUE,"Unknown")</f>
        <v>Female</v>
      </c>
    </row>
    <row r="207" spans="1:15">
      <c r="A207" t="s">
        <v>281</v>
      </c>
      <c r="B207" t="s">
        <v>26</v>
      </c>
      <c r="C207">
        <v>4</v>
      </c>
      <c r="D207">
        <v>129.19999999999999</v>
      </c>
      <c r="E207">
        <v>516.79999999999995</v>
      </c>
      <c r="F207" s="1">
        <v>45666</v>
      </c>
      <c r="G207" s="1">
        <v>45667</v>
      </c>
      <c r="H207" t="s">
        <v>27</v>
      </c>
      <c r="I207" t="s">
        <v>35</v>
      </c>
      <c r="J207">
        <v>4</v>
      </c>
      <c r="K207" t="s">
        <v>19</v>
      </c>
      <c r="L207" t="s">
        <v>33</v>
      </c>
      <c r="M207">
        <f>orders[[#This Row],[Ship Date]]-orders[[#This Row],[Order Date]]</f>
        <v>1</v>
      </c>
      <c r="N207">
        <f>WEEKNUM(orders[[#This Row],[Order Date]])</f>
        <v>2</v>
      </c>
      <c r="O207" t="str">
        <f>_xlfn.IFS(orders[[#This Row],[Customer Gender]]="M","Male", orders[[#This Row],[Customer Gender]]="F","Female", orders[[#This Row],[Customer Gender]]="O","Other", TRUE,"Unknown")</f>
        <v>Female</v>
      </c>
    </row>
    <row r="208" spans="1:15">
      <c r="A208" t="s">
        <v>282</v>
      </c>
      <c r="B208" t="s">
        <v>22</v>
      </c>
      <c r="C208">
        <v>19</v>
      </c>
      <c r="D208">
        <v>81.8</v>
      </c>
      <c r="E208">
        <v>1554.2</v>
      </c>
      <c r="F208" s="1">
        <v>45666</v>
      </c>
      <c r="G208" s="1">
        <v>45666</v>
      </c>
      <c r="H208" t="s">
        <v>27</v>
      </c>
      <c r="I208" t="s">
        <v>35</v>
      </c>
      <c r="J208">
        <v>3</v>
      </c>
      <c r="K208" t="s">
        <v>19</v>
      </c>
      <c r="L208" t="s">
        <v>33</v>
      </c>
      <c r="M208">
        <f>orders[[#This Row],[Ship Date]]-orders[[#This Row],[Order Date]]</f>
        <v>0</v>
      </c>
      <c r="N208">
        <f>WEEKNUM(orders[[#This Row],[Order Date]])</f>
        <v>2</v>
      </c>
      <c r="O208" t="str">
        <f>_xlfn.IFS(orders[[#This Row],[Customer Gender]]="M","Male", orders[[#This Row],[Customer Gender]]="F","Female", orders[[#This Row],[Customer Gender]]="O","Other", TRUE,"Unknown")</f>
        <v>Female</v>
      </c>
    </row>
    <row r="209" spans="1:15">
      <c r="A209" t="s">
        <v>283</v>
      </c>
      <c r="B209" t="s">
        <v>135</v>
      </c>
      <c r="C209">
        <v>1</v>
      </c>
      <c r="D209">
        <v>24.9</v>
      </c>
      <c r="E209">
        <v>24.9</v>
      </c>
      <c r="F209" s="1">
        <v>45666</v>
      </c>
      <c r="G209" s="1">
        <v>45670</v>
      </c>
      <c r="H209" t="s">
        <v>27</v>
      </c>
      <c r="I209" t="s">
        <v>35</v>
      </c>
      <c r="J209">
        <v>4</v>
      </c>
      <c r="K209" t="s">
        <v>19</v>
      </c>
      <c r="L209" t="s">
        <v>33</v>
      </c>
      <c r="M209">
        <f>orders[[#This Row],[Ship Date]]-orders[[#This Row],[Order Date]]</f>
        <v>4</v>
      </c>
      <c r="N209">
        <f>WEEKNUM(orders[[#This Row],[Order Date]])</f>
        <v>2</v>
      </c>
      <c r="O209" t="str">
        <f>_xlfn.IFS(orders[[#This Row],[Customer Gender]]="M","Male", orders[[#This Row],[Customer Gender]]="F","Female", orders[[#This Row],[Customer Gender]]="O","Other", TRUE,"Unknown")</f>
        <v>Female</v>
      </c>
    </row>
    <row r="210" spans="1:15">
      <c r="A210" t="s">
        <v>284</v>
      </c>
      <c r="B210" t="s">
        <v>16</v>
      </c>
      <c r="C210">
        <v>3</v>
      </c>
      <c r="D210">
        <v>49.4</v>
      </c>
      <c r="E210">
        <v>148.19999999999999</v>
      </c>
      <c r="F210" s="1">
        <v>45666</v>
      </c>
      <c r="G210" s="1">
        <v>45669</v>
      </c>
      <c r="H210" t="s">
        <v>27</v>
      </c>
      <c r="I210" t="s">
        <v>70</v>
      </c>
      <c r="J210">
        <v>2</v>
      </c>
      <c r="K210" t="s">
        <v>19</v>
      </c>
      <c r="L210" t="s">
        <v>33</v>
      </c>
      <c r="M210">
        <f>orders[[#This Row],[Ship Date]]-orders[[#This Row],[Order Date]]</f>
        <v>3</v>
      </c>
      <c r="N210">
        <f>WEEKNUM(orders[[#This Row],[Order Date]])</f>
        <v>2</v>
      </c>
      <c r="O210" t="str">
        <f>_xlfn.IFS(orders[[#This Row],[Customer Gender]]="M","Male", orders[[#This Row],[Customer Gender]]="F","Female", orders[[#This Row],[Customer Gender]]="O","Other", TRUE,"Unknown")</f>
        <v>Female</v>
      </c>
    </row>
    <row r="211" spans="1:15">
      <c r="A211" t="s">
        <v>285</v>
      </c>
      <c r="B211" t="s">
        <v>44</v>
      </c>
      <c r="C211">
        <v>2</v>
      </c>
      <c r="D211">
        <v>22.7</v>
      </c>
      <c r="E211">
        <v>45.4</v>
      </c>
      <c r="F211" s="1">
        <v>45666</v>
      </c>
      <c r="G211" s="1">
        <v>45667</v>
      </c>
      <c r="H211" t="s">
        <v>23</v>
      </c>
      <c r="I211" t="s">
        <v>51</v>
      </c>
      <c r="J211">
        <v>5</v>
      </c>
      <c r="K211" t="s">
        <v>19</v>
      </c>
      <c r="L211" t="s">
        <v>33</v>
      </c>
      <c r="M211">
        <f>orders[[#This Row],[Ship Date]]-orders[[#This Row],[Order Date]]</f>
        <v>1</v>
      </c>
      <c r="N211">
        <f>WEEKNUM(orders[[#This Row],[Order Date]])</f>
        <v>2</v>
      </c>
      <c r="O211" t="str">
        <f>_xlfn.IFS(orders[[#This Row],[Customer Gender]]="M","Male", orders[[#This Row],[Customer Gender]]="F","Female", orders[[#This Row],[Customer Gender]]="O","Other", TRUE,"Unknown")</f>
        <v>Male</v>
      </c>
    </row>
    <row r="212" spans="1:15">
      <c r="A212" t="s">
        <v>286</v>
      </c>
      <c r="B212" t="s">
        <v>22</v>
      </c>
      <c r="C212">
        <v>1</v>
      </c>
      <c r="D212">
        <v>77.3</v>
      </c>
      <c r="E212">
        <v>77.3</v>
      </c>
      <c r="F212" s="1">
        <v>45666</v>
      </c>
      <c r="G212" s="1">
        <v>45666</v>
      </c>
      <c r="H212" t="s">
        <v>27</v>
      </c>
      <c r="I212" t="s">
        <v>18</v>
      </c>
      <c r="J212">
        <v>5</v>
      </c>
      <c r="K212" t="s">
        <v>19</v>
      </c>
      <c r="L212" t="s">
        <v>55</v>
      </c>
      <c r="M212">
        <f>orders[[#This Row],[Ship Date]]-orders[[#This Row],[Order Date]]</f>
        <v>0</v>
      </c>
      <c r="N212">
        <f>WEEKNUM(orders[[#This Row],[Order Date]])</f>
        <v>2</v>
      </c>
      <c r="O212" t="str">
        <f>_xlfn.IFS(orders[[#This Row],[Customer Gender]]="M","Male", orders[[#This Row],[Customer Gender]]="F","Female", orders[[#This Row],[Customer Gender]]="O","Other", TRUE,"Unknown")</f>
        <v>Female</v>
      </c>
    </row>
    <row r="213" spans="1:15">
      <c r="A213" t="s">
        <v>287</v>
      </c>
      <c r="B213" t="s">
        <v>22</v>
      </c>
      <c r="C213">
        <v>5</v>
      </c>
      <c r="D213">
        <v>109.1</v>
      </c>
      <c r="E213">
        <v>545.5</v>
      </c>
      <c r="F213" s="1">
        <v>45666</v>
      </c>
      <c r="G213" s="1">
        <v>45669</v>
      </c>
      <c r="H213" t="s">
        <v>27</v>
      </c>
      <c r="I213" t="s">
        <v>18</v>
      </c>
      <c r="J213">
        <v>4</v>
      </c>
      <c r="K213" t="s">
        <v>19</v>
      </c>
      <c r="L213" t="s">
        <v>55</v>
      </c>
      <c r="M213">
        <f>orders[[#This Row],[Ship Date]]-orders[[#This Row],[Order Date]]</f>
        <v>3</v>
      </c>
      <c r="N213">
        <f>WEEKNUM(orders[[#This Row],[Order Date]])</f>
        <v>2</v>
      </c>
      <c r="O213" t="str">
        <f>_xlfn.IFS(orders[[#This Row],[Customer Gender]]="M","Male", orders[[#This Row],[Customer Gender]]="F","Female", orders[[#This Row],[Customer Gender]]="O","Other", TRUE,"Unknown")</f>
        <v>Female</v>
      </c>
    </row>
    <row r="214" spans="1:15">
      <c r="A214" t="s">
        <v>288</v>
      </c>
      <c r="B214" t="s">
        <v>26</v>
      </c>
      <c r="C214">
        <v>4</v>
      </c>
      <c r="D214">
        <v>53.9</v>
      </c>
      <c r="E214">
        <v>215.6</v>
      </c>
      <c r="F214" s="1">
        <v>45666</v>
      </c>
      <c r="G214" s="1">
        <v>45667</v>
      </c>
      <c r="H214" t="s">
        <v>23</v>
      </c>
      <c r="I214" t="s">
        <v>18</v>
      </c>
      <c r="J214">
        <v>3</v>
      </c>
      <c r="K214" t="s">
        <v>19</v>
      </c>
      <c r="L214" t="s">
        <v>62</v>
      </c>
      <c r="M214">
        <f>orders[[#This Row],[Ship Date]]-orders[[#This Row],[Order Date]]</f>
        <v>1</v>
      </c>
      <c r="N214">
        <f>WEEKNUM(orders[[#This Row],[Order Date]])</f>
        <v>2</v>
      </c>
      <c r="O214" t="str">
        <f>_xlfn.IFS(orders[[#This Row],[Customer Gender]]="M","Male", orders[[#This Row],[Customer Gender]]="F","Female", orders[[#This Row],[Customer Gender]]="O","Other", TRUE,"Unknown")</f>
        <v>Male</v>
      </c>
    </row>
    <row r="215" spans="1:15">
      <c r="A215" t="s">
        <v>289</v>
      </c>
      <c r="B215" t="s">
        <v>46</v>
      </c>
      <c r="C215">
        <v>26</v>
      </c>
      <c r="D215">
        <v>21.2</v>
      </c>
      <c r="E215">
        <v>551.19999999999993</v>
      </c>
      <c r="F215" s="1">
        <v>45666</v>
      </c>
      <c r="G215" s="1">
        <v>45666</v>
      </c>
      <c r="H215" t="s">
        <v>27</v>
      </c>
      <c r="I215" t="s">
        <v>18</v>
      </c>
      <c r="J215">
        <v>4</v>
      </c>
      <c r="K215" t="s">
        <v>19</v>
      </c>
      <c r="L215" t="s">
        <v>72</v>
      </c>
      <c r="M215">
        <f>orders[[#This Row],[Ship Date]]-orders[[#This Row],[Order Date]]</f>
        <v>0</v>
      </c>
      <c r="N215">
        <f>WEEKNUM(orders[[#This Row],[Order Date]])</f>
        <v>2</v>
      </c>
      <c r="O215" t="str">
        <f>_xlfn.IFS(orders[[#This Row],[Customer Gender]]="M","Male", orders[[#This Row],[Customer Gender]]="F","Female", orders[[#This Row],[Customer Gender]]="O","Other", TRUE,"Unknown")</f>
        <v>Female</v>
      </c>
    </row>
    <row r="216" spans="1:15">
      <c r="A216" t="s">
        <v>290</v>
      </c>
      <c r="B216" t="s">
        <v>128</v>
      </c>
      <c r="C216">
        <v>4</v>
      </c>
      <c r="D216">
        <v>69</v>
      </c>
      <c r="E216">
        <v>276</v>
      </c>
      <c r="F216" s="1">
        <v>45666</v>
      </c>
      <c r="G216" s="1">
        <v>45668</v>
      </c>
      <c r="H216" t="s">
        <v>27</v>
      </c>
      <c r="I216" t="s">
        <v>35</v>
      </c>
      <c r="J216">
        <v>3</v>
      </c>
      <c r="K216" t="s">
        <v>19</v>
      </c>
      <c r="L216" t="s">
        <v>108</v>
      </c>
      <c r="M216">
        <f>orders[[#This Row],[Ship Date]]-orders[[#This Row],[Order Date]]</f>
        <v>2</v>
      </c>
      <c r="N216">
        <f>WEEKNUM(orders[[#This Row],[Order Date]])</f>
        <v>2</v>
      </c>
      <c r="O216" t="str">
        <f>_xlfn.IFS(orders[[#This Row],[Customer Gender]]="M","Male", orders[[#This Row],[Customer Gender]]="F","Female", orders[[#This Row],[Customer Gender]]="O","Other", TRUE,"Unknown")</f>
        <v>Female</v>
      </c>
    </row>
    <row r="217" spans="1:15">
      <c r="A217" t="s">
        <v>291</v>
      </c>
      <c r="B217" t="s">
        <v>39</v>
      </c>
      <c r="C217">
        <v>3</v>
      </c>
      <c r="D217">
        <v>46.2</v>
      </c>
      <c r="E217">
        <v>138.60000000000002</v>
      </c>
      <c r="F217" s="1">
        <v>45666</v>
      </c>
      <c r="G217" s="1">
        <v>45668</v>
      </c>
      <c r="H217" t="s">
        <v>27</v>
      </c>
      <c r="I217" t="s">
        <v>18</v>
      </c>
      <c r="J217">
        <v>5</v>
      </c>
      <c r="K217" t="s">
        <v>19</v>
      </c>
      <c r="L217" t="s">
        <v>292</v>
      </c>
      <c r="M217">
        <f>orders[[#This Row],[Ship Date]]-orders[[#This Row],[Order Date]]</f>
        <v>2</v>
      </c>
      <c r="N217">
        <f>WEEKNUM(orders[[#This Row],[Order Date]])</f>
        <v>2</v>
      </c>
      <c r="O217" t="str">
        <f>_xlfn.IFS(orders[[#This Row],[Customer Gender]]="M","Male", orders[[#This Row],[Customer Gender]]="F","Female", orders[[#This Row],[Customer Gender]]="O","Other", TRUE,"Unknown")</f>
        <v>Female</v>
      </c>
    </row>
    <row r="218" spans="1:15">
      <c r="A218" t="s">
        <v>293</v>
      </c>
      <c r="B218" t="s">
        <v>22</v>
      </c>
      <c r="C218">
        <v>5</v>
      </c>
      <c r="D218">
        <v>97.4</v>
      </c>
      <c r="E218">
        <v>487</v>
      </c>
      <c r="F218" s="1">
        <v>45666</v>
      </c>
      <c r="G218" s="1">
        <v>45670</v>
      </c>
      <c r="H218" t="s">
        <v>27</v>
      </c>
      <c r="I218" t="s">
        <v>70</v>
      </c>
      <c r="J218">
        <v>5</v>
      </c>
      <c r="K218" t="s">
        <v>19</v>
      </c>
      <c r="L218" t="s">
        <v>115</v>
      </c>
      <c r="M218">
        <f>orders[[#This Row],[Ship Date]]-orders[[#This Row],[Order Date]]</f>
        <v>4</v>
      </c>
      <c r="N218">
        <f>WEEKNUM(orders[[#This Row],[Order Date]])</f>
        <v>2</v>
      </c>
      <c r="O218" t="str">
        <f>_xlfn.IFS(orders[[#This Row],[Customer Gender]]="M","Male", orders[[#This Row],[Customer Gender]]="F","Female", orders[[#This Row],[Customer Gender]]="O","Other", TRUE,"Unknown")</f>
        <v>Female</v>
      </c>
    </row>
    <row r="219" spans="1:15">
      <c r="A219" t="s">
        <v>294</v>
      </c>
      <c r="B219" t="s">
        <v>44</v>
      </c>
      <c r="C219">
        <v>5</v>
      </c>
      <c r="D219">
        <v>21</v>
      </c>
      <c r="E219">
        <v>105</v>
      </c>
      <c r="F219" s="1">
        <v>45666</v>
      </c>
      <c r="G219" s="1">
        <v>45667</v>
      </c>
      <c r="H219" t="s">
        <v>23</v>
      </c>
      <c r="I219" t="s">
        <v>18</v>
      </c>
      <c r="J219">
        <v>3</v>
      </c>
      <c r="K219" t="s">
        <v>19</v>
      </c>
      <c r="L219" t="s">
        <v>115</v>
      </c>
      <c r="M219">
        <f>orders[[#This Row],[Ship Date]]-orders[[#This Row],[Order Date]]</f>
        <v>1</v>
      </c>
      <c r="N219">
        <f>WEEKNUM(orders[[#This Row],[Order Date]])</f>
        <v>2</v>
      </c>
      <c r="O219" t="str">
        <f>_xlfn.IFS(orders[[#This Row],[Customer Gender]]="M","Male", orders[[#This Row],[Customer Gender]]="F","Female", orders[[#This Row],[Customer Gender]]="O","Other", TRUE,"Unknown")</f>
        <v>Male</v>
      </c>
    </row>
    <row r="220" spans="1:15">
      <c r="A220" t="s">
        <v>295</v>
      </c>
      <c r="B220" t="s">
        <v>37</v>
      </c>
      <c r="C220">
        <v>2</v>
      </c>
      <c r="D220">
        <v>32.700000000000003</v>
      </c>
      <c r="E220">
        <v>65.400000000000006</v>
      </c>
      <c r="F220" s="1">
        <v>45667</v>
      </c>
      <c r="G220" s="1">
        <v>45670</v>
      </c>
      <c r="H220" t="s">
        <v>27</v>
      </c>
      <c r="I220" t="s">
        <v>35</v>
      </c>
      <c r="J220">
        <v>4</v>
      </c>
      <c r="K220" t="s">
        <v>19</v>
      </c>
      <c r="L220" t="s">
        <v>28</v>
      </c>
      <c r="M220">
        <f>orders[[#This Row],[Ship Date]]-orders[[#This Row],[Order Date]]</f>
        <v>3</v>
      </c>
      <c r="N220">
        <f>WEEKNUM(orders[[#This Row],[Order Date]])</f>
        <v>2</v>
      </c>
      <c r="O220" t="str">
        <f>_xlfn.IFS(orders[[#This Row],[Customer Gender]]="M","Male", orders[[#This Row],[Customer Gender]]="F","Female", orders[[#This Row],[Customer Gender]]="O","Other", TRUE,"Unknown")</f>
        <v>Female</v>
      </c>
    </row>
    <row r="221" spans="1:15">
      <c r="A221" t="s">
        <v>296</v>
      </c>
      <c r="B221" t="s">
        <v>39</v>
      </c>
      <c r="C221">
        <v>4</v>
      </c>
      <c r="D221">
        <v>48</v>
      </c>
      <c r="E221">
        <v>192</v>
      </c>
      <c r="F221" s="1">
        <v>45667</v>
      </c>
      <c r="G221" s="1">
        <v>45668</v>
      </c>
      <c r="H221" t="s">
        <v>23</v>
      </c>
      <c r="I221" t="s">
        <v>51</v>
      </c>
      <c r="J221">
        <v>4</v>
      </c>
      <c r="K221" t="s">
        <v>19</v>
      </c>
      <c r="L221" t="s">
        <v>33</v>
      </c>
      <c r="M221">
        <f>orders[[#This Row],[Ship Date]]-orders[[#This Row],[Order Date]]</f>
        <v>1</v>
      </c>
      <c r="N221">
        <f>WEEKNUM(orders[[#This Row],[Order Date]])</f>
        <v>2</v>
      </c>
      <c r="O221" t="str">
        <f>_xlfn.IFS(orders[[#This Row],[Customer Gender]]="M","Male", orders[[#This Row],[Customer Gender]]="F","Female", orders[[#This Row],[Customer Gender]]="O","Other", TRUE,"Unknown")</f>
        <v>Male</v>
      </c>
    </row>
    <row r="222" spans="1:15">
      <c r="A222" t="s">
        <v>297</v>
      </c>
      <c r="B222" t="s">
        <v>39</v>
      </c>
      <c r="C222">
        <v>3</v>
      </c>
      <c r="D222">
        <v>68.2</v>
      </c>
      <c r="E222">
        <v>204.60000000000002</v>
      </c>
      <c r="F222" s="1">
        <v>45667</v>
      </c>
      <c r="G222" s="1">
        <v>45671</v>
      </c>
      <c r="H222" t="s">
        <v>17</v>
      </c>
      <c r="I222" t="s">
        <v>18</v>
      </c>
      <c r="J222">
        <v>5</v>
      </c>
      <c r="K222" t="s">
        <v>19</v>
      </c>
      <c r="L222" t="s">
        <v>33</v>
      </c>
      <c r="M222">
        <f>orders[[#This Row],[Ship Date]]-orders[[#This Row],[Order Date]]</f>
        <v>4</v>
      </c>
      <c r="N222">
        <f>WEEKNUM(orders[[#This Row],[Order Date]])</f>
        <v>2</v>
      </c>
      <c r="O222" t="str">
        <f>_xlfn.IFS(orders[[#This Row],[Customer Gender]]="M","Male", orders[[#This Row],[Customer Gender]]="F","Female", orders[[#This Row],[Customer Gender]]="O","Other", TRUE,"Unknown")</f>
        <v>Unknown</v>
      </c>
    </row>
    <row r="223" spans="1:15">
      <c r="A223" t="s">
        <v>298</v>
      </c>
      <c r="B223" t="s">
        <v>37</v>
      </c>
      <c r="C223">
        <v>1</v>
      </c>
      <c r="D223">
        <v>45.4</v>
      </c>
      <c r="E223">
        <v>45.4</v>
      </c>
      <c r="F223" s="1">
        <v>45667</v>
      </c>
      <c r="G223" s="1">
        <v>45669</v>
      </c>
      <c r="H223" t="s">
        <v>23</v>
      </c>
      <c r="I223" t="s">
        <v>35</v>
      </c>
      <c r="J223">
        <v>4</v>
      </c>
      <c r="K223" t="s">
        <v>19</v>
      </c>
      <c r="L223" t="s">
        <v>33</v>
      </c>
      <c r="M223">
        <f>orders[[#This Row],[Ship Date]]-orders[[#This Row],[Order Date]]</f>
        <v>2</v>
      </c>
      <c r="N223">
        <f>WEEKNUM(orders[[#This Row],[Order Date]])</f>
        <v>2</v>
      </c>
      <c r="O223" t="str">
        <f>_xlfn.IFS(orders[[#This Row],[Customer Gender]]="M","Male", orders[[#This Row],[Customer Gender]]="F","Female", orders[[#This Row],[Customer Gender]]="O","Other", TRUE,"Unknown")</f>
        <v>Male</v>
      </c>
    </row>
    <row r="224" spans="1:15">
      <c r="A224" t="s">
        <v>299</v>
      </c>
      <c r="B224" t="s">
        <v>69</v>
      </c>
      <c r="C224">
        <v>2</v>
      </c>
      <c r="D224">
        <v>53.9</v>
      </c>
      <c r="E224">
        <v>107.8</v>
      </c>
      <c r="F224" s="1">
        <v>45667</v>
      </c>
      <c r="G224" s="1">
        <v>45668</v>
      </c>
      <c r="H224" t="s">
        <v>27</v>
      </c>
      <c r="I224" t="s">
        <v>40</v>
      </c>
      <c r="J224">
        <v>4</v>
      </c>
      <c r="K224" t="s">
        <v>19</v>
      </c>
      <c r="L224" t="s">
        <v>33</v>
      </c>
      <c r="M224">
        <f>orders[[#This Row],[Ship Date]]-orders[[#This Row],[Order Date]]</f>
        <v>1</v>
      </c>
      <c r="N224">
        <f>WEEKNUM(orders[[#This Row],[Order Date]])</f>
        <v>2</v>
      </c>
      <c r="O224" t="str">
        <f>_xlfn.IFS(orders[[#This Row],[Customer Gender]]="M","Male", orders[[#This Row],[Customer Gender]]="F","Female", orders[[#This Row],[Customer Gender]]="O","Other", TRUE,"Unknown")</f>
        <v>Female</v>
      </c>
    </row>
    <row r="225" spans="1:15">
      <c r="A225" t="s">
        <v>300</v>
      </c>
      <c r="B225" t="s">
        <v>26</v>
      </c>
      <c r="C225">
        <v>4</v>
      </c>
      <c r="D225">
        <v>62.1</v>
      </c>
      <c r="E225">
        <v>248.4</v>
      </c>
      <c r="F225" s="1">
        <v>45667</v>
      </c>
      <c r="G225" s="1">
        <v>45671</v>
      </c>
      <c r="H225" t="s">
        <v>27</v>
      </c>
      <c r="I225" t="s">
        <v>18</v>
      </c>
      <c r="J225">
        <v>4</v>
      </c>
      <c r="K225" t="s">
        <v>19</v>
      </c>
      <c r="L225" t="s">
        <v>49</v>
      </c>
      <c r="M225">
        <f>orders[[#This Row],[Ship Date]]-orders[[#This Row],[Order Date]]</f>
        <v>4</v>
      </c>
      <c r="N225">
        <f>WEEKNUM(orders[[#This Row],[Order Date]])</f>
        <v>2</v>
      </c>
      <c r="O225" t="str">
        <f>_xlfn.IFS(orders[[#This Row],[Customer Gender]]="M","Male", orders[[#This Row],[Customer Gender]]="F","Female", orders[[#This Row],[Customer Gender]]="O","Other", TRUE,"Unknown")</f>
        <v>Female</v>
      </c>
    </row>
    <row r="226" spans="1:15">
      <c r="A226" t="s">
        <v>301</v>
      </c>
      <c r="B226" t="s">
        <v>76</v>
      </c>
      <c r="C226">
        <v>7</v>
      </c>
      <c r="D226">
        <v>33.1</v>
      </c>
      <c r="E226">
        <v>231.70000000000002</v>
      </c>
      <c r="F226" s="1">
        <v>45667</v>
      </c>
      <c r="G226" s="1">
        <v>45672</v>
      </c>
      <c r="H226" t="s">
        <v>23</v>
      </c>
      <c r="I226" t="s">
        <v>35</v>
      </c>
      <c r="J226">
        <v>4</v>
      </c>
      <c r="K226" t="s">
        <v>19</v>
      </c>
      <c r="L226" t="s">
        <v>55</v>
      </c>
      <c r="M226">
        <f>orders[[#This Row],[Ship Date]]-orders[[#This Row],[Order Date]]</f>
        <v>5</v>
      </c>
      <c r="N226">
        <f>WEEKNUM(orders[[#This Row],[Order Date]])</f>
        <v>2</v>
      </c>
      <c r="O226" t="str">
        <f>_xlfn.IFS(orders[[#This Row],[Customer Gender]]="M","Male", orders[[#This Row],[Customer Gender]]="F","Female", orders[[#This Row],[Customer Gender]]="O","Other", TRUE,"Unknown")</f>
        <v>Male</v>
      </c>
    </row>
    <row r="227" spans="1:15">
      <c r="A227" t="s">
        <v>302</v>
      </c>
      <c r="B227" t="s">
        <v>146</v>
      </c>
      <c r="C227">
        <v>5</v>
      </c>
      <c r="D227">
        <v>35.200000000000003</v>
      </c>
      <c r="E227">
        <v>176</v>
      </c>
      <c r="F227" s="1">
        <v>45667</v>
      </c>
      <c r="G227" s="1">
        <v>45667</v>
      </c>
      <c r="H227" t="s">
        <v>27</v>
      </c>
      <c r="I227" t="s">
        <v>35</v>
      </c>
      <c r="J227">
        <v>4</v>
      </c>
      <c r="K227" t="s">
        <v>19</v>
      </c>
      <c r="L227" t="s">
        <v>55</v>
      </c>
      <c r="M227">
        <f>orders[[#This Row],[Ship Date]]-orders[[#This Row],[Order Date]]</f>
        <v>0</v>
      </c>
      <c r="N227">
        <f>WEEKNUM(orders[[#This Row],[Order Date]])</f>
        <v>2</v>
      </c>
      <c r="O227" t="str">
        <f>_xlfn.IFS(orders[[#This Row],[Customer Gender]]="M","Male", orders[[#This Row],[Customer Gender]]="F","Female", orders[[#This Row],[Customer Gender]]="O","Other", TRUE,"Unknown")</f>
        <v>Female</v>
      </c>
    </row>
    <row r="228" spans="1:15">
      <c r="A228" t="s">
        <v>303</v>
      </c>
      <c r="B228" t="s">
        <v>46</v>
      </c>
      <c r="C228">
        <v>3</v>
      </c>
      <c r="D228">
        <v>32.1</v>
      </c>
      <c r="E228">
        <v>96.300000000000011</v>
      </c>
      <c r="F228" s="1">
        <v>45667</v>
      </c>
      <c r="G228" s="1">
        <v>45672</v>
      </c>
      <c r="H228" t="s">
        <v>23</v>
      </c>
      <c r="I228" t="s">
        <v>51</v>
      </c>
      <c r="J228">
        <v>4</v>
      </c>
      <c r="K228" t="s">
        <v>19</v>
      </c>
      <c r="L228" t="s">
        <v>62</v>
      </c>
      <c r="M228">
        <f>orders[[#This Row],[Ship Date]]-orders[[#This Row],[Order Date]]</f>
        <v>5</v>
      </c>
      <c r="N228">
        <f>WEEKNUM(orders[[#This Row],[Order Date]])</f>
        <v>2</v>
      </c>
      <c r="O228" t="str">
        <f>_xlfn.IFS(orders[[#This Row],[Customer Gender]]="M","Male", orders[[#This Row],[Customer Gender]]="F","Female", orders[[#This Row],[Customer Gender]]="O","Other", TRUE,"Unknown")</f>
        <v>Male</v>
      </c>
    </row>
    <row r="229" spans="1:15">
      <c r="A229" t="s">
        <v>304</v>
      </c>
      <c r="B229" t="s">
        <v>67</v>
      </c>
      <c r="C229">
        <v>1</v>
      </c>
      <c r="D229">
        <v>38.1</v>
      </c>
      <c r="E229">
        <v>38.1</v>
      </c>
      <c r="F229" s="1">
        <v>45667</v>
      </c>
      <c r="G229" s="1">
        <v>45672</v>
      </c>
      <c r="H229" t="s">
        <v>27</v>
      </c>
      <c r="I229" t="s">
        <v>18</v>
      </c>
      <c r="J229">
        <v>5</v>
      </c>
      <c r="K229" t="s">
        <v>19</v>
      </c>
      <c r="L229" t="s">
        <v>62</v>
      </c>
      <c r="M229">
        <f>orders[[#This Row],[Ship Date]]-orders[[#This Row],[Order Date]]</f>
        <v>5</v>
      </c>
      <c r="N229">
        <f>WEEKNUM(orders[[#This Row],[Order Date]])</f>
        <v>2</v>
      </c>
      <c r="O229" t="str">
        <f>_xlfn.IFS(orders[[#This Row],[Customer Gender]]="M","Male", orders[[#This Row],[Customer Gender]]="F","Female", orders[[#This Row],[Customer Gender]]="O","Other", TRUE,"Unknown")</f>
        <v>Female</v>
      </c>
    </row>
    <row r="230" spans="1:15">
      <c r="A230" t="s">
        <v>305</v>
      </c>
      <c r="B230" t="s">
        <v>44</v>
      </c>
      <c r="C230">
        <v>1</v>
      </c>
      <c r="D230">
        <v>65.2</v>
      </c>
      <c r="E230">
        <v>65.2</v>
      </c>
      <c r="F230" s="1">
        <v>45667</v>
      </c>
      <c r="G230" s="1">
        <v>45672</v>
      </c>
      <c r="H230" t="s">
        <v>27</v>
      </c>
      <c r="I230" t="s">
        <v>51</v>
      </c>
      <c r="J230">
        <v>3</v>
      </c>
      <c r="K230" t="s">
        <v>19</v>
      </c>
      <c r="L230" t="s">
        <v>62</v>
      </c>
      <c r="M230">
        <f>orders[[#This Row],[Ship Date]]-orders[[#This Row],[Order Date]]</f>
        <v>5</v>
      </c>
      <c r="N230">
        <f>WEEKNUM(orders[[#This Row],[Order Date]])</f>
        <v>2</v>
      </c>
      <c r="O230" t="str">
        <f>_xlfn.IFS(orders[[#This Row],[Customer Gender]]="M","Male", orders[[#This Row],[Customer Gender]]="F","Female", orders[[#This Row],[Customer Gender]]="O","Other", TRUE,"Unknown")</f>
        <v>Female</v>
      </c>
    </row>
    <row r="231" spans="1:15">
      <c r="A231" t="s">
        <v>306</v>
      </c>
      <c r="B231" t="s">
        <v>54</v>
      </c>
      <c r="C231">
        <v>7</v>
      </c>
      <c r="D231">
        <v>55.2</v>
      </c>
      <c r="E231">
        <v>386.40000000000003</v>
      </c>
      <c r="F231" s="1">
        <v>45667</v>
      </c>
      <c r="G231" s="1">
        <v>45668</v>
      </c>
      <c r="H231" t="s">
        <v>23</v>
      </c>
      <c r="I231" t="s">
        <v>40</v>
      </c>
      <c r="J231">
        <v>4</v>
      </c>
      <c r="K231" t="s">
        <v>19</v>
      </c>
      <c r="L231" t="s">
        <v>77</v>
      </c>
      <c r="M231">
        <f>orders[[#This Row],[Ship Date]]-orders[[#This Row],[Order Date]]</f>
        <v>1</v>
      </c>
      <c r="N231">
        <f>WEEKNUM(orders[[#This Row],[Order Date]])</f>
        <v>2</v>
      </c>
      <c r="O231" t="str">
        <f>_xlfn.IFS(orders[[#This Row],[Customer Gender]]="M","Male", orders[[#This Row],[Customer Gender]]="F","Female", orders[[#This Row],[Customer Gender]]="O","Other", TRUE,"Unknown")</f>
        <v>Male</v>
      </c>
    </row>
    <row r="232" spans="1:15">
      <c r="A232" t="s">
        <v>307</v>
      </c>
      <c r="B232" t="s">
        <v>39</v>
      </c>
      <c r="C232">
        <v>1</v>
      </c>
      <c r="D232">
        <v>62</v>
      </c>
      <c r="E232">
        <v>62</v>
      </c>
      <c r="F232" s="1">
        <v>45667</v>
      </c>
      <c r="G232" s="1">
        <v>45671</v>
      </c>
      <c r="H232" t="s">
        <v>27</v>
      </c>
      <c r="I232" t="s">
        <v>18</v>
      </c>
      <c r="J232">
        <v>4</v>
      </c>
      <c r="K232" t="s">
        <v>19</v>
      </c>
      <c r="L232" t="s">
        <v>77</v>
      </c>
      <c r="M232">
        <f>orders[[#This Row],[Ship Date]]-orders[[#This Row],[Order Date]]</f>
        <v>4</v>
      </c>
      <c r="N232">
        <f>WEEKNUM(orders[[#This Row],[Order Date]])</f>
        <v>2</v>
      </c>
      <c r="O232" t="str">
        <f>_xlfn.IFS(orders[[#This Row],[Customer Gender]]="M","Male", orders[[#This Row],[Customer Gender]]="F","Female", orders[[#This Row],[Customer Gender]]="O","Other", TRUE,"Unknown")</f>
        <v>Female</v>
      </c>
    </row>
    <row r="233" spans="1:15">
      <c r="A233" t="s">
        <v>308</v>
      </c>
      <c r="B233" t="s">
        <v>42</v>
      </c>
      <c r="C233">
        <v>3</v>
      </c>
      <c r="D233">
        <v>45.9</v>
      </c>
      <c r="E233">
        <v>137.69999999999999</v>
      </c>
      <c r="F233" s="1">
        <v>45667</v>
      </c>
      <c r="G233" s="1">
        <v>45668</v>
      </c>
      <c r="H233" t="s">
        <v>27</v>
      </c>
      <c r="I233" t="s">
        <v>40</v>
      </c>
      <c r="J233">
        <v>4</v>
      </c>
      <c r="K233" t="s">
        <v>19</v>
      </c>
      <c r="L233" t="s">
        <v>309</v>
      </c>
      <c r="M233">
        <f>orders[[#This Row],[Ship Date]]-orders[[#This Row],[Order Date]]</f>
        <v>1</v>
      </c>
      <c r="N233">
        <f>WEEKNUM(orders[[#This Row],[Order Date]])</f>
        <v>2</v>
      </c>
      <c r="O233" t="str">
        <f>_xlfn.IFS(orders[[#This Row],[Customer Gender]]="M","Male", orders[[#This Row],[Customer Gender]]="F","Female", orders[[#This Row],[Customer Gender]]="O","Other", TRUE,"Unknown")</f>
        <v>Female</v>
      </c>
    </row>
    <row r="234" spans="1:15">
      <c r="A234" t="s">
        <v>310</v>
      </c>
      <c r="B234" t="s">
        <v>146</v>
      </c>
      <c r="C234">
        <v>3</v>
      </c>
      <c r="D234">
        <v>58.3</v>
      </c>
      <c r="E234">
        <v>174.89999999999998</v>
      </c>
      <c r="F234" s="1">
        <v>45667</v>
      </c>
      <c r="G234" s="1">
        <v>45667</v>
      </c>
      <c r="H234" t="s">
        <v>23</v>
      </c>
      <c r="I234" t="s">
        <v>35</v>
      </c>
      <c r="J234">
        <v>3</v>
      </c>
      <c r="K234" t="s">
        <v>19</v>
      </c>
      <c r="L234" t="s">
        <v>108</v>
      </c>
      <c r="M234">
        <f>orders[[#This Row],[Ship Date]]-orders[[#This Row],[Order Date]]</f>
        <v>0</v>
      </c>
      <c r="N234">
        <f>WEEKNUM(orders[[#This Row],[Order Date]])</f>
        <v>2</v>
      </c>
      <c r="O234" t="str">
        <f>_xlfn.IFS(orders[[#This Row],[Customer Gender]]="M","Male", orders[[#This Row],[Customer Gender]]="F","Female", orders[[#This Row],[Customer Gender]]="O","Other", TRUE,"Unknown")</f>
        <v>Male</v>
      </c>
    </row>
    <row r="235" spans="1:15">
      <c r="A235" t="s">
        <v>311</v>
      </c>
      <c r="B235" t="s">
        <v>44</v>
      </c>
      <c r="C235">
        <v>2</v>
      </c>
      <c r="D235">
        <v>22.3</v>
      </c>
      <c r="E235">
        <v>44.6</v>
      </c>
      <c r="F235" s="1">
        <v>45667</v>
      </c>
      <c r="G235" s="1">
        <v>45670</v>
      </c>
      <c r="H235" t="s">
        <v>27</v>
      </c>
      <c r="I235" t="s">
        <v>18</v>
      </c>
      <c r="J235">
        <v>5</v>
      </c>
      <c r="K235" t="s">
        <v>19</v>
      </c>
      <c r="L235" t="s">
        <v>113</v>
      </c>
      <c r="M235">
        <f>orders[[#This Row],[Ship Date]]-orders[[#This Row],[Order Date]]</f>
        <v>3</v>
      </c>
      <c r="N235">
        <f>WEEKNUM(orders[[#This Row],[Order Date]])</f>
        <v>2</v>
      </c>
      <c r="O235" t="str">
        <f>_xlfn.IFS(orders[[#This Row],[Customer Gender]]="M","Male", orders[[#This Row],[Customer Gender]]="F","Female", orders[[#This Row],[Customer Gender]]="O","Other", TRUE,"Unknown")</f>
        <v>Female</v>
      </c>
    </row>
    <row r="236" spans="1:15">
      <c r="A236" t="s">
        <v>312</v>
      </c>
      <c r="B236" t="s">
        <v>171</v>
      </c>
      <c r="C236">
        <v>5</v>
      </c>
      <c r="D236">
        <v>24</v>
      </c>
      <c r="E236">
        <v>120</v>
      </c>
      <c r="F236" s="1">
        <v>45667</v>
      </c>
      <c r="G236" s="1">
        <v>45668</v>
      </c>
      <c r="H236" t="s">
        <v>23</v>
      </c>
      <c r="I236" t="s">
        <v>70</v>
      </c>
      <c r="J236">
        <v>4</v>
      </c>
      <c r="K236" t="s">
        <v>19</v>
      </c>
      <c r="L236" t="s">
        <v>24</v>
      </c>
      <c r="M236">
        <f>orders[[#This Row],[Ship Date]]-orders[[#This Row],[Order Date]]</f>
        <v>1</v>
      </c>
      <c r="N236">
        <f>WEEKNUM(orders[[#This Row],[Order Date]])</f>
        <v>2</v>
      </c>
      <c r="O236" t="str">
        <f>_xlfn.IFS(orders[[#This Row],[Customer Gender]]="M","Male", orders[[#This Row],[Customer Gender]]="F","Female", orders[[#This Row],[Customer Gender]]="O","Other", TRUE,"Unknown")</f>
        <v>Male</v>
      </c>
    </row>
    <row r="237" spans="1:15">
      <c r="A237" t="s">
        <v>313</v>
      </c>
      <c r="B237" t="s">
        <v>16</v>
      </c>
      <c r="C237">
        <v>10</v>
      </c>
      <c r="D237">
        <v>21.3</v>
      </c>
      <c r="E237">
        <v>213</v>
      </c>
      <c r="F237" s="1">
        <v>45667</v>
      </c>
      <c r="G237" s="1">
        <v>45667</v>
      </c>
      <c r="H237" t="s">
        <v>27</v>
      </c>
      <c r="I237" t="s">
        <v>35</v>
      </c>
      <c r="J237">
        <v>5</v>
      </c>
      <c r="K237" t="s">
        <v>19</v>
      </c>
      <c r="L237" t="s">
        <v>147</v>
      </c>
      <c r="M237">
        <f>orders[[#This Row],[Ship Date]]-orders[[#This Row],[Order Date]]</f>
        <v>0</v>
      </c>
      <c r="N237">
        <f>WEEKNUM(orders[[#This Row],[Order Date]])</f>
        <v>2</v>
      </c>
      <c r="O237" t="str">
        <f>_xlfn.IFS(orders[[#This Row],[Customer Gender]]="M","Male", orders[[#This Row],[Customer Gender]]="F","Female", orders[[#This Row],[Customer Gender]]="O","Other", TRUE,"Unknown")</f>
        <v>Female</v>
      </c>
    </row>
    <row r="238" spans="1:15">
      <c r="A238" t="s">
        <v>314</v>
      </c>
      <c r="B238" t="s">
        <v>39</v>
      </c>
      <c r="C238">
        <v>41</v>
      </c>
      <c r="D238">
        <v>57.8</v>
      </c>
      <c r="E238">
        <v>2369.7999999999997</v>
      </c>
      <c r="F238" s="1">
        <v>45667</v>
      </c>
      <c r="G238" s="1">
        <v>45669</v>
      </c>
      <c r="H238" t="s">
        <v>27</v>
      </c>
      <c r="I238" t="s">
        <v>18</v>
      </c>
      <c r="J238">
        <v>5</v>
      </c>
      <c r="K238" t="s">
        <v>19</v>
      </c>
      <c r="L238" t="s">
        <v>33</v>
      </c>
      <c r="M238">
        <f>orders[[#This Row],[Ship Date]]-orders[[#This Row],[Order Date]]</f>
        <v>2</v>
      </c>
      <c r="N238">
        <f>WEEKNUM(orders[[#This Row],[Order Date]])</f>
        <v>2</v>
      </c>
      <c r="O238" t="str">
        <f>_xlfn.IFS(orders[[#This Row],[Customer Gender]]="M","Male", orders[[#This Row],[Customer Gender]]="F","Female", orders[[#This Row],[Customer Gender]]="O","Other", TRUE,"Unknown")</f>
        <v>Female</v>
      </c>
    </row>
    <row r="239" spans="1:15">
      <c r="A239" t="s">
        <v>315</v>
      </c>
      <c r="B239" t="s">
        <v>54</v>
      </c>
      <c r="C239">
        <v>3</v>
      </c>
      <c r="D239">
        <v>67.599999999999994</v>
      </c>
      <c r="E239">
        <v>202.79999999999998</v>
      </c>
      <c r="F239" s="1">
        <v>45667</v>
      </c>
      <c r="G239" s="1">
        <v>45668</v>
      </c>
      <c r="H239" t="s">
        <v>27</v>
      </c>
      <c r="I239" t="s">
        <v>18</v>
      </c>
      <c r="J239">
        <v>4</v>
      </c>
      <c r="K239" t="s">
        <v>19</v>
      </c>
      <c r="L239" t="s">
        <v>33</v>
      </c>
      <c r="M239">
        <f>orders[[#This Row],[Ship Date]]-orders[[#This Row],[Order Date]]</f>
        <v>1</v>
      </c>
      <c r="N239">
        <f>WEEKNUM(orders[[#This Row],[Order Date]])</f>
        <v>2</v>
      </c>
      <c r="O239" t="str">
        <f>_xlfn.IFS(orders[[#This Row],[Customer Gender]]="M","Male", orders[[#This Row],[Customer Gender]]="F","Female", orders[[#This Row],[Customer Gender]]="O","Other", TRUE,"Unknown")</f>
        <v>Female</v>
      </c>
    </row>
    <row r="240" spans="1:15">
      <c r="A240" t="s">
        <v>316</v>
      </c>
      <c r="B240" t="s">
        <v>39</v>
      </c>
      <c r="C240">
        <v>6</v>
      </c>
      <c r="D240">
        <v>66.7</v>
      </c>
      <c r="E240">
        <v>400.20000000000005</v>
      </c>
      <c r="F240" s="1">
        <v>45667</v>
      </c>
      <c r="G240" s="1">
        <v>45671</v>
      </c>
      <c r="H240" t="s">
        <v>23</v>
      </c>
      <c r="I240" t="s">
        <v>70</v>
      </c>
      <c r="J240">
        <v>3</v>
      </c>
      <c r="K240" t="s">
        <v>19</v>
      </c>
      <c r="L240" t="s">
        <v>33</v>
      </c>
      <c r="M240">
        <f>orders[[#This Row],[Ship Date]]-orders[[#This Row],[Order Date]]</f>
        <v>4</v>
      </c>
      <c r="N240">
        <f>WEEKNUM(orders[[#This Row],[Order Date]])</f>
        <v>2</v>
      </c>
      <c r="O240" t="str">
        <f>_xlfn.IFS(orders[[#This Row],[Customer Gender]]="M","Male", orders[[#This Row],[Customer Gender]]="F","Female", orders[[#This Row],[Customer Gender]]="O","Other", TRUE,"Unknown")</f>
        <v>Male</v>
      </c>
    </row>
    <row r="241" spans="1:15">
      <c r="A241" t="s">
        <v>317</v>
      </c>
      <c r="B241" t="s">
        <v>22</v>
      </c>
      <c r="C241">
        <v>4</v>
      </c>
      <c r="D241">
        <v>53.1</v>
      </c>
      <c r="E241">
        <v>212.4</v>
      </c>
      <c r="F241" s="1">
        <v>45667</v>
      </c>
      <c r="G241" s="1">
        <v>45669</v>
      </c>
      <c r="H241" t="s">
        <v>27</v>
      </c>
      <c r="I241" t="s">
        <v>35</v>
      </c>
      <c r="J241">
        <v>4</v>
      </c>
      <c r="K241" t="s">
        <v>19</v>
      </c>
      <c r="L241" t="s">
        <v>33</v>
      </c>
      <c r="M241">
        <f>orders[[#This Row],[Ship Date]]-orders[[#This Row],[Order Date]]</f>
        <v>2</v>
      </c>
      <c r="N241">
        <f>WEEKNUM(orders[[#This Row],[Order Date]])</f>
        <v>2</v>
      </c>
      <c r="O241" t="str">
        <f>_xlfn.IFS(orders[[#This Row],[Customer Gender]]="M","Male", orders[[#This Row],[Customer Gender]]="F","Female", orders[[#This Row],[Customer Gender]]="O","Other", TRUE,"Unknown")</f>
        <v>Female</v>
      </c>
    </row>
    <row r="242" spans="1:15">
      <c r="A242" t="s">
        <v>318</v>
      </c>
      <c r="B242" t="s">
        <v>69</v>
      </c>
      <c r="C242">
        <v>3</v>
      </c>
      <c r="D242">
        <v>57.4</v>
      </c>
      <c r="E242">
        <v>172.2</v>
      </c>
      <c r="F242" s="1">
        <v>45667</v>
      </c>
      <c r="G242" s="1">
        <v>45670</v>
      </c>
      <c r="H242" t="s">
        <v>27</v>
      </c>
      <c r="I242" t="s">
        <v>18</v>
      </c>
      <c r="J242">
        <v>5</v>
      </c>
      <c r="K242" t="s">
        <v>19</v>
      </c>
      <c r="L242" t="s">
        <v>258</v>
      </c>
      <c r="M242">
        <f>orders[[#This Row],[Ship Date]]-orders[[#This Row],[Order Date]]</f>
        <v>3</v>
      </c>
      <c r="N242">
        <f>WEEKNUM(orders[[#This Row],[Order Date]])</f>
        <v>2</v>
      </c>
      <c r="O242" t="str">
        <f>_xlfn.IFS(orders[[#This Row],[Customer Gender]]="M","Male", orders[[#This Row],[Customer Gender]]="F","Female", orders[[#This Row],[Customer Gender]]="O","Other", TRUE,"Unknown")</f>
        <v>Female</v>
      </c>
    </row>
    <row r="243" spans="1:15">
      <c r="A243" t="s">
        <v>319</v>
      </c>
      <c r="B243" t="s">
        <v>26</v>
      </c>
      <c r="C243">
        <v>5</v>
      </c>
      <c r="D243">
        <v>58.1</v>
      </c>
      <c r="E243">
        <v>290.5</v>
      </c>
      <c r="F243" s="1">
        <v>45667</v>
      </c>
      <c r="G243" s="1">
        <v>45667</v>
      </c>
      <c r="H243" t="s">
        <v>23</v>
      </c>
      <c r="I243" t="s">
        <v>40</v>
      </c>
      <c r="J243">
        <v>5</v>
      </c>
      <c r="K243" t="s">
        <v>19</v>
      </c>
      <c r="L243" t="s">
        <v>55</v>
      </c>
      <c r="M243">
        <f>orders[[#This Row],[Ship Date]]-orders[[#This Row],[Order Date]]</f>
        <v>0</v>
      </c>
      <c r="N243">
        <f>WEEKNUM(orders[[#This Row],[Order Date]])</f>
        <v>2</v>
      </c>
      <c r="O243" t="str">
        <f>_xlfn.IFS(orders[[#This Row],[Customer Gender]]="M","Male", orders[[#This Row],[Customer Gender]]="F","Female", orders[[#This Row],[Customer Gender]]="O","Other", TRUE,"Unknown")</f>
        <v>Male</v>
      </c>
    </row>
    <row r="244" spans="1:15">
      <c r="A244" t="s">
        <v>320</v>
      </c>
      <c r="B244" t="s">
        <v>37</v>
      </c>
      <c r="C244">
        <v>3</v>
      </c>
      <c r="D244">
        <v>31.8</v>
      </c>
      <c r="E244">
        <v>95.4</v>
      </c>
      <c r="F244" s="1">
        <v>45668</v>
      </c>
      <c r="G244" s="1">
        <v>45670</v>
      </c>
      <c r="H244" t="s">
        <v>23</v>
      </c>
      <c r="I244" t="s">
        <v>51</v>
      </c>
      <c r="J244">
        <v>4</v>
      </c>
      <c r="K244" t="s">
        <v>19</v>
      </c>
      <c r="L244" t="s">
        <v>55</v>
      </c>
      <c r="M244">
        <f>orders[[#This Row],[Ship Date]]-orders[[#This Row],[Order Date]]</f>
        <v>2</v>
      </c>
      <c r="N244">
        <f>WEEKNUM(orders[[#This Row],[Order Date]])</f>
        <v>2</v>
      </c>
      <c r="O244" t="str">
        <f>_xlfn.IFS(orders[[#This Row],[Customer Gender]]="M","Male", orders[[#This Row],[Customer Gender]]="F","Female", orders[[#This Row],[Customer Gender]]="O","Other", TRUE,"Unknown")</f>
        <v>Male</v>
      </c>
    </row>
    <row r="245" spans="1:15">
      <c r="A245" t="s">
        <v>321</v>
      </c>
      <c r="B245" t="s">
        <v>32</v>
      </c>
      <c r="C245">
        <v>3</v>
      </c>
      <c r="D245">
        <v>31.5</v>
      </c>
      <c r="E245">
        <v>94.5</v>
      </c>
      <c r="F245" s="1">
        <v>45668</v>
      </c>
      <c r="G245" s="1">
        <v>45671</v>
      </c>
      <c r="H245" t="s">
        <v>23</v>
      </c>
      <c r="I245" t="s">
        <v>18</v>
      </c>
      <c r="J245">
        <v>3</v>
      </c>
      <c r="K245" t="s">
        <v>19</v>
      </c>
      <c r="L245" t="s">
        <v>62</v>
      </c>
      <c r="M245">
        <f>orders[[#This Row],[Ship Date]]-orders[[#This Row],[Order Date]]</f>
        <v>3</v>
      </c>
      <c r="N245">
        <f>WEEKNUM(orders[[#This Row],[Order Date]])</f>
        <v>2</v>
      </c>
      <c r="O245" t="str">
        <f>_xlfn.IFS(orders[[#This Row],[Customer Gender]]="M","Male", orders[[#This Row],[Customer Gender]]="F","Female", orders[[#This Row],[Customer Gender]]="O","Other", TRUE,"Unknown")</f>
        <v>Male</v>
      </c>
    </row>
    <row r="246" spans="1:15">
      <c r="A246" t="s">
        <v>322</v>
      </c>
      <c r="B246" t="s">
        <v>39</v>
      </c>
      <c r="C246">
        <v>7</v>
      </c>
      <c r="D246">
        <v>55.9</v>
      </c>
      <c r="E246">
        <v>391.3</v>
      </c>
      <c r="F246" s="1">
        <v>45668</v>
      </c>
      <c r="G246" s="1">
        <v>45672</v>
      </c>
      <c r="H246" t="s">
        <v>27</v>
      </c>
      <c r="I246" t="s">
        <v>35</v>
      </c>
      <c r="J246">
        <v>5</v>
      </c>
      <c r="K246" t="s">
        <v>19</v>
      </c>
      <c r="L246" t="s">
        <v>62</v>
      </c>
      <c r="M246">
        <f>orders[[#This Row],[Ship Date]]-orders[[#This Row],[Order Date]]</f>
        <v>4</v>
      </c>
      <c r="N246">
        <f>WEEKNUM(orders[[#This Row],[Order Date]])</f>
        <v>2</v>
      </c>
      <c r="O246" t="str">
        <f>_xlfn.IFS(orders[[#This Row],[Customer Gender]]="M","Male", orders[[#This Row],[Customer Gender]]="F","Female", orders[[#This Row],[Customer Gender]]="O","Other", TRUE,"Unknown")</f>
        <v>Female</v>
      </c>
    </row>
    <row r="247" spans="1:15">
      <c r="A247" t="s">
        <v>323</v>
      </c>
      <c r="B247" t="s">
        <v>44</v>
      </c>
      <c r="C247">
        <v>2</v>
      </c>
      <c r="D247">
        <v>36.4</v>
      </c>
      <c r="E247">
        <v>72.8</v>
      </c>
      <c r="F247" s="1">
        <v>45668</v>
      </c>
      <c r="G247" s="1">
        <v>45669</v>
      </c>
      <c r="H247" t="s">
        <v>23</v>
      </c>
      <c r="I247" t="s">
        <v>35</v>
      </c>
      <c r="J247">
        <v>3</v>
      </c>
      <c r="K247" t="s">
        <v>19</v>
      </c>
      <c r="L247" t="s">
        <v>72</v>
      </c>
      <c r="M247">
        <f>orders[[#This Row],[Ship Date]]-orders[[#This Row],[Order Date]]</f>
        <v>1</v>
      </c>
      <c r="N247">
        <f>WEEKNUM(orders[[#This Row],[Order Date]])</f>
        <v>2</v>
      </c>
      <c r="O247" t="str">
        <f>_xlfn.IFS(orders[[#This Row],[Customer Gender]]="M","Male", orders[[#This Row],[Customer Gender]]="F","Female", orders[[#This Row],[Customer Gender]]="O","Other", TRUE,"Unknown")</f>
        <v>Male</v>
      </c>
    </row>
    <row r="248" spans="1:15">
      <c r="A248" t="s">
        <v>324</v>
      </c>
      <c r="B248" t="s">
        <v>22</v>
      </c>
      <c r="C248">
        <v>5</v>
      </c>
      <c r="D248">
        <v>47.3</v>
      </c>
      <c r="E248">
        <v>236.5</v>
      </c>
      <c r="F248" s="1">
        <v>45668</v>
      </c>
      <c r="G248" s="1">
        <v>45671</v>
      </c>
      <c r="H248" t="s">
        <v>23</v>
      </c>
      <c r="I248" t="s">
        <v>40</v>
      </c>
      <c r="J248">
        <v>4</v>
      </c>
      <c r="K248" t="s">
        <v>19</v>
      </c>
      <c r="L248" t="s">
        <v>74</v>
      </c>
      <c r="M248">
        <f>orders[[#This Row],[Ship Date]]-orders[[#This Row],[Order Date]]</f>
        <v>3</v>
      </c>
      <c r="N248">
        <f>WEEKNUM(orders[[#This Row],[Order Date]])</f>
        <v>2</v>
      </c>
      <c r="O248" t="str">
        <f>_xlfn.IFS(orders[[#This Row],[Customer Gender]]="M","Male", orders[[#This Row],[Customer Gender]]="F","Female", orders[[#This Row],[Customer Gender]]="O","Other", TRUE,"Unknown")</f>
        <v>Male</v>
      </c>
    </row>
    <row r="249" spans="1:15">
      <c r="A249" t="s">
        <v>325</v>
      </c>
      <c r="B249" t="s">
        <v>39</v>
      </c>
      <c r="C249">
        <v>3</v>
      </c>
      <c r="D249">
        <v>82.5</v>
      </c>
      <c r="E249">
        <v>247.5</v>
      </c>
      <c r="F249" s="1">
        <v>45668</v>
      </c>
      <c r="G249" s="1">
        <v>45669</v>
      </c>
      <c r="H249" t="s">
        <v>23</v>
      </c>
      <c r="I249" t="s">
        <v>18</v>
      </c>
      <c r="J249">
        <v>4</v>
      </c>
      <c r="K249" t="s">
        <v>19</v>
      </c>
      <c r="L249" t="s">
        <v>77</v>
      </c>
      <c r="M249">
        <f>orders[[#This Row],[Ship Date]]-orders[[#This Row],[Order Date]]</f>
        <v>1</v>
      </c>
      <c r="N249">
        <f>WEEKNUM(orders[[#This Row],[Order Date]])</f>
        <v>2</v>
      </c>
      <c r="O249" t="str">
        <f>_xlfn.IFS(orders[[#This Row],[Customer Gender]]="M","Male", orders[[#This Row],[Customer Gender]]="F","Female", orders[[#This Row],[Customer Gender]]="O","Other", TRUE,"Unknown")</f>
        <v>Male</v>
      </c>
    </row>
    <row r="250" spans="1:15">
      <c r="A250" t="s">
        <v>326</v>
      </c>
      <c r="B250" t="s">
        <v>16</v>
      </c>
      <c r="C250">
        <v>1</v>
      </c>
      <c r="D250">
        <v>14.3</v>
      </c>
      <c r="E250">
        <v>14.3</v>
      </c>
      <c r="F250" s="1">
        <v>45668</v>
      </c>
      <c r="G250" s="1">
        <v>45669</v>
      </c>
      <c r="H250" t="s">
        <v>27</v>
      </c>
      <c r="I250" t="s">
        <v>18</v>
      </c>
      <c r="J250">
        <v>4</v>
      </c>
      <c r="K250" t="s">
        <v>19</v>
      </c>
      <c r="L250" t="s">
        <v>115</v>
      </c>
      <c r="M250">
        <f>orders[[#This Row],[Ship Date]]-orders[[#This Row],[Order Date]]</f>
        <v>1</v>
      </c>
      <c r="N250">
        <f>WEEKNUM(orders[[#This Row],[Order Date]])</f>
        <v>2</v>
      </c>
      <c r="O250" t="str">
        <f>_xlfn.IFS(orders[[#This Row],[Customer Gender]]="M","Male", orders[[#This Row],[Customer Gender]]="F","Female", orders[[#This Row],[Customer Gender]]="O","Other", TRUE,"Unknown")</f>
        <v>Female</v>
      </c>
    </row>
    <row r="251" spans="1:15">
      <c r="A251" t="s">
        <v>327</v>
      </c>
      <c r="B251" t="s">
        <v>26</v>
      </c>
      <c r="C251">
        <v>6</v>
      </c>
      <c r="D251">
        <v>57.6</v>
      </c>
      <c r="E251">
        <v>345.6</v>
      </c>
      <c r="F251" s="1">
        <v>45668</v>
      </c>
      <c r="G251" s="1">
        <v>45682</v>
      </c>
      <c r="H251" t="s">
        <v>27</v>
      </c>
      <c r="I251" t="s">
        <v>18</v>
      </c>
      <c r="J251">
        <v>4</v>
      </c>
      <c r="K251" t="s">
        <v>19</v>
      </c>
      <c r="L251" t="s">
        <v>115</v>
      </c>
      <c r="M251">
        <f>orders[[#This Row],[Ship Date]]-orders[[#This Row],[Order Date]]</f>
        <v>14</v>
      </c>
      <c r="N251">
        <f>WEEKNUM(orders[[#This Row],[Order Date]])</f>
        <v>2</v>
      </c>
      <c r="O251" t="str">
        <f>_xlfn.IFS(orders[[#This Row],[Customer Gender]]="M","Male", orders[[#This Row],[Customer Gender]]="F","Female", orders[[#This Row],[Customer Gender]]="O","Other", TRUE,"Unknown")</f>
        <v>Female</v>
      </c>
    </row>
    <row r="252" spans="1:15">
      <c r="A252" t="s">
        <v>328</v>
      </c>
      <c r="B252" t="s">
        <v>26</v>
      </c>
      <c r="C252">
        <v>3</v>
      </c>
      <c r="D252">
        <v>142.4</v>
      </c>
      <c r="E252">
        <v>427.20000000000005</v>
      </c>
      <c r="F252" s="1">
        <v>45668</v>
      </c>
      <c r="G252" s="1">
        <v>45670</v>
      </c>
      <c r="H252" t="s">
        <v>23</v>
      </c>
      <c r="I252" t="s">
        <v>70</v>
      </c>
      <c r="J252">
        <v>3</v>
      </c>
      <c r="K252" t="s">
        <v>19</v>
      </c>
      <c r="L252" t="s">
        <v>115</v>
      </c>
      <c r="M252">
        <f>orders[[#This Row],[Ship Date]]-orders[[#This Row],[Order Date]]</f>
        <v>2</v>
      </c>
      <c r="N252">
        <f>WEEKNUM(orders[[#This Row],[Order Date]])</f>
        <v>2</v>
      </c>
      <c r="O252" t="str">
        <f>_xlfn.IFS(orders[[#This Row],[Customer Gender]]="M","Male", orders[[#This Row],[Customer Gender]]="F","Female", orders[[#This Row],[Customer Gender]]="O","Other", TRUE,"Unknown")</f>
        <v>Male</v>
      </c>
    </row>
    <row r="253" spans="1:15">
      <c r="A253" t="s">
        <v>329</v>
      </c>
      <c r="B253" t="s">
        <v>69</v>
      </c>
      <c r="C253">
        <v>1</v>
      </c>
      <c r="D253">
        <v>30.2</v>
      </c>
      <c r="E253">
        <v>30.2</v>
      </c>
      <c r="F253" s="1">
        <v>45668</v>
      </c>
      <c r="G253" s="1">
        <v>45672</v>
      </c>
      <c r="H253" t="s">
        <v>23</v>
      </c>
      <c r="I253" t="s">
        <v>35</v>
      </c>
      <c r="J253">
        <v>5</v>
      </c>
      <c r="K253" t="s">
        <v>19</v>
      </c>
      <c r="L253" t="s">
        <v>28</v>
      </c>
      <c r="M253">
        <f>orders[[#This Row],[Ship Date]]-orders[[#This Row],[Order Date]]</f>
        <v>4</v>
      </c>
      <c r="N253">
        <f>WEEKNUM(orders[[#This Row],[Order Date]])</f>
        <v>2</v>
      </c>
      <c r="O253" t="str">
        <f>_xlfn.IFS(orders[[#This Row],[Customer Gender]]="M","Male", orders[[#This Row],[Customer Gender]]="F","Female", orders[[#This Row],[Customer Gender]]="O","Other", TRUE,"Unknown")</f>
        <v>Male</v>
      </c>
    </row>
    <row r="254" spans="1:15">
      <c r="A254" t="s">
        <v>330</v>
      </c>
      <c r="B254" t="s">
        <v>146</v>
      </c>
      <c r="C254">
        <v>3</v>
      </c>
      <c r="D254">
        <v>65.3</v>
      </c>
      <c r="E254">
        <v>195.89999999999998</v>
      </c>
      <c r="F254" s="1">
        <v>45668</v>
      </c>
      <c r="G254" s="1">
        <v>45669</v>
      </c>
      <c r="H254" t="s">
        <v>89</v>
      </c>
      <c r="I254" t="s">
        <v>35</v>
      </c>
      <c r="J254">
        <v>4</v>
      </c>
      <c r="K254" t="s">
        <v>19</v>
      </c>
      <c r="L254" t="s">
        <v>331</v>
      </c>
      <c r="M254">
        <f>orders[[#This Row],[Ship Date]]-orders[[#This Row],[Order Date]]</f>
        <v>1</v>
      </c>
      <c r="N254">
        <f>WEEKNUM(orders[[#This Row],[Order Date]])</f>
        <v>2</v>
      </c>
      <c r="O254" t="str">
        <f>_xlfn.IFS(orders[[#This Row],[Customer Gender]]="M","Male", orders[[#This Row],[Customer Gender]]="F","Female", orders[[#This Row],[Customer Gender]]="O","Other", TRUE,"Unknown")</f>
        <v>Other</v>
      </c>
    </row>
    <row r="255" spans="1:15">
      <c r="A255" t="s">
        <v>332</v>
      </c>
      <c r="B255" t="s">
        <v>16</v>
      </c>
      <c r="C255">
        <v>2</v>
      </c>
      <c r="D255">
        <v>33.4</v>
      </c>
      <c r="E255">
        <v>66.8</v>
      </c>
      <c r="F255" s="1">
        <v>45668</v>
      </c>
      <c r="G255" s="1">
        <v>45669</v>
      </c>
      <c r="H255" t="s">
        <v>23</v>
      </c>
      <c r="I255" t="s">
        <v>35</v>
      </c>
      <c r="J255">
        <v>3</v>
      </c>
      <c r="K255" t="s">
        <v>19</v>
      </c>
      <c r="L255" t="s">
        <v>147</v>
      </c>
      <c r="M255">
        <f>orders[[#This Row],[Ship Date]]-orders[[#This Row],[Order Date]]</f>
        <v>1</v>
      </c>
      <c r="N255">
        <f>WEEKNUM(orders[[#This Row],[Order Date]])</f>
        <v>2</v>
      </c>
      <c r="O255" t="str">
        <f>_xlfn.IFS(orders[[#This Row],[Customer Gender]]="M","Male", orders[[#This Row],[Customer Gender]]="F","Female", orders[[#This Row],[Customer Gender]]="O","Other", TRUE,"Unknown")</f>
        <v>Male</v>
      </c>
    </row>
    <row r="256" spans="1:15">
      <c r="A256" t="s">
        <v>333</v>
      </c>
      <c r="B256" t="s">
        <v>42</v>
      </c>
      <c r="C256">
        <v>2</v>
      </c>
      <c r="D256">
        <v>45.1</v>
      </c>
      <c r="E256">
        <v>90.2</v>
      </c>
      <c r="F256" s="1">
        <v>45668</v>
      </c>
      <c r="G256" s="1">
        <v>45676</v>
      </c>
      <c r="H256" t="s">
        <v>23</v>
      </c>
      <c r="I256" t="s">
        <v>18</v>
      </c>
      <c r="J256">
        <v>4</v>
      </c>
      <c r="K256" t="s">
        <v>19</v>
      </c>
      <c r="L256" t="s">
        <v>334</v>
      </c>
      <c r="M256">
        <f>orders[[#This Row],[Ship Date]]-orders[[#This Row],[Order Date]]</f>
        <v>8</v>
      </c>
      <c r="N256">
        <f>WEEKNUM(orders[[#This Row],[Order Date]])</f>
        <v>2</v>
      </c>
      <c r="O256" t="str">
        <f>_xlfn.IFS(orders[[#This Row],[Customer Gender]]="M","Male", orders[[#This Row],[Customer Gender]]="F","Female", orders[[#This Row],[Customer Gender]]="O","Other", TRUE,"Unknown")</f>
        <v>Male</v>
      </c>
    </row>
    <row r="257" spans="1:15">
      <c r="A257" t="s">
        <v>335</v>
      </c>
      <c r="B257" t="s">
        <v>26</v>
      </c>
      <c r="C257">
        <v>7</v>
      </c>
      <c r="D257">
        <v>61.7</v>
      </c>
      <c r="E257">
        <v>431.90000000000003</v>
      </c>
      <c r="F257" s="1">
        <v>45668</v>
      </c>
      <c r="G257" s="1">
        <v>45670</v>
      </c>
      <c r="H257" t="s">
        <v>27</v>
      </c>
      <c r="I257" t="s">
        <v>70</v>
      </c>
      <c r="J257">
        <v>4</v>
      </c>
      <c r="K257" t="s">
        <v>19</v>
      </c>
      <c r="L257" t="s">
        <v>33</v>
      </c>
      <c r="M257">
        <f>orders[[#This Row],[Ship Date]]-orders[[#This Row],[Order Date]]</f>
        <v>2</v>
      </c>
      <c r="N257">
        <f>WEEKNUM(orders[[#This Row],[Order Date]])</f>
        <v>2</v>
      </c>
      <c r="O257" t="str">
        <f>_xlfn.IFS(orders[[#This Row],[Customer Gender]]="M","Male", orders[[#This Row],[Customer Gender]]="F","Female", orders[[#This Row],[Customer Gender]]="O","Other", TRUE,"Unknown")</f>
        <v>Female</v>
      </c>
    </row>
    <row r="258" spans="1:15">
      <c r="A258" t="s">
        <v>336</v>
      </c>
      <c r="B258" t="s">
        <v>46</v>
      </c>
      <c r="C258">
        <v>3</v>
      </c>
      <c r="D258">
        <v>45.1</v>
      </c>
      <c r="E258">
        <v>135.30000000000001</v>
      </c>
      <c r="F258" s="1">
        <v>45669</v>
      </c>
      <c r="G258" s="1">
        <v>45670</v>
      </c>
      <c r="H258" t="s">
        <v>23</v>
      </c>
      <c r="I258" t="s">
        <v>70</v>
      </c>
      <c r="J258">
        <v>3</v>
      </c>
      <c r="K258" t="s">
        <v>19</v>
      </c>
      <c r="L258" t="s">
        <v>33</v>
      </c>
      <c r="M258">
        <f>orders[[#This Row],[Ship Date]]-orders[[#This Row],[Order Date]]</f>
        <v>1</v>
      </c>
      <c r="N258">
        <f>WEEKNUM(orders[[#This Row],[Order Date]])</f>
        <v>3</v>
      </c>
      <c r="O258" t="str">
        <f>_xlfn.IFS(orders[[#This Row],[Customer Gender]]="M","Male", orders[[#This Row],[Customer Gender]]="F","Female", orders[[#This Row],[Customer Gender]]="O","Other", TRUE,"Unknown")</f>
        <v>Male</v>
      </c>
    </row>
    <row r="259" spans="1:15">
      <c r="A259" t="s">
        <v>337</v>
      </c>
      <c r="B259" t="s">
        <v>123</v>
      </c>
      <c r="C259">
        <v>5</v>
      </c>
      <c r="D259">
        <v>22.7</v>
      </c>
      <c r="E259">
        <v>113.5</v>
      </c>
      <c r="F259" s="1">
        <v>45669</v>
      </c>
      <c r="G259" s="1">
        <v>45674</v>
      </c>
      <c r="H259" t="s">
        <v>23</v>
      </c>
      <c r="I259" t="s">
        <v>18</v>
      </c>
      <c r="J259">
        <v>5</v>
      </c>
      <c r="K259" t="s">
        <v>19</v>
      </c>
      <c r="L259" t="s">
        <v>338</v>
      </c>
      <c r="M259">
        <f>orders[[#This Row],[Ship Date]]-orders[[#This Row],[Order Date]]</f>
        <v>5</v>
      </c>
      <c r="N259">
        <f>WEEKNUM(orders[[#This Row],[Order Date]])</f>
        <v>3</v>
      </c>
      <c r="O259" t="str">
        <f>_xlfn.IFS(orders[[#This Row],[Customer Gender]]="M","Male", orders[[#This Row],[Customer Gender]]="F","Female", orders[[#This Row],[Customer Gender]]="O","Other", TRUE,"Unknown")</f>
        <v>Male</v>
      </c>
    </row>
    <row r="260" spans="1:15">
      <c r="A260" t="s">
        <v>339</v>
      </c>
      <c r="B260" t="s">
        <v>44</v>
      </c>
      <c r="C260">
        <v>1</v>
      </c>
      <c r="D260">
        <v>17.600000000000001</v>
      </c>
      <c r="E260">
        <v>17.600000000000001</v>
      </c>
      <c r="F260" s="1">
        <v>45669</v>
      </c>
      <c r="G260" s="1">
        <v>45670</v>
      </c>
      <c r="H260" t="s">
        <v>27</v>
      </c>
      <c r="I260" t="s">
        <v>18</v>
      </c>
      <c r="J260">
        <v>5</v>
      </c>
      <c r="K260" t="s">
        <v>19</v>
      </c>
      <c r="L260" t="s">
        <v>158</v>
      </c>
      <c r="M260">
        <f>orders[[#This Row],[Ship Date]]-orders[[#This Row],[Order Date]]</f>
        <v>1</v>
      </c>
      <c r="N260">
        <f>WEEKNUM(orders[[#This Row],[Order Date]])</f>
        <v>3</v>
      </c>
      <c r="O260" t="str">
        <f>_xlfn.IFS(orders[[#This Row],[Customer Gender]]="M","Male", orders[[#This Row],[Customer Gender]]="F","Female", orders[[#This Row],[Customer Gender]]="O","Other", TRUE,"Unknown")</f>
        <v>Female</v>
      </c>
    </row>
    <row r="261" spans="1:15">
      <c r="A261" t="s">
        <v>340</v>
      </c>
      <c r="B261" t="s">
        <v>81</v>
      </c>
      <c r="C261">
        <v>2</v>
      </c>
      <c r="D261">
        <v>11.3</v>
      </c>
      <c r="E261">
        <v>22.6</v>
      </c>
      <c r="F261" s="1">
        <v>45669</v>
      </c>
      <c r="G261" s="1">
        <v>45672</v>
      </c>
      <c r="H261" t="s">
        <v>27</v>
      </c>
      <c r="I261" t="s">
        <v>51</v>
      </c>
      <c r="J261">
        <v>5</v>
      </c>
      <c r="K261" t="s">
        <v>19</v>
      </c>
      <c r="L261" t="s">
        <v>158</v>
      </c>
      <c r="M261">
        <f>orders[[#This Row],[Ship Date]]-orders[[#This Row],[Order Date]]</f>
        <v>3</v>
      </c>
      <c r="N261">
        <f>WEEKNUM(orders[[#This Row],[Order Date]])</f>
        <v>3</v>
      </c>
      <c r="O261" t="str">
        <f>_xlfn.IFS(orders[[#This Row],[Customer Gender]]="M","Male", orders[[#This Row],[Customer Gender]]="F","Female", orders[[#This Row],[Customer Gender]]="O","Other", TRUE,"Unknown")</f>
        <v>Female</v>
      </c>
    </row>
    <row r="262" spans="1:15">
      <c r="A262" t="s">
        <v>341</v>
      </c>
      <c r="B262" t="s">
        <v>39</v>
      </c>
      <c r="C262">
        <v>3</v>
      </c>
      <c r="D262">
        <v>53.4</v>
      </c>
      <c r="E262">
        <v>160.19999999999999</v>
      </c>
      <c r="F262" s="1">
        <v>45669</v>
      </c>
      <c r="G262" s="1">
        <v>45672</v>
      </c>
      <c r="H262" t="s">
        <v>23</v>
      </c>
      <c r="I262" t="s">
        <v>51</v>
      </c>
      <c r="J262">
        <v>5</v>
      </c>
      <c r="K262" t="s">
        <v>19</v>
      </c>
      <c r="L262" t="s">
        <v>342</v>
      </c>
      <c r="M262">
        <f>orders[[#This Row],[Ship Date]]-orders[[#This Row],[Order Date]]</f>
        <v>3</v>
      </c>
      <c r="N262">
        <f>WEEKNUM(orders[[#This Row],[Order Date]])</f>
        <v>3</v>
      </c>
      <c r="O262" t="str">
        <f>_xlfn.IFS(orders[[#This Row],[Customer Gender]]="M","Male", orders[[#This Row],[Customer Gender]]="F","Female", orders[[#This Row],[Customer Gender]]="O","Other", TRUE,"Unknown")</f>
        <v>Male</v>
      </c>
    </row>
    <row r="263" spans="1:15">
      <c r="A263" t="s">
        <v>343</v>
      </c>
      <c r="B263" t="s">
        <v>39</v>
      </c>
      <c r="C263">
        <v>11</v>
      </c>
      <c r="D263">
        <v>51.1</v>
      </c>
      <c r="E263">
        <v>562.1</v>
      </c>
      <c r="F263" s="1">
        <v>45669</v>
      </c>
      <c r="G263" s="1">
        <v>45671</v>
      </c>
      <c r="H263" t="s">
        <v>27</v>
      </c>
      <c r="I263" t="s">
        <v>40</v>
      </c>
      <c r="J263">
        <v>5</v>
      </c>
      <c r="K263" t="s">
        <v>19</v>
      </c>
      <c r="L263" t="s">
        <v>62</v>
      </c>
      <c r="M263">
        <f>orders[[#This Row],[Ship Date]]-orders[[#This Row],[Order Date]]</f>
        <v>2</v>
      </c>
      <c r="N263">
        <f>WEEKNUM(orders[[#This Row],[Order Date]])</f>
        <v>3</v>
      </c>
      <c r="O263" t="str">
        <f>_xlfn.IFS(orders[[#This Row],[Customer Gender]]="M","Male", orders[[#This Row],[Customer Gender]]="F","Female", orders[[#This Row],[Customer Gender]]="O","Other", TRUE,"Unknown")</f>
        <v>Female</v>
      </c>
    </row>
    <row r="264" spans="1:15">
      <c r="A264" t="s">
        <v>344</v>
      </c>
      <c r="B264" t="s">
        <v>44</v>
      </c>
      <c r="C264">
        <v>2</v>
      </c>
      <c r="D264">
        <v>27.5</v>
      </c>
      <c r="E264">
        <v>55</v>
      </c>
      <c r="F264" s="1">
        <v>45669</v>
      </c>
      <c r="G264" s="1">
        <v>45670</v>
      </c>
      <c r="H264" t="s">
        <v>23</v>
      </c>
      <c r="I264" t="s">
        <v>70</v>
      </c>
      <c r="J264">
        <v>3</v>
      </c>
      <c r="K264" t="s">
        <v>19</v>
      </c>
      <c r="L264" t="s">
        <v>62</v>
      </c>
      <c r="M264">
        <f>orders[[#This Row],[Ship Date]]-orders[[#This Row],[Order Date]]</f>
        <v>1</v>
      </c>
      <c r="N264">
        <f>WEEKNUM(orders[[#This Row],[Order Date]])</f>
        <v>3</v>
      </c>
      <c r="O264" t="str">
        <f>_xlfn.IFS(orders[[#This Row],[Customer Gender]]="M","Male", orders[[#This Row],[Customer Gender]]="F","Female", orders[[#This Row],[Customer Gender]]="O","Other", TRUE,"Unknown")</f>
        <v>Male</v>
      </c>
    </row>
    <row r="265" spans="1:15">
      <c r="A265" t="s">
        <v>345</v>
      </c>
      <c r="B265" t="s">
        <v>46</v>
      </c>
      <c r="C265">
        <v>1</v>
      </c>
      <c r="D265">
        <v>33.5</v>
      </c>
      <c r="E265">
        <v>33.5</v>
      </c>
      <c r="F265" s="1">
        <v>45669</v>
      </c>
      <c r="G265" s="1">
        <v>45671</v>
      </c>
      <c r="H265" t="s">
        <v>27</v>
      </c>
      <c r="I265" t="s">
        <v>18</v>
      </c>
      <c r="J265">
        <v>2</v>
      </c>
      <c r="K265" t="s">
        <v>19</v>
      </c>
      <c r="L265" t="s">
        <v>62</v>
      </c>
      <c r="M265">
        <f>orders[[#This Row],[Ship Date]]-orders[[#This Row],[Order Date]]</f>
        <v>2</v>
      </c>
      <c r="N265">
        <f>WEEKNUM(orders[[#This Row],[Order Date]])</f>
        <v>3</v>
      </c>
      <c r="O265" t="str">
        <f>_xlfn.IFS(orders[[#This Row],[Customer Gender]]="M","Male", orders[[#This Row],[Customer Gender]]="F","Female", orders[[#This Row],[Customer Gender]]="O","Other", TRUE,"Unknown")</f>
        <v>Female</v>
      </c>
    </row>
    <row r="266" spans="1:15">
      <c r="A266" t="s">
        <v>346</v>
      </c>
      <c r="B266" t="s">
        <v>32</v>
      </c>
      <c r="C266">
        <v>1</v>
      </c>
      <c r="D266">
        <v>59.5</v>
      </c>
      <c r="E266">
        <v>59.5</v>
      </c>
      <c r="F266" s="1">
        <v>45669</v>
      </c>
      <c r="G266" s="1">
        <v>45669</v>
      </c>
      <c r="H266" t="s">
        <v>23</v>
      </c>
      <c r="I266" t="s">
        <v>18</v>
      </c>
      <c r="J266">
        <v>5</v>
      </c>
      <c r="K266" t="s">
        <v>19</v>
      </c>
      <c r="L266" t="s">
        <v>108</v>
      </c>
      <c r="M266">
        <f>orders[[#This Row],[Ship Date]]-orders[[#This Row],[Order Date]]</f>
        <v>0</v>
      </c>
      <c r="N266">
        <f>WEEKNUM(orders[[#This Row],[Order Date]])</f>
        <v>3</v>
      </c>
      <c r="O266" t="str">
        <f>_xlfn.IFS(orders[[#This Row],[Customer Gender]]="M","Male", orders[[#This Row],[Customer Gender]]="F","Female", orders[[#This Row],[Customer Gender]]="O","Other", TRUE,"Unknown")</f>
        <v>Male</v>
      </c>
    </row>
    <row r="267" spans="1:15">
      <c r="A267" t="s">
        <v>347</v>
      </c>
      <c r="B267" t="s">
        <v>135</v>
      </c>
      <c r="C267">
        <v>4</v>
      </c>
      <c r="D267">
        <v>23.5</v>
      </c>
      <c r="E267">
        <v>94</v>
      </c>
      <c r="F267" s="1">
        <v>45669</v>
      </c>
      <c r="G267" s="1">
        <v>45670</v>
      </c>
      <c r="H267" t="s">
        <v>27</v>
      </c>
      <c r="I267" t="s">
        <v>51</v>
      </c>
      <c r="J267">
        <v>1</v>
      </c>
      <c r="K267" t="s">
        <v>19</v>
      </c>
      <c r="L267" t="s">
        <v>110</v>
      </c>
      <c r="M267">
        <f>orders[[#This Row],[Ship Date]]-orders[[#This Row],[Order Date]]</f>
        <v>1</v>
      </c>
      <c r="N267">
        <f>WEEKNUM(orders[[#This Row],[Order Date]])</f>
        <v>3</v>
      </c>
      <c r="O267" t="str">
        <f>_xlfn.IFS(orders[[#This Row],[Customer Gender]]="M","Male", orders[[#This Row],[Customer Gender]]="F","Female", orders[[#This Row],[Customer Gender]]="O","Other", TRUE,"Unknown")</f>
        <v>Female</v>
      </c>
    </row>
    <row r="268" spans="1:15">
      <c r="A268" t="s">
        <v>348</v>
      </c>
      <c r="B268" t="s">
        <v>39</v>
      </c>
      <c r="C268">
        <v>1</v>
      </c>
      <c r="D268">
        <v>49.7</v>
      </c>
      <c r="E268">
        <v>49.7</v>
      </c>
      <c r="F268" s="1">
        <v>45669</v>
      </c>
      <c r="G268" s="1">
        <v>45670</v>
      </c>
      <c r="H268" t="s">
        <v>17</v>
      </c>
      <c r="I268" t="s">
        <v>35</v>
      </c>
      <c r="J268">
        <v>5</v>
      </c>
      <c r="K268" t="s">
        <v>19</v>
      </c>
      <c r="L268" t="s">
        <v>113</v>
      </c>
      <c r="M268">
        <f>orders[[#This Row],[Ship Date]]-orders[[#This Row],[Order Date]]</f>
        <v>1</v>
      </c>
      <c r="N268">
        <f>WEEKNUM(orders[[#This Row],[Order Date]])</f>
        <v>3</v>
      </c>
      <c r="O268" t="str">
        <f>_xlfn.IFS(orders[[#This Row],[Customer Gender]]="M","Male", orders[[#This Row],[Customer Gender]]="F","Female", orders[[#This Row],[Customer Gender]]="O","Other", TRUE,"Unknown")</f>
        <v>Unknown</v>
      </c>
    </row>
    <row r="269" spans="1:15">
      <c r="A269" t="s">
        <v>349</v>
      </c>
      <c r="B269" t="s">
        <v>39</v>
      </c>
      <c r="C269">
        <v>4</v>
      </c>
      <c r="D269">
        <v>44.2</v>
      </c>
      <c r="E269">
        <v>176.8</v>
      </c>
      <c r="F269" s="1">
        <v>45669</v>
      </c>
      <c r="G269" s="1">
        <v>45672</v>
      </c>
      <c r="H269" t="s">
        <v>27</v>
      </c>
      <c r="I269" t="s">
        <v>18</v>
      </c>
      <c r="J269">
        <v>5</v>
      </c>
      <c r="K269" t="s">
        <v>19</v>
      </c>
      <c r="L269" t="s">
        <v>115</v>
      </c>
      <c r="M269">
        <f>orders[[#This Row],[Ship Date]]-orders[[#This Row],[Order Date]]</f>
        <v>3</v>
      </c>
      <c r="N269">
        <f>WEEKNUM(orders[[#This Row],[Order Date]])</f>
        <v>3</v>
      </c>
      <c r="O269" t="str">
        <f>_xlfn.IFS(orders[[#This Row],[Customer Gender]]="M","Male", orders[[#This Row],[Customer Gender]]="F","Female", orders[[#This Row],[Customer Gender]]="O","Other", TRUE,"Unknown")</f>
        <v>Female</v>
      </c>
    </row>
    <row r="270" spans="1:15">
      <c r="A270" t="s">
        <v>350</v>
      </c>
      <c r="B270" t="s">
        <v>44</v>
      </c>
      <c r="C270">
        <v>1</v>
      </c>
      <c r="D270">
        <v>22.1</v>
      </c>
      <c r="E270">
        <v>22.1</v>
      </c>
      <c r="F270" s="1">
        <v>45669</v>
      </c>
      <c r="G270" s="1">
        <v>45673</v>
      </c>
      <c r="H270" t="s">
        <v>27</v>
      </c>
      <c r="I270" t="s">
        <v>35</v>
      </c>
      <c r="J270">
        <v>3</v>
      </c>
      <c r="K270" t="s">
        <v>19</v>
      </c>
      <c r="L270" t="s">
        <v>331</v>
      </c>
      <c r="M270">
        <f>orders[[#This Row],[Ship Date]]-orders[[#This Row],[Order Date]]</f>
        <v>4</v>
      </c>
      <c r="N270">
        <f>WEEKNUM(orders[[#This Row],[Order Date]])</f>
        <v>3</v>
      </c>
      <c r="O270" t="str">
        <f>_xlfn.IFS(orders[[#This Row],[Customer Gender]]="M","Male", orders[[#This Row],[Customer Gender]]="F","Female", orders[[#This Row],[Customer Gender]]="O","Other", TRUE,"Unknown")</f>
        <v>Female</v>
      </c>
    </row>
    <row r="271" spans="1:15">
      <c r="A271" t="s">
        <v>351</v>
      </c>
      <c r="B271" t="s">
        <v>39</v>
      </c>
      <c r="C271">
        <v>3</v>
      </c>
      <c r="D271">
        <v>90.9</v>
      </c>
      <c r="E271">
        <v>272.70000000000005</v>
      </c>
      <c r="F271" s="1">
        <v>45669</v>
      </c>
      <c r="G271" s="1">
        <v>45670</v>
      </c>
      <c r="H271" t="s">
        <v>27</v>
      </c>
      <c r="I271" t="s">
        <v>40</v>
      </c>
      <c r="J271">
        <v>2</v>
      </c>
      <c r="K271" t="s">
        <v>19</v>
      </c>
      <c r="L271" t="s">
        <v>33</v>
      </c>
      <c r="M271">
        <f>orders[[#This Row],[Ship Date]]-orders[[#This Row],[Order Date]]</f>
        <v>1</v>
      </c>
      <c r="N271">
        <f>WEEKNUM(orders[[#This Row],[Order Date]])</f>
        <v>3</v>
      </c>
      <c r="O271" t="str">
        <f>_xlfn.IFS(orders[[#This Row],[Customer Gender]]="M","Male", orders[[#This Row],[Customer Gender]]="F","Female", orders[[#This Row],[Customer Gender]]="O","Other", TRUE,"Unknown")</f>
        <v>Female</v>
      </c>
    </row>
    <row r="272" spans="1:15">
      <c r="A272" t="s">
        <v>352</v>
      </c>
      <c r="B272" t="s">
        <v>44</v>
      </c>
      <c r="C272">
        <v>3</v>
      </c>
      <c r="D272">
        <v>44.5</v>
      </c>
      <c r="E272">
        <v>133.5</v>
      </c>
      <c r="F272" s="1">
        <v>45669</v>
      </c>
      <c r="G272" s="1">
        <v>45670</v>
      </c>
      <c r="H272" t="s">
        <v>27</v>
      </c>
      <c r="I272" t="s">
        <v>35</v>
      </c>
      <c r="J272">
        <v>4</v>
      </c>
      <c r="K272" t="s">
        <v>19</v>
      </c>
      <c r="L272" t="s">
        <v>33</v>
      </c>
      <c r="M272">
        <f>orders[[#This Row],[Ship Date]]-orders[[#This Row],[Order Date]]</f>
        <v>1</v>
      </c>
      <c r="N272">
        <f>WEEKNUM(orders[[#This Row],[Order Date]])</f>
        <v>3</v>
      </c>
      <c r="O272" t="str">
        <f>_xlfn.IFS(orders[[#This Row],[Customer Gender]]="M","Male", orders[[#This Row],[Customer Gender]]="F","Female", orders[[#This Row],[Customer Gender]]="O","Other", TRUE,"Unknown")</f>
        <v>Female</v>
      </c>
    </row>
    <row r="273" spans="1:15">
      <c r="A273" t="s">
        <v>353</v>
      </c>
      <c r="B273" t="s">
        <v>46</v>
      </c>
      <c r="C273">
        <v>6</v>
      </c>
      <c r="D273">
        <v>32.299999999999997</v>
      </c>
      <c r="E273">
        <v>193.79999999999998</v>
      </c>
      <c r="F273" s="1">
        <v>45669</v>
      </c>
      <c r="G273" s="1">
        <v>45673</v>
      </c>
      <c r="H273" t="s">
        <v>27</v>
      </c>
      <c r="I273" t="s">
        <v>18</v>
      </c>
      <c r="J273">
        <v>4</v>
      </c>
      <c r="K273" t="s">
        <v>19</v>
      </c>
      <c r="L273" t="s">
        <v>33</v>
      </c>
      <c r="M273">
        <f>orders[[#This Row],[Ship Date]]-orders[[#This Row],[Order Date]]</f>
        <v>4</v>
      </c>
      <c r="N273">
        <f>WEEKNUM(orders[[#This Row],[Order Date]])</f>
        <v>3</v>
      </c>
      <c r="O273" t="str">
        <f>_xlfn.IFS(orders[[#This Row],[Customer Gender]]="M","Male", orders[[#This Row],[Customer Gender]]="F","Female", orders[[#This Row],[Customer Gender]]="O","Other", TRUE,"Unknown")</f>
        <v>Female</v>
      </c>
    </row>
    <row r="274" spans="1:15">
      <c r="A274" t="s">
        <v>354</v>
      </c>
      <c r="B274" t="s">
        <v>135</v>
      </c>
      <c r="C274">
        <v>3</v>
      </c>
      <c r="D274">
        <v>87.5</v>
      </c>
      <c r="E274">
        <v>262.5</v>
      </c>
      <c r="F274" s="1">
        <v>45669</v>
      </c>
      <c r="G274" s="1">
        <v>45670</v>
      </c>
      <c r="H274" t="s">
        <v>27</v>
      </c>
      <c r="I274" t="s">
        <v>35</v>
      </c>
      <c r="J274">
        <v>3</v>
      </c>
      <c r="K274" t="s">
        <v>19</v>
      </c>
      <c r="L274" t="s">
        <v>33</v>
      </c>
      <c r="M274">
        <f>orders[[#This Row],[Ship Date]]-orders[[#This Row],[Order Date]]</f>
        <v>1</v>
      </c>
      <c r="N274">
        <f>WEEKNUM(orders[[#This Row],[Order Date]])</f>
        <v>3</v>
      </c>
      <c r="O274" t="str">
        <f>_xlfn.IFS(orders[[#This Row],[Customer Gender]]="M","Male", orders[[#This Row],[Customer Gender]]="F","Female", orders[[#This Row],[Customer Gender]]="O","Other", TRUE,"Unknown")</f>
        <v>Female</v>
      </c>
    </row>
    <row r="275" spans="1:15">
      <c r="A275" t="s">
        <v>355</v>
      </c>
      <c r="B275" t="s">
        <v>128</v>
      </c>
      <c r="C275">
        <v>5</v>
      </c>
      <c r="D275">
        <v>48.7</v>
      </c>
      <c r="E275">
        <v>243.5</v>
      </c>
      <c r="F275" s="1">
        <v>45669</v>
      </c>
      <c r="G275" s="1">
        <v>45670</v>
      </c>
      <c r="H275" t="s">
        <v>23</v>
      </c>
      <c r="I275" t="s">
        <v>40</v>
      </c>
      <c r="J275">
        <v>4</v>
      </c>
      <c r="K275" t="s">
        <v>19</v>
      </c>
      <c r="L275" t="s">
        <v>33</v>
      </c>
      <c r="M275">
        <f>orders[[#This Row],[Ship Date]]-orders[[#This Row],[Order Date]]</f>
        <v>1</v>
      </c>
      <c r="N275">
        <f>WEEKNUM(orders[[#This Row],[Order Date]])</f>
        <v>3</v>
      </c>
      <c r="O275" t="str">
        <f>_xlfn.IFS(orders[[#This Row],[Customer Gender]]="M","Male", orders[[#This Row],[Customer Gender]]="F","Female", orders[[#This Row],[Customer Gender]]="O","Other", TRUE,"Unknown")</f>
        <v>Male</v>
      </c>
    </row>
    <row r="276" spans="1:15">
      <c r="A276" t="s">
        <v>356</v>
      </c>
      <c r="B276" t="s">
        <v>16</v>
      </c>
      <c r="C276">
        <v>5</v>
      </c>
      <c r="D276">
        <v>22.5</v>
      </c>
      <c r="E276">
        <v>112.5</v>
      </c>
      <c r="F276" s="1">
        <v>45669</v>
      </c>
      <c r="G276" s="1">
        <v>45670</v>
      </c>
      <c r="H276" t="s">
        <v>23</v>
      </c>
      <c r="I276" t="s">
        <v>18</v>
      </c>
      <c r="J276">
        <v>4</v>
      </c>
      <c r="K276" t="s">
        <v>19</v>
      </c>
      <c r="L276" t="s">
        <v>33</v>
      </c>
      <c r="M276">
        <f>orders[[#This Row],[Ship Date]]-orders[[#This Row],[Order Date]]</f>
        <v>1</v>
      </c>
      <c r="N276">
        <f>WEEKNUM(orders[[#This Row],[Order Date]])</f>
        <v>3</v>
      </c>
      <c r="O276" t="str">
        <f>_xlfn.IFS(orders[[#This Row],[Customer Gender]]="M","Male", orders[[#This Row],[Customer Gender]]="F","Female", orders[[#This Row],[Customer Gender]]="O","Other", TRUE,"Unknown")</f>
        <v>Male</v>
      </c>
    </row>
    <row r="277" spans="1:15">
      <c r="A277" t="s">
        <v>357</v>
      </c>
      <c r="B277" t="s">
        <v>22</v>
      </c>
      <c r="C277">
        <v>8</v>
      </c>
      <c r="D277">
        <v>65.900000000000006</v>
      </c>
      <c r="E277">
        <v>527.20000000000005</v>
      </c>
      <c r="F277" s="1">
        <v>45669</v>
      </c>
      <c r="G277" s="1">
        <v>45672</v>
      </c>
      <c r="H277" t="s">
        <v>27</v>
      </c>
      <c r="I277" t="s">
        <v>35</v>
      </c>
      <c r="J277">
        <v>5</v>
      </c>
      <c r="K277" t="s">
        <v>19</v>
      </c>
      <c r="L277" t="s">
        <v>33</v>
      </c>
      <c r="M277">
        <f>orders[[#This Row],[Ship Date]]-orders[[#This Row],[Order Date]]</f>
        <v>3</v>
      </c>
      <c r="N277">
        <f>WEEKNUM(orders[[#This Row],[Order Date]])</f>
        <v>3</v>
      </c>
      <c r="O277" t="str">
        <f>_xlfn.IFS(orders[[#This Row],[Customer Gender]]="M","Male", orders[[#This Row],[Customer Gender]]="F","Female", orders[[#This Row],[Customer Gender]]="O","Other", TRUE,"Unknown")</f>
        <v>Female</v>
      </c>
    </row>
    <row r="278" spans="1:15">
      <c r="A278" t="s">
        <v>358</v>
      </c>
      <c r="B278" t="s">
        <v>39</v>
      </c>
      <c r="C278">
        <v>5</v>
      </c>
      <c r="D278">
        <v>41.9</v>
      </c>
      <c r="E278">
        <v>209.5</v>
      </c>
      <c r="F278" s="1">
        <v>45669</v>
      </c>
      <c r="G278" s="1">
        <v>45676</v>
      </c>
      <c r="H278" t="s">
        <v>17</v>
      </c>
      <c r="I278" t="s">
        <v>18</v>
      </c>
      <c r="J278">
        <v>4</v>
      </c>
      <c r="K278" t="s">
        <v>19</v>
      </c>
      <c r="L278" t="s">
        <v>33</v>
      </c>
      <c r="M278">
        <f>orders[[#This Row],[Ship Date]]-orders[[#This Row],[Order Date]]</f>
        <v>7</v>
      </c>
      <c r="N278">
        <f>WEEKNUM(orders[[#This Row],[Order Date]])</f>
        <v>3</v>
      </c>
      <c r="O278" t="str">
        <f>_xlfn.IFS(orders[[#This Row],[Customer Gender]]="M","Male", orders[[#This Row],[Customer Gender]]="F","Female", orders[[#This Row],[Customer Gender]]="O","Other", TRUE,"Unknown")</f>
        <v>Unknown</v>
      </c>
    </row>
    <row r="279" spans="1:15">
      <c r="A279" t="s">
        <v>359</v>
      </c>
      <c r="B279" t="s">
        <v>22</v>
      </c>
      <c r="C279">
        <v>5</v>
      </c>
      <c r="D279">
        <v>67.5</v>
      </c>
      <c r="E279">
        <v>337.5</v>
      </c>
      <c r="F279" s="1">
        <v>45669</v>
      </c>
      <c r="G279" s="1">
        <v>45670</v>
      </c>
      <c r="H279" t="s">
        <v>27</v>
      </c>
      <c r="I279" t="s">
        <v>18</v>
      </c>
      <c r="J279">
        <v>5</v>
      </c>
      <c r="K279" t="s">
        <v>19</v>
      </c>
      <c r="L279" t="s">
        <v>33</v>
      </c>
      <c r="M279">
        <f>orders[[#This Row],[Ship Date]]-orders[[#This Row],[Order Date]]</f>
        <v>1</v>
      </c>
      <c r="N279">
        <f>WEEKNUM(orders[[#This Row],[Order Date]])</f>
        <v>3</v>
      </c>
      <c r="O279" t="str">
        <f>_xlfn.IFS(orders[[#This Row],[Customer Gender]]="M","Male", orders[[#This Row],[Customer Gender]]="F","Female", orders[[#This Row],[Customer Gender]]="O","Other", TRUE,"Unknown")</f>
        <v>Female</v>
      </c>
    </row>
    <row r="280" spans="1:15">
      <c r="A280" t="s">
        <v>360</v>
      </c>
      <c r="B280" t="s">
        <v>46</v>
      </c>
      <c r="C280">
        <v>1</v>
      </c>
      <c r="D280">
        <v>60.4</v>
      </c>
      <c r="E280">
        <v>60.4</v>
      </c>
      <c r="F280" s="1">
        <v>45670</v>
      </c>
      <c r="G280" s="1">
        <v>45672</v>
      </c>
      <c r="H280" t="s">
        <v>27</v>
      </c>
      <c r="I280" t="s">
        <v>35</v>
      </c>
      <c r="J280">
        <v>3</v>
      </c>
      <c r="K280" t="s">
        <v>19</v>
      </c>
      <c r="L280" t="s">
        <v>33</v>
      </c>
      <c r="M280">
        <f>orders[[#This Row],[Ship Date]]-orders[[#This Row],[Order Date]]</f>
        <v>2</v>
      </c>
      <c r="N280">
        <f>WEEKNUM(orders[[#This Row],[Order Date]])</f>
        <v>3</v>
      </c>
      <c r="O280" t="str">
        <f>_xlfn.IFS(orders[[#This Row],[Customer Gender]]="M","Male", orders[[#This Row],[Customer Gender]]="F","Female", orders[[#This Row],[Customer Gender]]="O","Other", TRUE,"Unknown")</f>
        <v>Female</v>
      </c>
    </row>
    <row r="281" spans="1:15">
      <c r="A281" t="s">
        <v>361</v>
      </c>
      <c r="B281" t="s">
        <v>22</v>
      </c>
      <c r="C281">
        <v>7</v>
      </c>
      <c r="D281">
        <v>30.4</v>
      </c>
      <c r="E281">
        <v>212.79999999999998</v>
      </c>
      <c r="F281" s="1">
        <v>45670</v>
      </c>
      <c r="G281" s="1">
        <v>45673</v>
      </c>
      <c r="H281" t="s">
        <v>27</v>
      </c>
      <c r="I281" t="s">
        <v>70</v>
      </c>
      <c r="J281">
        <v>4</v>
      </c>
      <c r="K281" t="s">
        <v>19</v>
      </c>
      <c r="L281" t="s">
        <v>33</v>
      </c>
      <c r="M281">
        <f>orders[[#This Row],[Ship Date]]-orders[[#This Row],[Order Date]]</f>
        <v>3</v>
      </c>
      <c r="N281">
        <f>WEEKNUM(orders[[#This Row],[Order Date]])</f>
        <v>3</v>
      </c>
      <c r="O281" t="str">
        <f>_xlfn.IFS(orders[[#This Row],[Customer Gender]]="M","Male", orders[[#This Row],[Customer Gender]]="F","Female", orders[[#This Row],[Customer Gender]]="O","Other", TRUE,"Unknown")</f>
        <v>Female</v>
      </c>
    </row>
    <row r="282" spans="1:15">
      <c r="A282" t="s">
        <v>362</v>
      </c>
      <c r="B282" t="s">
        <v>81</v>
      </c>
      <c r="C282">
        <v>2</v>
      </c>
      <c r="D282">
        <v>24.5</v>
      </c>
      <c r="E282">
        <v>49</v>
      </c>
      <c r="F282" s="1">
        <v>45670</v>
      </c>
      <c r="G282" s="1">
        <v>45671</v>
      </c>
      <c r="H282" t="s">
        <v>23</v>
      </c>
      <c r="I282" t="s">
        <v>51</v>
      </c>
      <c r="J282">
        <v>5</v>
      </c>
      <c r="K282" t="s">
        <v>19</v>
      </c>
      <c r="L282" t="s">
        <v>33</v>
      </c>
      <c r="M282">
        <f>orders[[#This Row],[Ship Date]]-orders[[#This Row],[Order Date]]</f>
        <v>1</v>
      </c>
      <c r="N282">
        <f>WEEKNUM(orders[[#This Row],[Order Date]])</f>
        <v>3</v>
      </c>
      <c r="O282" t="str">
        <f>_xlfn.IFS(orders[[#This Row],[Customer Gender]]="M","Male", orders[[#This Row],[Customer Gender]]="F","Female", orders[[#This Row],[Customer Gender]]="O","Other", TRUE,"Unknown")</f>
        <v>Male</v>
      </c>
    </row>
    <row r="283" spans="1:15">
      <c r="A283" t="s">
        <v>363</v>
      </c>
      <c r="B283" t="s">
        <v>26</v>
      </c>
      <c r="C283">
        <v>3</v>
      </c>
      <c r="D283">
        <v>105.9</v>
      </c>
      <c r="E283">
        <v>317.70000000000005</v>
      </c>
      <c r="F283" s="1">
        <v>45670</v>
      </c>
      <c r="G283" s="1">
        <v>45675</v>
      </c>
      <c r="H283" t="s">
        <v>23</v>
      </c>
      <c r="I283" t="s">
        <v>18</v>
      </c>
      <c r="J283">
        <v>4</v>
      </c>
      <c r="K283" t="s">
        <v>19</v>
      </c>
      <c r="L283" t="s">
        <v>364</v>
      </c>
      <c r="M283">
        <f>orders[[#This Row],[Ship Date]]-orders[[#This Row],[Order Date]]</f>
        <v>5</v>
      </c>
      <c r="N283">
        <f>WEEKNUM(orders[[#This Row],[Order Date]])</f>
        <v>3</v>
      </c>
      <c r="O283" t="str">
        <f>_xlfn.IFS(orders[[#This Row],[Customer Gender]]="M","Male", orders[[#This Row],[Customer Gender]]="F","Female", orders[[#This Row],[Customer Gender]]="O","Other", TRUE,"Unknown")</f>
        <v>Male</v>
      </c>
    </row>
    <row r="284" spans="1:15">
      <c r="A284" t="s">
        <v>365</v>
      </c>
      <c r="B284" t="s">
        <v>54</v>
      </c>
      <c r="C284">
        <v>24</v>
      </c>
      <c r="D284">
        <v>25.9</v>
      </c>
      <c r="E284">
        <v>621.59999999999991</v>
      </c>
      <c r="F284" s="1">
        <v>45670</v>
      </c>
      <c r="G284" s="1">
        <v>45671</v>
      </c>
      <c r="H284" t="s">
        <v>27</v>
      </c>
      <c r="I284" t="s">
        <v>70</v>
      </c>
      <c r="J284">
        <v>4</v>
      </c>
      <c r="K284" t="s">
        <v>19</v>
      </c>
      <c r="L284" t="s">
        <v>158</v>
      </c>
      <c r="M284">
        <f>orders[[#This Row],[Ship Date]]-orders[[#This Row],[Order Date]]</f>
        <v>1</v>
      </c>
      <c r="N284">
        <f>WEEKNUM(orders[[#This Row],[Order Date]])</f>
        <v>3</v>
      </c>
      <c r="O284" t="str">
        <f>_xlfn.IFS(orders[[#This Row],[Customer Gender]]="M","Male", orders[[#This Row],[Customer Gender]]="F","Female", orders[[#This Row],[Customer Gender]]="O","Other", TRUE,"Unknown")</f>
        <v>Female</v>
      </c>
    </row>
    <row r="285" spans="1:15">
      <c r="A285" t="s">
        <v>366</v>
      </c>
      <c r="B285" t="s">
        <v>39</v>
      </c>
      <c r="C285">
        <v>3</v>
      </c>
      <c r="D285">
        <v>66.8</v>
      </c>
      <c r="E285">
        <v>200.39999999999998</v>
      </c>
      <c r="F285" s="1">
        <v>45670</v>
      </c>
      <c r="G285" s="1">
        <v>45670</v>
      </c>
      <c r="H285" t="s">
        <v>23</v>
      </c>
      <c r="I285" t="s">
        <v>18</v>
      </c>
      <c r="J285">
        <v>4</v>
      </c>
      <c r="K285" t="s">
        <v>19</v>
      </c>
      <c r="L285" t="s">
        <v>158</v>
      </c>
      <c r="M285">
        <f>orders[[#This Row],[Ship Date]]-orders[[#This Row],[Order Date]]</f>
        <v>0</v>
      </c>
      <c r="N285">
        <f>WEEKNUM(orders[[#This Row],[Order Date]])</f>
        <v>3</v>
      </c>
      <c r="O285" t="str">
        <f>_xlfn.IFS(orders[[#This Row],[Customer Gender]]="M","Male", orders[[#This Row],[Customer Gender]]="F","Female", orders[[#This Row],[Customer Gender]]="O","Other", TRUE,"Unknown")</f>
        <v>Male</v>
      </c>
    </row>
    <row r="286" spans="1:15">
      <c r="A286" t="s">
        <v>367</v>
      </c>
      <c r="B286" t="s">
        <v>39</v>
      </c>
      <c r="C286">
        <v>3</v>
      </c>
      <c r="D286">
        <v>112.3</v>
      </c>
      <c r="E286">
        <v>336.9</v>
      </c>
      <c r="F286" s="1">
        <v>45670</v>
      </c>
      <c r="G286" s="1">
        <v>45671</v>
      </c>
      <c r="H286" t="s">
        <v>23</v>
      </c>
      <c r="I286" t="s">
        <v>40</v>
      </c>
      <c r="J286">
        <v>2</v>
      </c>
      <c r="K286" t="s">
        <v>19</v>
      </c>
      <c r="L286" t="s">
        <v>55</v>
      </c>
      <c r="M286">
        <f>orders[[#This Row],[Ship Date]]-orders[[#This Row],[Order Date]]</f>
        <v>1</v>
      </c>
      <c r="N286">
        <f>WEEKNUM(orders[[#This Row],[Order Date]])</f>
        <v>3</v>
      </c>
      <c r="O286" t="str">
        <f>_xlfn.IFS(orders[[#This Row],[Customer Gender]]="M","Male", orders[[#This Row],[Customer Gender]]="F","Female", orders[[#This Row],[Customer Gender]]="O","Other", TRUE,"Unknown")</f>
        <v>Male</v>
      </c>
    </row>
    <row r="287" spans="1:15">
      <c r="A287" t="s">
        <v>368</v>
      </c>
      <c r="B287" t="s">
        <v>22</v>
      </c>
      <c r="C287">
        <v>6</v>
      </c>
      <c r="D287">
        <v>94.1</v>
      </c>
      <c r="E287">
        <v>564.59999999999991</v>
      </c>
      <c r="F287" s="1">
        <v>45670</v>
      </c>
      <c r="G287" s="1">
        <v>45671</v>
      </c>
      <c r="H287" t="s">
        <v>27</v>
      </c>
      <c r="I287" t="s">
        <v>18</v>
      </c>
      <c r="J287">
        <v>2</v>
      </c>
      <c r="K287" t="s">
        <v>19</v>
      </c>
      <c r="L287" t="s">
        <v>55</v>
      </c>
      <c r="M287">
        <f>orders[[#This Row],[Ship Date]]-orders[[#This Row],[Order Date]]</f>
        <v>1</v>
      </c>
      <c r="N287">
        <f>WEEKNUM(orders[[#This Row],[Order Date]])</f>
        <v>3</v>
      </c>
      <c r="O287" t="str">
        <f>_xlfn.IFS(orders[[#This Row],[Customer Gender]]="M","Male", orders[[#This Row],[Customer Gender]]="F","Female", orders[[#This Row],[Customer Gender]]="O","Other", TRUE,"Unknown")</f>
        <v>Female</v>
      </c>
    </row>
    <row r="288" spans="1:15">
      <c r="A288" t="s">
        <v>369</v>
      </c>
      <c r="B288" t="s">
        <v>37</v>
      </c>
      <c r="C288">
        <v>1</v>
      </c>
      <c r="D288">
        <v>40.700000000000003</v>
      </c>
      <c r="E288">
        <v>40.700000000000003</v>
      </c>
      <c r="F288" s="1">
        <v>45670</v>
      </c>
      <c r="G288" s="1">
        <v>45673</v>
      </c>
      <c r="H288" t="s">
        <v>27</v>
      </c>
      <c r="I288" t="s">
        <v>40</v>
      </c>
      <c r="J288">
        <v>4</v>
      </c>
      <c r="K288" t="s">
        <v>19</v>
      </c>
      <c r="L288" t="s">
        <v>55</v>
      </c>
      <c r="M288">
        <f>orders[[#This Row],[Ship Date]]-orders[[#This Row],[Order Date]]</f>
        <v>3</v>
      </c>
      <c r="N288">
        <f>WEEKNUM(orders[[#This Row],[Order Date]])</f>
        <v>3</v>
      </c>
      <c r="O288" t="str">
        <f>_xlfn.IFS(orders[[#This Row],[Customer Gender]]="M","Male", orders[[#This Row],[Customer Gender]]="F","Female", orders[[#This Row],[Customer Gender]]="O","Other", TRUE,"Unknown")</f>
        <v>Female</v>
      </c>
    </row>
    <row r="289" spans="1:15">
      <c r="A289" t="s">
        <v>370</v>
      </c>
      <c r="B289" t="s">
        <v>30</v>
      </c>
      <c r="C289">
        <v>2</v>
      </c>
      <c r="D289">
        <v>71.400000000000006</v>
      </c>
      <c r="E289">
        <v>142.80000000000001</v>
      </c>
      <c r="F289" s="1">
        <v>45670</v>
      </c>
      <c r="G289" s="1">
        <v>45671</v>
      </c>
      <c r="H289" t="s">
        <v>23</v>
      </c>
      <c r="I289" t="s">
        <v>18</v>
      </c>
      <c r="J289">
        <v>4</v>
      </c>
      <c r="K289" t="s">
        <v>19</v>
      </c>
      <c r="L289" t="s">
        <v>59</v>
      </c>
      <c r="M289">
        <f>orders[[#This Row],[Ship Date]]-orders[[#This Row],[Order Date]]</f>
        <v>1</v>
      </c>
      <c r="N289">
        <f>WEEKNUM(orders[[#This Row],[Order Date]])</f>
        <v>3</v>
      </c>
      <c r="O289" t="str">
        <f>_xlfn.IFS(orders[[#This Row],[Customer Gender]]="M","Male", orders[[#This Row],[Customer Gender]]="F","Female", orders[[#This Row],[Customer Gender]]="O","Other", TRUE,"Unknown")</f>
        <v>Male</v>
      </c>
    </row>
    <row r="290" spans="1:15">
      <c r="A290" t="s">
        <v>371</v>
      </c>
      <c r="B290" t="s">
        <v>16</v>
      </c>
      <c r="C290">
        <v>18</v>
      </c>
      <c r="D290">
        <v>15.6</v>
      </c>
      <c r="E290">
        <v>280.8</v>
      </c>
      <c r="F290" s="1">
        <v>45670</v>
      </c>
      <c r="G290" s="1">
        <v>45671</v>
      </c>
      <c r="H290" t="s">
        <v>23</v>
      </c>
      <c r="I290" t="s">
        <v>35</v>
      </c>
      <c r="J290">
        <v>1</v>
      </c>
      <c r="K290" t="s">
        <v>19</v>
      </c>
      <c r="L290" t="s">
        <v>62</v>
      </c>
      <c r="M290">
        <f>orders[[#This Row],[Ship Date]]-orders[[#This Row],[Order Date]]</f>
        <v>1</v>
      </c>
      <c r="N290">
        <f>WEEKNUM(orders[[#This Row],[Order Date]])</f>
        <v>3</v>
      </c>
      <c r="O290" t="str">
        <f>_xlfn.IFS(orders[[#This Row],[Customer Gender]]="M","Male", orders[[#This Row],[Customer Gender]]="F","Female", orders[[#This Row],[Customer Gender]]="O","Other", TRUE,"Unknown")</f>
        <v>Male</v>
      </c>
    </row>
    <row r="291" spans="1:15">
      <c r="A291" t="s">
        <v>372</v>
      </c>
      <c r="B291" t="s">
        <v>54</v>
      </c>
      <c r="C291">
        <v>4</v>
      </c>
      <c r="D291">
        <v>37.799999999999997</v>
      </c>
      <c r="E291">
        <v>151.19999999999999</v>
      </c>
      <c r="F291" s="1">
        <v>45670</v>
      </c>
      <c r="G291" s="1">
        <v>45671</v>
      </c>
      <c r="H291" t="s">
        <v>23</v>
      </c>
      <c r="I291" t="s">
        <v>40</v>
      </c>
      <c r="J291">
        <v>5</v>
      </c>
      <c r="K291" t="s">
        <v>19</v>
      </c>
      <c r="L291" t="s">
        <v>62</v>
      </c>
      <c r="M291">
        <f>orders[[#This Row],[Ship Date]]-orders[[#This Row],[Order Date]]</f>
        <v>1</v>
      </c>
      <c r="N291">
        <f>WEEKNUM(orders[[#This Row],[Order Date]])</f>
        <v>3</v>
      </c>
      <c r="O291" t="str">
        <f>_xlfn.IFS(orders[[#This Row],[Customer Gender]]="M","Male", orders[[#This Row],[Customer Gender]]="F","Female", orders[[#This Row],[Customer Gender]]="O","Other", TRUE,"Unknown")</f>
        <v>Male</v>
      </c>
    </row>
    <row r="292" spans="1:15">
      <c r="A292" t="s">
        <v>373</v>
      </c>
      <c r="B292" t="s">
        <v>32</v>
      </c>
      <c r="C292">
        <v>3</v>
      </c>
      <c r="D292">
        <v>28.1</v>
      </c>
      <c r="E292">
        <v>84.300000000000011</v>
      </c>
      <c r="F292" s="1">
        <v>45670</v>
      </c>
      <c r="G292" s="1">
        <v>45674</v>
      </c>
      <c r="H292" t="s">
        <v>23</v>
      </c>
      <c r="I292" t="s">
        <v>18</v>
      </c>
      <c r="J292">
        <v>4</v>
      </c>
      <c r="K292" t="s">
        <v>19</v>
      </c>
      <c r="L292" t="s">
        <v>62</v>
      </c>
      <c r="M292">
        <f>orders[[#This Row],[Ship Date]]-orders[[#This Row],[Order Date]]</f>
        <v>4</v>
      </c>
      <c r="N292">
        <f>WEEKNUM(orders[[#This Row],[Order Date]])</f>
        <v>3</v>
      </c>
      <c r="O292" t="str">
        <f>_xlfn.IFS(orders[[#This Row],[Customer Gender]]="M","Male", orders[[#This Row],[Customer Gender]]="F","Female", orders[[#This Row],[Customer Gender]]="O","Other", TRUE,"Unknown")</f>
        <v>Male</v>
      </c>
    </row>
    <row r="293" spans="1:15">
      <c r="A293" t="s">
        <v>374</v>
      </c>
      <c r="B293" t="s">
        <v>42</v>
      </c>
      <c r="C293">
        <v>6</v>
      </c>
      <c r="D293">
        <v>51.4</v>
      </c>
      <c r="E293">
        <v>308.39999999999998</v>
      </c>
      <c r="F293" s="1">
        <v>45670</v>
      </c>
      <c r="G293" s="1">
        <v>45674</v>
      </c>
      <c r="H293" t="s">
        <v>23</v>
      </c>
      <c r="I293" t="s">
        <v>18</v>
      </c>
      <c r="J293">
        <v>4</v>
      </c>
      <c r="K293" t="s">
        <v>19</v>
      </c>
      <c r="L293" t="s">
        <v>62</v>
      </c>
      <c r="M293">
        <f>orders[[#This Row],[Ship Date]]-orders[[#This Row],[Order Date]]</f>
        <v>4</v>
      </c>
      <c r="N293">
        <f>WEEKNUM(orders[[#This Row],[Order Date]])</f>
        <v>3</v>
      </c>
      <c r="O293" t="str">
        <f>_xlfn.IFS(orders[[#This Row],[Customer Gender]]="M","Male", orders[[#This Row],[Customer Gender]]="F","Female", orders[[#This Row],[Customer Gender]]="O","Other", TRUE,"Unknown")</f>
        <v>Male</v>
      </c>
    </row>
    <row r="294" spans="1:15">
      <c r="A294" t="s">
        <v>375</v>
      </c>
      <c r="B294" t="s">
        <v>42</v>
      </c>
      <c r="C294">
        <v>2</v>
      </c>
      <c r="D294">
        <v>97.7</v>
      </c>
      <c r="E294">
        <v>195.4</v>
      </c>
      <c r="F294" s="1">
        <v>45670</v>
      </c>
      <c r="G294" s="1">
        <v>45672</v>
      </c>
      <c r="H294" t="s">
        <v>27</v>
      </c>
      <c r="I294" t="s">
        <v>70</v>
      </c>
      <c r="J294">
        <v>5</v>
      </c>
      <c r="K294" t="s">
        <v>19</v>
      </c>
      <c r="L294" t="s">
        <v>103</v>
      </c>
      <c r="M294">
        <f>orders[[#This Row],[Ship Date]]-orders[[#This Row],[Order Date]]</f>
        <v>2</v>
      </c>
      <c r="N294">
        <f>WEEKNUM(orders[[#This Row],[Order Date]])</f>
        <v>3</v>
      </c>
      <c r="O294" t="str">
        <f>_xlfn.IFS(orders[[#This Row],[Customer Gender]]="M","Male", orders[[#This Row],[Customer Gender]]="F","Female", orders[[#This Row],[Customer Gender]]="O","Other", TRUE,"Unknown")</f>
        <v>Female</v>
      </c>
    </row>
    <row r="295" spans="1:15">
      <c r="A295" t="s">
        <v>376</v>
      </c>
      <c r="B295" t="s">
        <v>22</v>
      </c>
      <c r="C295">
        <v>4</v>
      </c>
      <c r="D295">
        <v>63.8</v>
      </c>
      <c r="E295">
        <v>255.2</v>
      </c>
      <c r="F295" s="1">
        <v>45670</v>
      </c>
      <c r="G295" s="1">
        <v>45671</v>
      </c>
      <c r="H295" t="s">
        <v>23</v>
      </c>
      <c r="I295" t="s">
        <v>40</v>
      </c>
      <c r="J295">
        <v>4</v>
      </c>
      <c r="K295" t="s">
        <v>19</v>
      </c>
      <c r="L295" t="s">
        <v>377</v>
      </c>
      <c r="M295">
        <f>orders[[#This Row],[Ship Date]]-orders[[#This Row],[Order Date]]</f>
        <v>1</v>
      </c>
      <c r="N295">
        <f>WEEKNUM(orders[[#This Row],[Order Date]])</f>
        <v>3</v>
      </c>
      <c r="O295" t="str">
        <f>_xlfn.IFS(orders[[#This Row],[Customer Gender]]="M","Male", orders[[#This Row],[Customer Gender]]="F","Female", orders[[#This Row],[Customer Gender]]="O","Other", TRUE,"Unknown")</f>
        <v>Male</v>
      </c>
    </row>
    <row r="296" spans="1:15">
      <c r="A296" t="s">
        <v>378</v>
      </c>
      <c r="B296" t="s">
        <v>76</v>
      </c>
      <c r="C296">
        <v>2</v>
      </c>
      <c r="D296">
        <v>20.100000000000001</v>
      </c>
      <c r="E296">
        <v>40.200000000000003</v>
      </c>
      <c r="F296" s="1">
        <v>45670</v>
      </c>
      <c r="G296" s="1">
        <v>45672</v>
      </c>
      <c r="H296" t="s">
        <v>23</v>
      </c>
      <c r="I296" t="s">
        <v>18</v>
      </c>
      <c r="J296">
        <v>5</v>
      </c>
      <c r="K296" t="s">
        <v>19</v>
      </c>
      <c r="L296" t="s">
        <v>113</v>
      </c>
      <c r="M296">
        <f>orders[[#This Row],[Ship Date]]-orders[[#This Row],[Order Date]]</f>
        <v>2</v>
      </c>
      <c r="N296">
        <f>WEEKNUM(orders[[#This Row],[Order Date]])</f>
        <v>3</v>
      </c>
      <c r="O296" t="str">
        <f>_xlfn.IFS(orders[[#This Row],[Customer Gender]]="M","Male", orders[[#This Row],[Customer Gender]]="F","Female", orders[[#This Row],[Customer Gender]]="O","Other", TRUE,"Unknown")</f>
        <v>Male</v>
      </c>
    </row>
    <row r="297" spans="1:15">
      <c r="A297" t="s">
        <v>379</v>
      </c>
      <c r="B297" t="s">
        <v>67</v>
      </c>
      <c r="C297">
        <v>3</v>
      </c>
      <c r="D297">
        <v>50.4</v>
      </c>
      <c r="E297">
        <v>151.19999999999999</v>
      </c>
      <c r="F297" s="1">
        <v>45670</v>
      </c>
      <c r="G297" s="1">
        <v>45673</v>
      </c>
      <c r="H297" t="s">
        <v>27</v>
      </c>
      <c r="I297" t="s">
        <v>51</v>
      </c>
      <c r="J297">
        <v>4</v>
      </c>
      <c r="K297" t="s">
        <v>19</v>
      </c>
      <c r="L297" t="s">
        <v>82</v>
      </c>
      <c r="M297">
        <f>orders[[#This Row],[Ship Date]]-orders[[#This Row],[Order Date]]</f>
        <v>3</v>
      </c>
      <c r="N297">
        <f>WEEKNUM(orders[[#This Row],[Order Date]])</f>
        <v>3</v>
      </c>
      <c r="O297" t="str">
        <f>_xlfn.IFS(orders[[#This Row],[Customer Gender]]="M","Male", orders[[#This Row],[Customer Gender]]="F","Female", orders[[#This Row],[Customer Gender]]="O","Other", TRUE,"Unknown")</f>
        <v>Female</v>
      </c>
    </row>
    <row r="298" spans="1:15">
      <c r="A298" t="s">
        <v>380</v>
      </c>
      <c r="B298" t="s">
        <v>16</v>
      </c>
      <c r="C298">
        <v>1</v>
      </c>
      <c r="D298">
        <v>16.2</v>
      </c>
      <c r="E298">
        <v>16.2</v>
      </c>
      <c r="F298" s="1">
        <v>45670</v>
      </c>
      <c r="G298" s="1">
        <v>45683</v>
      </c>
      <c r="H298" t="s">
        <v>27</v>
      </c>
      <c r="I298" t="s">
        <v>35</v>
      </c>
      <c r="J298">
        <v>4</v>
      </c>
      <c r="K298" t="s">
        <v>19</v>
      </c>
      <c r="L298" t="s">
        <v>24</v>
      </c>
      <c r="M298">
        <f>orders[[#This Row],[Ship Date]]-orders[[#This Row],[Order Date]]</f>
        <v>13</v>
      </c>
      <c r="N298">
        <f>WEEKNUM(orders[[#This Row],[Order Date]])</f>
        <v>3</v>
      </c>
      <c r="O298" t="str">
        <f>_xlfn.IFS(orders[[#This Row],[Customer Gender]]="M","Male", orders[[#This Row],[Customer Gender]]="F","Female", orders[[#This Row],[Customer Gender]]="O","Other", TRUE,"Unknown")</f>
        <v>Female</v>
      </c>
    </row>
    <row r="299" spans="1:15">
      <c r="A299" t="s">
        <v>381</v>
      </c>
      <c r="B299" t="s">
        <v>39</v>
      </c>
      <c r="C299">
        <v>7</v>
      </c>
      <c r="D299">
        <v>80.900000000000006</v>
      </c>
      <c r="E299">
        <v>566.30000000000007</v>
      </c>
      <c r="F299" s="1">
        <v>45670</v>
      </c>
      <c r="G299" s="1">
        <v>45672</v>
      </c>
      <c r="H299" t="s">
        <v>23</v>
      </c>
      <c r="I299" t="s">
        <v>70</v>
      </c>
      <c r="J299">
        <v>2</v>
      </c>
      <c r="K299" t="s">
        <v>19</v>
      </c>
      <c r="L299" t="s">
        <v>28</v>
      </c>
      <c r="M299">
        <f>orders[[#This Row],[Ship Date]]-orders[[#This Row],[Order Date]]</f>
        <v>2</v>
      </c>
      <c r="N299">
        <f>WEEKNUM(orders[[#This Row],[Order Date]])</f>
        <v>3</v>
      </c>
      <c r="O299" t="str">
        <f>_xlfn.IFS(orders[[#This Row],[Customer Gender]]="M","Male", orders[[#This Row],[Customer Gender]]="F","Female", orders[[#This Row],[Customer Gender]]="O","Other", TRUE,"Unknown")</f>
        <v>Male</v>
      </c>
    </row>
    <row r="300" spans="1:15">
      <c r="A300" t="s">
        <v>382</v>
      </c>
      <c r="B300" t="s">
        <v>46</v>
      </c>
      <c r="C300">
        <v>6</v>
      </c>
      <c r="D300">
        <v>95.2</v>
      </c>
      <c r="E300">
        <v>571.20000000000005</v>
      </c>
      <c r="F300" s="1">
        <v>45670</v>
      </c>
      <c r="G300" s="1">
        <v>45672</v>
      </c>
      <c r="H300" t="s">
        <v>27</v>
      </c>
      <c r="I300" t="s">
        <v>18</v>
      </c>
      <c r="J300">
        <v>5</v>
      </c>
      <c r="K300" t="s">
        <v>19</v>
      </c>
      <c r="L300" t="s">
        <v>28</v>
      </c>
      <c r="M300">
        <f>orders[[#This Row],[Ship Date]]-orders[[#This Row],[Order Date]]</f>
        <v>2</v>
      </c>
      <c r="N300">
        <f>WEEKNUM(orders[[#This Row],[Order Date]])</f>
        <v>3</v>
      </c>
      <c r="O300" t="str">
        <f>_xlfn.IFS(orders[[#This Row],[Customer Gender]]="M","Male", orders[[#This Row],[Customer Gender]]="F","Female", orders[[#This Row],[Customer Gender]]="O","Other", TRUE,"Unknown")</f>
        <v>Female</v>
      </c>
    </row>
    <row r="301" spans="1:15">
      <c r="A301" t="s">
        <v>383</v>
      </c>
      <c r="B301" t="s">
        <v>37</v>
      </c>
      <c r="C301">
        <v>8</v>
      </c>
      <c r="D301">
        <v>70.400000000000006</v>
      </c>
      <c r="E301">
        <v>563.20000000000005</v>
      </c>
      <c r="F301" s="1">
        <v>45670</v>
      </c>
      <c r="G301" s="1">
        <v>45671</v>
      </c>
      <c r="H301" t="s">
        <v>23</v>
      </c>
      <c r="I301" t="s">
        <v>35</v>
      </c>
      <c r="J301">
        <v>3</v>
      </c>
      <c r="K301" t="s">
        <v>19</v>
      </c>
      <c r="L301" t="s">
        <v>33</v>
      </c>
      <c r="M301">
        <f>orders[[#This Row],[Ship Date]]-orders[[#This Row],[Order Date]]</f>
        <v>1</v>
      </c>
      <c r="N301">
        <f>WEEKNUM(orders[[#This Row],[Order Date]])</f>
        <v>3</v>
      </c>
      <c r="O301" t="str">
        <f>_xlfn.IFS(orders[[#This Row],[Customer Gender]]="M","Male", orders[[#This Row],[Customer Gender]]="F","Female", orders[[#This Row],[Customer Gender]]="O","Other", TRUE,"Unknown")</f>
        <v>Male</v>
      </c>
    </row>
    <row r="302" spans="1:15">
      <c r="A302" t="s">
        <v>384</v>
      </c>
      <c r="B302" t="s">
        <v>16</v>
      </c>
      <c r="C302">
        <v>5</v>
      </c>
      <c r="D302">
        <v>10.7</v>
      </c>
      <c r="E302">
        <v>53.5</v>
      </c>
      <c r="F302" s="1">
        <v>45670</v>
      </c>
      <c r="G302" s="1">
        <v>45674</v>
      </c>
      <c r="H302" t="s">
        <v>27</v>
      </c>
      <c r="I302" t="s">
        <v>40</v>
      </c>
      <c r="J302">
        <v>4</v>
      </c>
      <c r="K302" t="s">
        <v>19</v>
      </c>
      <c r="L302" t="s">
        <v>33</v>
      </c>
      <c r="M302">
        <f>orders[[#This Row],[Ship Date]]-orders[[#This Row],[Order Date]]</f>
        <v>4</v>
      </c>
      <c r="N302">
        <f>WEEKNUM(orders[[#This Row],[Order Date]])</f>
        <v>3</v>
      </c>
      <c r="O302" t="str">
        <f>_xlfn.IFS(orders[[#This Row],[Customer Gender]]="M","Male", orders[[#This Row],[Customer Gender]]="F","Female", orders[[#This Row],[Customer Gender]]="O","Other", TRUE,"Unknown")</f>
        <v>Female</v>
      </c>
    </row>
    <row r="303" spans="1:15">
      <c r="A303" t="s">
        <v>385</v>
      </c>
      <c r="B303" t="s">
        <v>44</v>
      </c>
      <c r="C303">
        <v>5</v>
      </c>
      <c r="D303">
        <v>19.600000000000001</v>
      </c>
      <c r="E303">
        <v>98</v>
      </c>
      <c r="F303" s="1">
        <v>45670</v>
      </c>
      <c r="G303" s="1">
        <v>45672</v>
      </c>
      <c r="H303" t="s">
        <v>27</v>
      </c>
      <c r="I303" t="s">
        <v>18</v>
      </c>
      <c r="J303">
        <v>1</v>
      </c>
      <c r="K303" t="s">
        <v>19</v>
      </c>
      <c r="L303" t="s">
        <v>33</v>
      </c>
      <c r="M303">
        <f>orders[[#This Row],[Ship Date]]-orders[[#This Row],[Order Date]]</f>
        <v>2</v>
      </c>
      <c r="N303">
        <f>WEEKNUM(orders[[#This Row],[Order Date]])</f>
        <v>3</v>
      </c>
      <c r="O303" t="str">
        <f>_xlfn.IFS(orders[[#This Row],[Customer Gender]]="M","Male", orders[[#This Row],[Customer Gender]]="F","Female", orders[[#This Row],[Customer Gender]]="O","Other", TRUE,"Unknown")</f>
        <v>Female</v>
      </c>
    </row>
    <row r="304" spans="1:15">
      <c r="A304" t="s">
        <v>386</v>
      </c>
      <c r="B304" t="s">
        <v>44</v>
      </c>
      <c r="C304">
        <v>11</v>
      </c>
      <c r="D304">
        <v>34.700000000000003</v>
      </c>
      <c r="E304">
        <v>381.70000000000005</v>
      </c>
      <c r="F304" s="1">
        <v>45670</v>
      </c>
      <c r="G304" s="1">
        <v>45672</v>
      </c>
      <c r="H304" t="s">
        <v>27</v>
      </c>
      <c r="I304" t="s">
        <v>18</v>
      </c>
      <c r="J304">
        <v>5</v>
      </c>
      <c r="K304" t="s">
        <v>19</v>
      </c>
      <c r="L304" t="s">
        <v>33</v>
      </c>
      <c r="M304">
        <f>orders[[#This Row],[Ship Date]]-orders[[#This Row],[Order Date]]</f>
        <v>2</v>
      </c>
      <c r="N304">
        <f>WEEKNUM(orders[[#This Row],[Order Date]])</f>
        <v>3</v>
      </c>
      <c r="O304" t="str">
        <f>_xlfn.IFS(orders[[#This Row],[Customer Gender]]="M","Male", orders[[#This Row],[Customer Gender]]="F","Female", orders[[#This Row],[Customer Gender]]="O","Other", TRUE,"Unknown")</f>
        <v>Female</v>
      </c>
    </row>
    <row r="305" spans="1:15">
      <c r="A305" t="s">
        <v>387</v>
      </c>
      <c r="B305" t="s">
        <v>54</v>
      </c>
      <c r="C305">
        <v>9</v>
      </c>
      <c r="D305">
        <v>34.1</v>
      </c>
      <c r="E305">
        <v>306.90000000000003</v>
      </c>
      <c r="F305" s="1">
        <v>45670</v>
      </c>
      <c r="G305" s="1">
        <v>45671</v>
      </c>
      <c r="H305" t="s">
        <v>27</v>
      </c>
      <c r="I305" t="s">
        <v>70</v>
      </c>
      <c r="J305">
        <v>3</v>
      </c>
      <c r="K305" t="s">
        <v>19</v>
      </c>
      <c r="L305" t="s">
        <v>33</v>
      </c>
      <c r="M305">
        <f>orders[[#This Row],[Ship Date]]-orders[[#This Row],[Order Date]]</f>
        <v>1</v>
      </c>
      <c r="N305">
        <f>WEEKNUM(orders[[#This Row],[Order Date]])</f>
        <v>3</v>
      </c>
      <c r="O305" t="str">
        <f>_xlfn.IFS(orders[[#This Row],[Customer Gender]]="M","Male", orders[[#This Row],[Customer Gender]]="F","Female", orders[[#This Row],[Customer Gender]]="O","Other", TRUE,"Unknown")</f>
        <v>Female</v>
      </c>
    </row>
    <row r="306" spans="1:15">
      <c r="A306" t="s">
        <v>388</v>
      </c>
      <c r="B306" t="s">
        <v>16</v>
      </c>
      <c r="C306">
        <v>49</v>
      </c>
      <c r="D306">
        <v>29.3</v>
      </c>
      <c r="E306">
        <v>1435.7</v>
      </c>
      <c r="F306" s="1">
        <v>45670</v>
      </c>
      <c r="G306" s="1">
        <v>45670</v>
      </c>
      <c r="H306" t="s">
        <v>23</v>
      </c>
      <c r="I306" t="s">
        <v>18</v>
      </c>
      <c r="J306">
        <v>3</v>
      </c>
      <c r="K306" t="s">
        <v>19</v>
      </c>
      <c r="L306" t="s">
        <v>33</v>
      </c>
      <c r="M306">
        <f>orders[[#This Row],[Ship Date]]-orders[[#This Row],[Order Date]]</f>
        <v>0</v>
      </c>
      <c r="N306">
        <f>WEEKNUM(orders[[#This Row],[Order Date]])</f>
        <v>3</v>
      </c>
      <c r="O306" t="str">
        <f>_xlfn.IFS(orders[[#This Row],[Customer Gender]]="M","Male", orders[[#This Row],[Customer Gender]]="F","Female", orders[[#This Row],[Customer Gender]]="O","Other", TRUE,"Unknown")</f>
        <v>Male</v>
      </c>
    </row>
    <row r="307" spans="1:15">
      <c r="A307" t="s">
        <v>389</v>
      </c>
      <c r="B307" t="s">
        <v>22</v>
      </c>
      <c r="C307">
        <v>1</v>
      </c>
      <c r="D307">
        <v>55.2</v>
      </c>
      <c r="E307">
        <v>55.2</v>
      </c>
      <c r="F307" s="1">
        <v>45670</v>
      </c>
      <c r="G307" s="1">
        <v>45671</v>
      </c>
      <c r="H307" t="s">
        <v>27</v>
      </c>
      <c r="I307" t="s">
        <v>18</v>
      </c>
      <c r="J307">
        <v>3</v>
      </c>
      <c r="K307" t="s">
        <v>19</v>
      </c>
      <c r="L307" t="s">
        <v>33</v>
      </c>
      <c r="M307">
        <f>orders[[#This Row],[Ship Date]]-orders[[#This Row],[Order Date]]</f>
        <v>1</v>
      </c>
      <c r="N307">
        <f>WEEKNUM(orders[[#This Row],[Order Date]])</f>
        <v>3</v>
      </c>
      <c r="O307" t="str">
        <f>_xlfn.IFS(orders[[#This Row],[Customer Gender]]="M","Male", orders[[#This Row],[Customer Gender]]="F","Female", orders[[#This Row],[Customer Gender]]="O","Other", TRUE,"Unknown")</f>
        <v>Female</v>
      </c>
    </row>
    <row r="308" spans="1:15">
      <c r="A308" t="s">
        <v>390</v>
      </c>
      <c r="B308" t="s">
        <v>146</v>
      </c>
      <c r="C308">
        <v>3</v>
      </c>
      <c r="D308">
        <v>26</v>
      </c>
      <c r="E308">
        <v>78</v>
      </c>
      <c r="F308" s="1">
        <v>45670</v>
      </c>
      <c r="G308" s="1">
        <v>45673</v>
      </c>
      <c r="H308" t="s">
        <v>27</v>
      </c>
      <c r="I308" t="s">
        <v>18</v>
      </c>
      <c r="J308">
        <v>5</v>
      </c>
      <c r="K308" t="s">
        <v>19</v>
      </c>
      <c r="L308" t="s">
        <v>33</v>
      </c>
      <c r="M308">
        <f>orders[[#This Row],[Ship Date]]-orders[[#This Row],[Order Date]]</f>
        <v>3</v>
      </c>
      <c r="N308">
        <f>WEEKNUM(orders[[#This Row],[Order Date]])</f>
        <v>3</v>
      </c>
      <c r="O308" t="str">
        <f>_xlfn.IFS(orders[[#This Row],[Customer Gender]]="M","Male", orders[[#This Row],[Customer Gender]]="F","Female", orders[[#This Row],[Customer Gender]]="O","Other", TRUE,"Unknown")</f>
        <v>Female</v>
      </c>
    </row>
    <row r="309" spans="1:15">
      <c r="A309" t="s">
        <v>391</v>
      </c>
      <c r="B309" t="s">
        <v>81</v>
      </c>
      <c r="C309">
        <v>2</v>
      </c>
      <c r="D309">
        <v>14.2</v>
      </c>
      <c r="E309">
        <v>28.4</v>
      </c>
      <c r="F309" s="1">
        <v>45670</v>
      </c>
      <c r="G309" s="1">
        <v>45675</v>
      </c>
      <c r="H309" t="s">
        <v>27</v>
      </c>
      <c r="I309" t="s">
        <v>51</v>
      </c>
      <c r="J309">
        <v>4</v>
      </c>
      <c r="K309" t="s">
        <v>19</v>
      </c>
      <c r="L309" t="s">
        <v>392</v>
      </c>
      <c r="M309">
        <f>orders[[#This Row],[Ship Date]]-orders[[#This Row],[Order Date]]</f>
        <v>5</v>
      </c>
      <c r="N309">
        <f>WEEKNUM(orders[[#This Row],[Order Date]])</f>
        <v>3</v>
      </c>
      <c r="O309" t="str">
        <f>_xlfn.IFS(orders[[#This Row],[Customer Gender]]="M","Male", orders[[#This Row],[Customer Gender]]="F","Female", orders[[#This Row],[Customer Gender]]="O","Other", TRUE,"Unknown")</f>
        <v>Female</v>
      </c>
    </row>
    <row r="310" spans="1:15">
      <c r="A310" t="s">
        <v>393</v>
      </c>
      <c r="B310" t="s">
        <v>44</v>
      </c>
      <c r="C310">
        <v>9</v>
      </c>
      <c r="D310">
        <v>22.7</v>
      </c>
      <c r="E310">
        <v>204.29999999999998</v>
      </c>
      <c r="F310" s="1">
        <v>45671</v>
      </c>
      <c r="G310" s="1">
        <v>45672</v>
      </c>
      <c r="H310" t="s">
        <v>23</v>
      </c>
      <c r="I310" t="s">
        <v>35</v>
      </c>
      <c r="J310">
        <v>4</v>
      </c>
      <c r="K310" t="s">
        <v>19</v>
      </c>
      <c r="L310" t="s">
        <v>55</v>
      </c>
      <c r="M310">
        <f>orders[[#This Row],[Ship Date]]-orders[[#This Row],[Order Date]]</f>
        <v>1</v>
      </c>
      <c r="N310">
        <f>WEEKNUM(orders[[#This Row],[Order Date]])</f>
        <v>3</v>
      </c>
      <c r="O310" t="str">
        <f>_xlfn.IFS(orders[[#This Row],[Customer Gender]]="M","Male", orders[[#This Row],[Customer Gender]]="F","Female", orders[[#This Row],[Customer Gender]]="O","Other", TRUE,"Unknown")</f>
        <v>Male</v>
      </c>
    </row>
    <row r="311" spans="1:15">
      <c r="A311" t="s">
        <v>394</v>
      </c>
      <c r="B311" t="s">
        <v>16</v>
      </c>
      <c r="C311">
        <v>15</v>
      </c>
      <c r="D311">
        <v>19.8</v>
      </c>
      <c r="E311">
        <v>297</v>
      </c>
      <c r="F311" s="1">
        <v>45671</v>
      </c>
      <c r="G311" s="1">
        <v>45671</v>
      </c>
      <c r="H311" t="s">
        <v>27</v>
      </c>
      <c r="I311" t="s">
        <v>18</v>
      </c>
      <c r="J311">
        <v>5</v>
      </c>
      <c r="K311" t="s">
        <v>19</v>
      </c>
      <c r="L311" t="s">
        <v>55</v>
      </c>
      <c r="M311">
        <f>orders[[#This Row],[Ship Date]]-orders[[#This Row],[Order Date]]</f>
        <v>0</v>
      </c>
      <c r="N311">
        <f>WEEKNUM(orders[[#This Row],[Order Date]])</f>
        <v>3</v>
      </c>
      <c r="O311" t="str">
        <f>_xlfn.IFS(orders[[#This Row],[Customer Gender]]="M","Male", orders[[#This Row],[Customer Gender]]="F","Female", orders[[#This Row],[Customer Gender]]="O","Other", TRUE,"Unknown")</f>
        <v>Female</v>
      </c>
    </row>
    <row r="312" spans="1:15">
      <c r="A312" t="s">
        <v>395</v>
      </c>
      <c r="B312" t="s">
        <v>16</v>
      </c>
      <c r="C312">
        <v>3</v>
      </c>
      <c r="D312">
        <v>31.7</v>
      </c>
      <c r="E312">
        <v>95.1</v>
      </c>
      <c r="F312" s="1">
        <v>45671</v>
      </c>
      <c r="G312" s="1">
        <v>45672</v>
      </c>
      <c r="H312" t="s">
        <v>23</v>
      </c>
      <c r="I312" t="s">
        <v>40</v>
      </c>
      <c r="J312">
        <v>4</v>
      </c>
      <c r="K312" t="s">
        <v>19</v>
      </c>
      <c r="L312" t="s">
        <v>55</v>
      </c>
      <c r="M312">
        <f>orders[[#This Row],[Ship Date]]-orders[[#This Row],[Order Date]]</f>
        <v>1</v>
      </c>
      <c r="N312">
        <f>WEEKNUM(orders[[#This Row],[Order Date]])</f>
        <v>3</v>
      </c>
      <c r="O312" t="str">
        <f>_xlfn.IFS(orders[[#This Row],[Customer Gender]]="M","Male", orders[[#This Row],[Customer Gender]]="F","Female", orders[[#This Row],[Customer Gender]]="O","Other", TRUE,"Unknown")</f>
        <v>Male</v>
      </c>
    </row>
    <row r="313" spans="1:15">
      <c r="A313" t="s">
        <v>396</v>
      </c>
      <c r="B313" t="s">
        <v>44</v>
      </c>
      <c r="C313">
        <v>4</v>
      </c>
      <c r="D313">
        <v>30.4</v>
      </c>
      <c r="E313">
        <v>121.6</v>
      </c>
      <c r="F313" s="1">
        <v>45671</v>
      </c>
      <c r="G313" s="1">
        <v>45675</v>
      </c>
      <c r="H313" t="s">
        <v>23</v>
      </c>
      <c r="I313" t="s">
        <v>18</v>
      </c>
      <c r="J313">
        <v>4</v>
      </c>
      <c r="K313" t="s">
        <v>19</v>
      </c>
      <c r="L313" t="s">
        <v>55</v>
      </c>
      <c r="M313">
        <f>orders[[#This Row],[Ship Date]]-orders[[#This Row],[Order Date]]</f>
        <v>4</v>
      </c>
      <c r="N313">
        <f>WEEKNUM(orders[[#This Row],[Order Date]])</f>
        <v>3</v>
      </c>
      <c r="O313" t="str">
        <f>_xlfn.IFS(orders[[#This Row],[Customer Gender]]="M","Male", orders[[#This Row],[Customer Gender]]="F","Female", orders[[#This Row],[Customer Gender]]="O","Other", TRUE,"Unknown")</f>
        <v>Male</v>
      </c>
    </row>
    <row r="314" spans="1:15">
      <c r="A314" t="s">
        <v>397</v>
      </c>
      <c r="B314" t="s">
        <v>16</v>
      </c>
      <c r="C314">
        <v>4</v>
      </c>
      <c r="D314">
        <v>25.6</v>
      </c>
      <c r="E314">
        <v>102.4</v>
      </c>
      <c r="F314" s="1">
        <v>45671</v>
      </c>
      <c r="G314" s="1">
        <v>45672</v>
      </c>
      <c r="H314" t="s">
        <v>23</v>
      </c>
      <c r="I314" t="s">
        <v>51</v>
      </c>
      <c r="J314">
        <v>4</v>
      </c>
      <c r="K314" t="s">
        <v>19</v>
      </c>
      <c r="L314" t="s">
        <v>62</v>
      </c>
      <c r="M314">
        <f>orders[[#This Row],[Ship Date]]-orders[[#This Row],[Order Date]]</f>
        <v>1</v>
      </c>
      <c r="N314">
        <f>WEEKNUM(orders[[#This Row],[Order Date]])</f>
        <v>3</v>
      </c>
      <c r="O314" t="str">
        <f>_xlfn.IFS(orders[[#This Row],[Customer Gender]]="M","Male", orders[[#This Row],[Customer Gender]]="F","Female", orders[[#This Row],[Customer Gender]]="O","Other", TRUE,"Unknown")</f>
        <v>Male</v>
      </c>
    </row>
    <row r="315" spans="1:15">
      <c r="A315" t="s">
        <v>398</v>
      </c>
      <c r="B315" t="s">
        <v>37</v>
      </c>
      <c r="C315">
        <v>2</v>
      </c>
      <c r="D315">
        <v>34.9</v>
      </c>
      <c r="E315">
        <v>69.8</v>
      </c>
      <c r="F315" s="1">
        <v>45671</v>
      </c>
      <c r="G315" s="1">
        <v>45672</v>
      </c>
      <c r="H315" t="s">
        <v>27</v>
      </c>
      <c r="I315" t="s">
        <v>40</v>
      </c>
      <c r="J315">
        <v>4</v>
      </c>
      <c r="K315" t="s">
        <v>19</v>
      </c>
      <c r="L315" t="s">
        <v>72</v>
      </c>
      <c r="M315">
        <f>orders[[#This Row],[Ship Date]]-orders[[#This Row],[Order Date]]</f>
        <v>1</v>
      </c>
      <c r="N315">
        <f>WEEKNUM(orders[[#This Row],[Order Date]])</f>
        <v>3</v>
      </c>
      <c r="O315" t="str">
        <f>_xlfn.IFS(orders[[#This Row],[Customer Gender]]="M","Male", orders[[#This Row],[Customer Gender]]="F","Female", orders[[#This Row],[Customer Gender]]="O","Other", TRUE,"Unknown")</f>
        <v>Female</v>
      </c>
    </row>
    <row r="316" spans="1:15">
      <c r="A316" t="s">
        <v>399</v>
      </c>
      <c r="B316" t="s">
        <v>42</v>
      </c>
      <c r="C316">
        <v>6</v>
      </c>
      <c r="D316">
        <v>42.7</v>
      </c>
      <c r="E316">
        <v>256.20000000000005</v>
      </c>
      <c r="F316" s="1">
        <v>45671</v>
      </c>
      <c r="G316" s="1">
        <v>45674</v>
      </c>
      <c r="H316" t="s">
        <v>23</v>
      </c>
      <c r="I316" t="s">
        <v>40</v>
      </c>
      <c r="J316">
        <v>3</v>
      </c>
      <c r="K316" t="s">
        <v>19</v>
      </c>
      <c r="L316" t="s">
        <v>77</v>
      </c>
      <c r="M316">
        <f>orders[[#This Row],[Ship Date]]-orders[[#This Row],[Order Date]]</f>
        <v>3</v>
      </c>
      <c r="N316">
        <f>WEEKNUM(orders[[#This Row],[Order Date]])</f>
        <v>3</v>
      </c>
      <c r="O316" t="str">
        <f>_xlfn.IFS(orders[[#This Row],[Customer Gender]]="M","Male", orders[[#This Row],[Customer Gender]]="F","Female", orders[[#This Row],[Customer Gender]]="O","Other", TRUE,"Unknown")</f>
        <v>Male</v>
      </c>
    </row>
    <row r="317" spans="1:15">
      <c r="A317" t="s">
        <v>400</v>
      </c>
      <c r="B317" t="s">
        <v>44</v>
      </c>
      <c r="C317">
        <v>1</v>
      </c>
      <c r="D317">
        <v>23.9</v>
      </c>
      <c r="E317">
        <v>23.9</v>
      </c>
      <c r="F317" s="1">
        <v>45671</v>
      </c>
      <c r="G317" s="1">
        <v>45673</v>
      </c>
      <c r="H317" t="s">
        <v>27</v>
      </c>
      <c r="I317" t="s">
        <v>51</v>
      </c>
      <c r="J317">
        <v>4</v>
      </c>
      <c r="K317" t="s">
        <v>19</v>
      </c>
      <c r="L317" t="s">
        <v>77</v>
      </c>
      <c r="M317">
        <f>orders[[#This Row],[Ship Date]]-orders[[#This Row],[Order Date]]</f>
        <v>2</v>
      </c>
      <c r="N317">
        <f>WEEKNUM(orders[[#This Row],[Order Date]])</f>
        <v>3</v>
      </c>
      <c r="O317" t="str">
        <f>_xlfn.IFS(orders[[#This Row],[Customer Gender]]="M","Male", orders[[#This Row],[Customer Gender]]="F","Female", orders[[#This Row],[Customer Gender]]="O","Other", TRUE,"Unknown")</f>
        <v>Female</v>
      </c>
    </row>
    <row r="318" spans="1:15">
      <c r="A318" t="s">
        <v>401</v>
      </c>
      <c r="B318" t="s">
        <v>39</v>
      </c>
      <c r="C318">
        <v>1</v>
      </c>
      <c r="D318">
        <v>124.3</v>
      </c>
      <c r="E318">
        <v>124.3</v>
      </c>
      <c r="F318" s="1">
        <v>45671</v>
      </c>
      <c r="G318" s="1">
        <v>45672</v>
      </c>
      <c r="H318" t="s">
        <v>17</v>
      </c>
      <c r="I318" t="s">
        <v>40</v>
      </c>
      <c r="J318">
        <v>3</v>
      </c>
      <c r="K318" t="s">
        <v>19</v>
      </c>
      <c r="L318" t="s">
        <v>115</v>
      </c>
      <c r="M318">
        <f>orders[[#This Row],[Ship Date]]-orders[[#This Row],[Order Date]]</f>
        <v>1</v>
      </c>
      <c r="N318">
        <f>WEEKNUM(orders[[#This Row],[Order Date]])</f>
        <v>3</v>
      </c>
      <c r="O318" t="str">
        <f>_xlfn.IFS(orders[[#This Row],[Customer Gender]]="M","Male", orders[[#This Row],[Customer Gender]]="F","Female", orders[[#This Row],[Customer Gender]]="O","Other", TRUE,"Unknown")</f>
        <v>Unknown</v>
      </c>
    </row>
    <row r="319" spans="1:15">
      <c r="A319" t="s">
        <v>402</v>
      </c>
      <c r="B319" t="s">
        <v>44</v>
      </c>
      <c r="C319">
        <v>6</v>
      </c>
      <c r="D319">
        <v>35.9</v>
      </c>
      <c r="E319">
        <v>215.39999999999998</v>
      </c>
      <c r="F319" s="1">
        <v>45671</v>
      </c>
      <c r="G319" s="1">
        <v>45672</v>
      </c>
      <c r="H319" t="s">
        <v>27</v>
      </c>
      <c r="I319" t="s">
        <v>18</v>
      </c>
      <c r="J319">
        <v>3</v>
      </c>
      <c r="K319" t="s">
        <v>19</v>
      </c>
      <c r="L319" t="s">
        <v>24</v>
      </c>
      <c r="M319">
        <f>orders[[#This Row],[Ship Date]]-orders[[#This Row],[Order Date]]</f>
        <v>1</v>
      </c>
      <c r="N319">
        <f>WEEKNUM(orders[[#This Row],[Order Date]])</f>
        <v>3</v>
      </c>
      <c r="O319" t="str">
        <f>_xlfn.IFS(orders[[#This Row],[Customer Gender]]="M","Male", orders[[#This Row],[Customer Gender]]="F","Female", orders[[#This Row],[Customer Gender]]="O","Other", TRUE,"Unknown")</f>
        <v>Female</v>
      </c>
    </row>
    <row r="320" spans="1:15">
      <c r="A320" t="s">
        <v>403</v>
      </c>
      <c r="B320" t="s">
        <v>26</v>
      </c>
      <c r="C320">
        <v>2</v>
      </c>
      <c r="D320">
        <v>69.099999999999994</v>
      </c>
      <c r="E320">
        <v>138.19999999999999</v>
      </c>
      <c r="F320" s="1">
        <v>45671</v>
      </c>
      <c r="G320" s="1">
        <v>45674</v>
      </c>
      <c r="H320" t="s">
        <v>27</v>
      </c>
      <c r="I320" t="s">
        <v>18</v>
      </c>
      <c r="J320">
        <v>5</v>
      </c>
      <c r="K320" t="s">
        <v>19</v>
      </c>
      <c r="L320" t="s">
        <v>147</v>
      </c>
      <c r="M320">
        <f>orders[[#This Row],[Ship Date]]-orders[[#This Row],[Order Date]]</f>
        <v>3</v>
      </c>
      <c r="N320">
        <f>WEEKNUM(orders[[#This Row],[Order Date]])</f>
        <v>3</v>
      </c>
      <c r="O320" t="str">
        <f>_xlfn.IFS(orders[[#This Row],[Customer Gender]]="M","Male", orders[[#This Row],[Customer Gender]]="F","Female", orders[[#This Row],[Customer Gender]]="O","Other", TRUE,"Unknown")</f>
        <v>Female</v>
      </c>
    </row>
    <row r="321" spans="1:15">
      <c r="A321" t="s">
        <v>404</v>
      </c>
      <c r="B321" t="s">
        <v>42</v>
      </c>
      <c r="C321">
        <v>1</v>
      </c>
      <c r="D321">
        <v>58.4</v>
      </c>
      <c r="E321">
        <v>58.4</v>
      </c>
      <c r="F321" s="1">
        <v>45671</v>
      </c>
      <c r="G321" s="1">
        <v>45675</v>
      </c>
      <c r="H321" t="s">
        <v>23</v>
      </c>
      <c r="I321" t="s">
        <v>18</v>
      </c>
      <c r="J321">
        <v>4</v>
      </c>
      <c r="K321" t="s">
        <v>19</v>
      </c>
      <c r="L321" t="s">
        <v>147</v>
      </c>
      <c r="M321">
        <f>orders[[#This Row],[Ship Date]]-orders[[#This Row],[Order Date]]</f>
        <v>4</v>
      </c>
      <c r="N321">
        <f>WEEKNUM(orders[[#This Row],[Order Date]])</f>
        <v>3</v>
      </c>
      <c r="O321" t="str">
        <f>_xlfn.IFS(orders[[#This Row],[Customer Gender]]="M","Male", orders[[#This Row],[Customer Gender]]="F","Female", orders[[#This Row],[Customer Gender]]="O","Other", TRUE,"Unknown")</f>
        <v>Male</v>
      </c>
    </row>
    <row r="322" spans="1:15">
      <c r="A322" t="s">
        <v>405</v>
      </c>
      <c r="B322" t="s">
        <v>37</v>
      </c>
      <c r="C322">
        <v>1</v>
      </c>
      <c r="D322">
        <v>65.2</v>
      </c>
      <c r="E322">
        <v>65.2</v>
      </c>
      <c r="F322" s="1">
        <v>45671</v>
      </c>
      <c r="G322" s="1">
        <v>45673</v>
      </c>
      <c r="H322" t="s">
        <v>89</v>
      </c>
      <c r="I322" t="s">
        <v>70</v>
      </c>
      <c r="J322">
        <v>2</v>
      </c>
      <c r="K322" t="s">
        <v>19</v>
      </c>
      <c r="L322" t="s">
        <v>33</v>
      </c>
      <c r="M322">
        <f>orders[[#This Row],[Ship Date]]-orders[[#This Row],[Order Date]]</f>
        <v>2</v>
      </c>
      <c r="N322">
        <f>WEEKNUM(orders[[#This Row],[Order Date]])</f>
        <v>3</v>
      </c>
      <c r="O322" t="str">
        <f>_xlfn.IFS(orders[[#This Row],[Customer Gender]]="M","Male", orders[[#This Row],[Customer Gender]]="F","Female", orders[[#This Row],[Customer Gender]]="O","Other", TRUE,"Unknown")</f>
        <v>Other</v>
      </c>
    </row>
    <row r="323" spans="1:15">
      <c r="A323" t="s">
        <v>406</v>
      </c>
      <c r="B323" t="s">
        <v>44</v>
      </c>
      <c r="C323">
        <v>17</v>
      </c>
      <c r="D323">
        <v>32.700000000000003</v>
      </c>
      <c r="E323">
        <v>555.90000000000009</v>
      </c>
      <c r="F323" s="1">
        <v>45671</v>
      </c>
      <c r="G323" s="1">
        <v>45678</v>
      </c>
      <c r="H323" t="s">
        <v>17</v>
      </c>
      <c r="I323" t="s">
        <v>70</v>
      </c>
      <c r="J323">
        <v>4</v>
      </c>
      <c r="K323" t="s">
        <v>19</v>
      </c>
      <c r="L323" t="s">
        <v>33</v>
      </c>
      <c r="M323">
        <f>orders[[#This Row],[Ship Date]]-orders[[#This Row],[Order Date]]</f>
        <v>7</v>
      </c>
      <c r="N323">
        <f>WEEKNUM(orders[[#This Row],[Order Date]])</f>
        <v>3</v>
      </c>
      <c r="O323" t="str">
        <f>_xlfn.IFS(orders[[#This Row],[Customer Gender]]="M","Male", orders[[#This Row],[Customer Gender]]="F","Female", orders[[#This Row],[Customer Gender]]="O","Other", TRUE,"Unknown")</f>
        <v>Unknown</v>
      </c>
    </row>
    <row r="324" spans="1:15">
      <c r="A324" t="s">
        <v>407</v>
      </c>
      <c r="B324" t="s">
        <v>54</v>
      </c>
      <c r="C324">
        <v>7</v>
      </c>
      <c r="D324">
        <v>24.4</v>
      </c>
      <c r="E324">
        <v>170.79999999999998</v>
      </c>
      <c r="F324" s="1">
        <v>45671</v>
      </c>
      <c r="G324" s="1">
        <v>45672</v>
      </c>
      <c r="H324" t="s">
        <v>27</v>
      </c>
      <c r="I324" t="s">
        <v>18</v>
      </c>
      <c r="J324">
        <v>4</v>
      </c>
      <c r="K324" t="s">
        <v>19</v>
      </c>
      <c r="L324" t="s">
        <v>33</v>
      </c>
      <c r="M324">
        <f>orders[[#This Row],[Ship Date]]-orders[[#This Row],[Order Date]]</f>
        <v>1</v>
      </c>
      <c r="N324">
        <f>WEEKNUM(orders[[#This Row],[Order Date]])</f>
        <v>3</v>
      </c>
      <c r="O324" t="str">
        <f>_xlfn.IFS(orders[[#This Row],[Customer Gender]]="M","Male", orders[[#This Row],[Customer Gender]]="F","Female", orders[[#This Row],[Customer Gender]]="O","Other", TRUE,"Unknown")</f>
        <v>Female</v>
      </c>
    </row>
    <row r="325" spans="1:15">
      <c r="A325" t="s">
        <v>408</v>
      </c>
      <c r="B325" t="s">
        <v>81</v>
      </c>
      <c r="C325">
        <v>2</v>
      </c>
      <c r="D325">
        <v>50.4</v>
      </c>
      <c r="E325">
        <v>100.8</v>
      </c>
      <c r="F325" s="1">
        <v>45671</v>
      </c>
      <c r="G325" s="1">
        <v>45677</v>
      </c>
      <c r="H325" t="s">
        <v>23</v>
      </c>
      <c r="I325" t="s">
        <v>18</v>
      </c>
      <c r="J325">
        <v>3</v>
      </c>
      <c r="K325" t="s">
        <v>19</v>
      </c>
      <c r="L325" t="s">
        <v>33</v>
      </c>
      <c r="M325">
        <f>orders[[#This Row],[Ship Date]]-orders[[#This Row],[Order Date]]</f>
        <v>6</v>
      </c>
      <c r="N325">
        <f>WEEKNUM(orders[[#This Row],[Order Date]])</f>
        <v>3</v>
      </c>
      <c r="O325" t="str">
        <f>_xlfn.IFS(orders[[#This Row],[Customer Gender]]="M","Male", orders[[#This Row],[Customer Gender]]="F","Female", orders[[#This Row],[Customer Gender]]="O","Other", TRUE,"Unknown")</f>
        <v>Male</v>
      </c>
    </row>
    <row r="326" spans="1:15">
      <c r="A326" t="s">
        <v>409</v>
      </c>
      <c r="B326" t="s">
        <v>22</v>
      </c>
      <c r="C326">
        <v>2</v>
      </c>
      <c r="D326">
        <v>100</v>
      </c>
      <c r="E326">
        <v>200</v>
      </c>
      <c r="F326" s="1">
        <v>45671</v>
      </c>
      <c r="G326" s="1">
        <v>45672</v>
      </c>
      <c r="H326" t="s">
        <v>27</v>
      </c>
      <c r="I326" t="s">
        <v>18</v>
      </c>
      <c r="J326">
        <v>4</v>
      </c>
      <c r="K326" t="s">
        <v>19</v>
      </c>
      <c r="L326" t="s">
        <v>33</v>
      </c>
      <c r="M326">
        <f>orders[[#This Row],[Ship Date]]-orders[[#This Row],[Order Date]]</f>
        <v>1</v>
      </c>
      <c r="N326">
        <f>WEEKNUM(orders[[#This Row],[Order Date]])</f>
        <v>3</v>
      </c>
      <c r="O326" t="str">
        <f>_xlfn.IFS(orders[[#This Row],[Customer Gender]]="M","Male", orders[[#This Row],[Customer Gender]]="F","Female", orders[[#This Row],[Customer Gender]]="O","Other", TRUE,"Unknown")</f>
        <v>Female</v>
      </c>
    </row>
    <row r="327" spans="1:15">
      <c r="A327" t="s">
        <v>410</v>
      </c>
      <c r="B327" t="s">
        <v>54</v>
      </c>
      <c r="C327">
        <v>3</v>
      </c>
      <c r="D327">
        <v>43</v>
      </c>
      <c r="E327">
        <v>129</v>
      </c>
      <c r="F327" s="1">
        <v>45672</v>
      </c>
      <c r="G327" s="1">
        <v>45672</v>
      </c>
      <c r="H327" t="s">
        <v>27</v>
      </c>
      <c r="I327" t="s">
        <v>40</v>
      </c>
      <c r="J327">
        <v>3</v>
      </c>
      <c r="K327" t="s">
        <v>19</v>
      </c>
      <c r="L327" t="s">
        <v>33</v>
      </c>
      <c r="M327">
        <f>orders[[#This Row],[Ship Date]]-orders[[#This Row],[Order Date]]</f>
        <v>0</v>
      </c>
      <c r="N327">
        <f>WEEKNUM(orders[[#This Row],[Order Date]])</f>
        <v>3</v>
      </c>
      <c r="O327" t="str">
        <f>_xlfn.IFS(orders[[#This Row],[Customer Gender]]="M","Male", orders[[#This Row],[Customer Gender]]="F","Female", orders[[#This Row],[Customer Gender]]="O","Other", TRUE,"Unknown")</f>
        <v>Female</v>
      </c>
    </row>
    <row r="328" spans="1:15">
      <c r="A328" t="s">
        <v>411</v>
      </c>
      <c r="B328" t="s">
        <v>22</v>
      </c>
      <c r="C328">
        <v>5</v>
      </c>
      <c r="D328">
        <v>64.400000000000006</v>
      </c>
      <c r="E328">
        <v>322</v>
      </c>
      <c r="F328" s="1">
        <v>45672</v>
      </c>
      <c r="G328" s="1">
        <v>45674</v>
      </c>
      <c r="H328" t="s">
        <v>23</v>
      </c>
      <c r="I328" t="s">
        <v>40</v>
      </c>
      <c r="J328">
        <v>3</v>
      </c>
      <c r="K328" t="s">
        <v>19</v>
      </c>
      <c r="L328" t="s">
        <v>33</v>
      </c>
      <c r="M328">
        <f>orders[[#This Row],[Ship Date]]-orders[[#This Row],[Order Date]]</f>
        <v>2</v>
      </c>
      <c r="N328">
        <f>WEEKNUM(orders[[#This Row],[Order Date]])</f>
        <v>3</v>
      </c>
      <c r="O328" t="str">
        <f>_xlfn.IFS(orders[[#This Row],[Customer Gender]]="M","Male", orders[[#This Row],[Customer Gender]]="F","Female", orders[[#This Row],[Customer Gender]]="O","Other", TRUE,"Unknown")</f>
        <v>Male</v>
      </c>
    </row>
    <row r="329" spans="1:15">
      <c r="A329" t="s">
        <v>412</v>
      </c>
      <c r="B329" t="s">
        <v>146</v>
      </c>
      <c r="C329">
        <v>2</v>
      </c>
      <c r="D329">
        <v>57.4</v>
      </c>
      <c r="E329">
        <v>114.8</v>
      </c>
      <c r="F329" s="1">
        <v>45672</v>
      </c>
      <c r="G329" s="1">
        <v>45673</v>
      </c>
      <c r="H329" t="s">
        <v>23</v>
      </c>
      <c r="I329" t="s">
        <v>40</v>
      </c>
      <c r="J329">
        <v>3</v>
      </c>
      <c r="K329" t="s">
        <v>19</v>
      </c>
      <c r="L329" t="s">
        <v>33</v>
      </c>
      <c r="M329">
        <f>orders[[#This Row],[Ship Date]]-orders[[#This Row],[Order Date]]</f>
        <v>1</v>
      </c>
      <c r="N329">
        <f>WEEKNUM(orders[[#This Row],[Order Date]])</f>
        <v>3</v>
      </c>
      <c r="O329" t="str">
        <f>_xlfn.IFS(orders[[#This Row],[Customer Gender]]="M","Male", orders[[#This Row],[Customer Gender]]="F","Female", orders[[#This Row],[Customer Gender]]="O","Other", TRUE,"Unknown")</f>
        <v>Male</v>
      </c>
    </row>
    <row r="330" spans="1:15">
      <c r="A330" t="s">
        <v>413</v>
      </c>
      <c r="B330" t="s">
        <v>26</v>
      </c>
      <c r="C330">
        <v>3</v>
      </c>
      <c r="D330">
        <v>55.1</v>
      </c>
      <c r="E330">
        <v>165.3</v>
      </c>
      <c r="F330" s="1">
        <v>45672</v>
      </c>
      <c r="G330" s="1">
        <v>45675</v>
      </c>
      <c r="H330" t="s">
        <v>27</v>
      </c>
      <c r="I330" t="s">
        <v>35</v>
      </c>
      <c r="J330">
        <v>4</v>
      </c>
      <c r="K330" t="s">
        <v>19</v>
      </c>
      <c r="L330" t="s">
        <v>33</v>
      </c>
      <c r="M330">
        <f>orders[[#This Row],[Ship Date]]-orders[[#This Row],[Order Date]]</f>
        <v>3</v>
      </c>
      <c r="N330">
        <f>WEEKNUM(orders[[#This Row],[Order Date]])</f>
        <v>3</v>
      </c>
      <c r="O330" t="str">
        <f>_xlfn.IFS(orders[[#This Row],[Customer Gender]]="M","Male", orders[[#This Row],[Customer Gender]]="F","Female", orders[[#This Row],[Customer Gender]]="O","Other", TRUE,"Unknown")</f>
        <v>Female</v>
      </c>
    </row>
    <row r="331" spans="1:15">
      <c r="A331" t="s">
        <v>414</v>
      </c>
      <c r="B331" t="s">
        <v>42</v>
      </c>
      <c r="C331">
        <v>4</v>
      </c>
      <c r="D331">
        <v>45.4</v>
      </c>
      <c r="E331">
        <v>181.6</v>
      </c>
      <c r="F331" s="1">
        <v>45672</v>
      </c>
      <c r="G331" s="1">
        <v>45673</v>
      </c>
      <c r="H331" t="s">
        <v>27</v>
      </c>
      <c r="I331" t="s">
        <v>35</v>
      </c>
      <c r="J331">
        <v>4</v>
      </c>
      <c r="K331" t="s">
        <v>19</v>
      </c>
      <c r="L331" t="s">
        <v>33</v>
      </c>
      <c r="M331">
        <f>orders[[#This Row],[Ship Date]]-orders[[#This Row],[Order Date]]</f>
        <v>1</v>
      </c>
      <c r="N331">
        <f>WEEKNUM(orders[[#This Row],[Order Date]])</f>
        <v>3</v>
      </c>
      <c r="O331" t="str">
        <f>_xlfn.IFS(orders[[#This Row],[Customer Gender]]="M","Male", orders[[#This Row],[Customer Gender]]="F","Female", orders[[#This Row],[Customer Gender]]="O","Other", TRUE,"Unknown")</f>
        <v>Female</v>
      </c>
    </row>
    <row r="332" spans="1:15">
      <c r="A332" t="s">
        <v>415</v>
      </c>
      <c r="B332" t="s">
        <v>30</v>
      </c>
      <c r="C332">
        <v>3</v>
      </c>
      <c r="D332">
        <v>93.3</v>
      </c>
      <c r="E332">
        <v>279.89999999999998</v>
      </c>
      <c r="F332" s="1">
        <v>45672</v>
      </c>
      <c r="G332" s="1">
        <v>45673</v>
      </c>
      <c r="H332" t="s">
        <v>27</v>
      </c>
      <c r="I332" t="s">
        <v>18</v>
      </c>
      <c r="J332">
        <v>4</v>
      </c>
      <c r="K332" t="s">
        <v>19</v>
      </c>
      <c r="L332" t="s">
        <v>416</v>
      </c>
      <c r="M332">
        <f>orders[[#This Row],[Ship Date]]-orders[[#This Row],[Order Date]]</f>
        <v>1</v>
      </c>
      <c r="N332">
        <f>WEEKNUM(orders[[#This Row],[Order Date]])</f>
        <v>3</v>
      </c>
      <c r="O332" t="str">
        <f>_xlfn.IFS(orders[[#This Row],[Customer Gender]]="M","Male", orders[[#This Row],[Customer Gender]]="F","Female", orders[[#This Row],[Customer Gender]]="O","Other", TRUE,"Unknown")</f>
        <v>Female</v>
      </c>
    </row>
    <row r="333" spans="1:15">
      <c r="A333" t="s">
        <v>417</v>
      </c>
      <c r="B333" t="s">
        <v>26</v>
      </c>
      <c r="C333">
        <v>19</v>
      </c>
      <c r="D333">
        <v>158.19999999999999</v>
      </c>
      <c r="E333">
        <v>3005.7999999999997</v>
      </c>
      <c r="F333" s="1">
        <v>45672</v>
      </c>
      <c r="G333" s="1">
        <v>45673</v>
      </c>
      <c r="H333" t="s">
        <v>27</v>
      </c>
      <c r="I333" t="s">
        <v>35</v>
      </c>
      <c r="J333">
        <v>5</v>
      </c>
      <c r="K333" t="s">
        <v>19</v>
      </c>
      <c r="L333" t="s">
        <v>98</v>
      </c>
      <c r="M333">
        <f>orders[[#This Row],[Ship Date]]-orders[[#This Row],[Order Date]]</f>
        <v>1</v>
      </c>
      <c r="N333">
        <f>WEEKNUM(orders[[#This Row],[Order Date]])</f>
        <v>3</v>
      </c>
      <c r="O333" t="str">
        <f>_xlfn.IFS(orders[[#This Row],[Customer Gender]]="M","Male", orders[[#This Row],[Customer Gender]]="F","Female", orders[[#This Row],[Customer Gender]]="O","Other", TRUE,"Unknown")</f>
        <v>Female</v>
      </c>
    </row>
    <row r="334" spans="1:15">
      <c r="A334" t="s">
        <v>418</v>
      </c>
      <c r="B334" t="s">
        <v>26</v>
      </c>
      <c r="C334">
        <v>2</v>
      </c>
      <c r="D334">
        <v>74.900000000000006</v>
      </c>
      <c r="E334">
        <v>149.80000000000001</v>
      </c>
      <c r="F334" s="1">
        <v>45672</v>
      </c>
      <c r="G334" s="1">
        <v>45674</v>
      </c>
      <c r="H334" t="s">
        <v>23</v>
      </c>
      <c r="I334" t="s">
        <v>51</v>
      </c>
      <c r="J334">
        <v>4</v>
      </c>
      <c r="K334" t="s">
        <v>19</v>
      </c>
      <c r="L334" t="s">
        <v>55</v>
      </c>
      <c r="M334">
        <f>orders[[#This Row],[Ship Date]]-orders[[#This Row],[Order Date]]</f>
        <v>2</v>
      </c>
      <c r="N334">
        <f>WEEKNUM(orders[[#This Row],[Order Date]])</f>
        <v>3</v>
      </c>
      <c r="O334" t="str">
        <f>_xlfn.IFS(orders[[#This Row],[Customer Gender]]="M","Male", orders[[#This Row],[Customer Gender]]="F","Female", orders[[#This Row],[Customer Gender]]="O","Other", TRUE,"Unknown")</f>
        <v>Male</v>
      </c>
    </row>
    <row r="335" spans="1:15">
      <c r="A335" t="s">
        <v>419</v>
      </c>
      <c r="B335" t="s">
        <v>44</v>
      </c>
      <c r="C335">
        <v>7</v>
      </c>
      <c r="D335">
        <v>26</v>
      </c>
      <c r="E335">
        <v>182</v>
      </c>
      <c r="F335" s="1">
        <v>45672</v>
      </c>
      <c r="G335" s="1">
        <v>45675</v>
      </c>
      <c r="H335" t="s">
        <v>27</v>
      </c>
      <c r="I335" t="s">
        <v>35</v>
      </c>
      <c r="J335">
        <v>4</v>
      </c>
      <c r="K335" t="s">
        <v>19</v>
      </c>
      <c r="L335" t="s">
        <v>62</v>
      </c>
      <c r="M335">
        <f>orders[[#This Row],[Ship Date]]-orders[[#This Row],[Order Date]]</f>
        <v>3</v>
      </c>
      <c r="N335">
        <f>WEEKNUM(orders[[#This Row],[Order Date]])</f>
        <v>3</v>
      </c>
      <c r="O335" t="str">
        <f>_xlfn.IFS(orders[[#This Row],[Customer Gender]]="M","Male", orders[[#This Row],[Customer Gender]]="F","Female", orders[[#This Row],[Customer Gender]]="O","Other", TRUE,"Unknown")</f>
        <v>Female</v>
      </c>
    </row>
    <row r="336" spans="1:15">
      <c r="A336" t="s">
        <v>420</v>
      </c>
      <c r="B336" t="s">
        <v>46</v>
      </c>
      <c r="C336">
        <v>6</v>
      </c>
      <c r="D336">
        <v>37.5</v>
      </c>
      <c r="E336">
        <v>225</v>
      </c>
      <c r="F336" s="1">
        <v>45672</v>
      </c>
      <c r="G336" s="1">
        <v>45673</v>
      </c>
      <c r="H336" t="s">
        <v>27</v>
      </c>
      <c r="I336" t="s">
        <v>18</v>
      </c>
      <c r="J336">
        <v>3</v>
      </c>
      <c r="K336" t="s">
        <v>19</v>
      </c>
      <c r="L336" t="s">
        <v>62</v>
      </c>
      <c r="M336">
        <f>orders[[#This Row],[Ship Date]]-orders[[#This Row],[Order Date]]</f>
        <v>1</v>
      </c>
      <c r="N336">
        <f>WEEKNUM(orders[[#This Row],[Order Date]])</f>
        <v>3</v>
      </c>
      <c r="O336" t="str">
        <f>_xlfn.IFS(orders[[#This Row],[Customer Gender]]="M","Male", orders[[#This Row],[Customer Gender]]="F","Female", orders[[#This Row],[Customer Gender]]="O","Other", TRUE,"Unknown")</f>
        <v>Female</v>
      </c>
    </row>
    <row r="337" spans="1:15">
      <c r="A337" t="s">
        <v>421</v>
      </c>
      <c r="B337" t="s">
        <v>39</v>
      </c>
      <c r="C337">
        <v>2</v>
      </c>
      <c r="D337">
        <v>75.8</v>
      </c>
      <c r="E337">
        <v>151.6</v>
      </c>
      <c r="F337" s="1">
        <v>45672</v>
      </c>
      <c r="G337" s="1">
        <v>45678</v>
      </c>
      <c r="H337" t="s">
        <v>23</v>
      </c>
      <c r="I337" t="s">
        <v>18</v>
      </c>
      <c r="J337">
        <v>4</v>
      </c>
      <c r="K337" t="s">
        <v>19</v>
      </c>
      <c r="L337" t="s">
        <v>62</v>
      </c>
      <c r="M337">
        <f>orders[[#This Row],[Ship Date]]-orders[[#This Row],[Order Date]]</f>
        <v>6</v>
      </c>
      <c r="N337">
        <f>WEEKNUM(orders[[#This Row],[Order Date]])</f>
        <v>3</v>
      </c>
      <c r="O337" t="str">
        <f>_xlfn.IFS(orders[[#This Row],[Customer Gender]]="M","Male", orders[[#This Row],[Customer Gender]]="F","Female", orders[[#This Row],[Customer Gender]]="O","Other", TRUE,"Unknown")</f>
        <v>Male</v>
      </c>
    </row>
    <row r="338" spans="1:15">
      <c r="A338" t="s">
        <v>422</v>
      </c>
      <c r="B338" t="s">
        <v>42</v>
      </c>
      <c r="C338">
        <v>1</v>
      </c>
      <c r="D338">
        <v>48.5</v>
      </c>
      <c r="E338">
        <v>48.5</v>
      </c>
      <c r="F338" s="1">
        <v>45672</v>
      </c>
      <c r="G338" s="1">
        <v>45684</v>
      </c>
      <c r="H338" t="s">
        <v>17</v>
      </c>
      <c r="I338" t="s">
        <v>70</v>
      </c>
      <c r="J338">
        <v>5</v>
      </c>
      <c r="K338" t="s">
        <v>19</v>
      </c>
      <c r="L338" t="s">
        <v>62</v>
      </c>
      <c r="M338">
        <f>orders[[#This Row],[Ship Date]]-orders[[#This Row],[Order Date]]</f>
        <v>12</v>
      </c>
      <c r="N338">
        <f>WEEKNUM(orders[[#This Row],[Order Date]])</f>
        <v>3</v>
      </c>
      <c r="O338" t="str">
        <f>_xlfn.IFS(orders[[#This Row],[Customer Gender]]="M","Male", orders[[#This Row],[Customer Gender]]="F","Female", orders[[#This Row],[Customer Gender]]="O","Other", TRUE,"Unknown")</f>
        <v>Unknown</v>
      </c>
    </row>
    <row r="339" spans="1:15">
      <c r="A339" t="s">
        <v>423</v>
      </c>
      <c r="B339" t="s">
        <v>39</v>
      </c>
      <c r="C339">
        <v>3</v>
      </c>
      <c r="D339">
        <v>98.9</v>
      </c>
      <c r="E339">
        <v>296.70000000000005</v>
      </c>
      <c r="F339" s="1">
        <v>45672</v>
      </c>
      <c r="G339" s="1">
        <v>45674</v>
      </c>
      <c r="H339" t="s">
        <v>27</v>
      </c>
      <c r="I339" t="s">
        <v>70</v>
      </c>
      <c r="J339">
        <v>3</v>
      </c>
      <c r="K339" t="s">
        <v>19</v>
      </c>
      <c r="L339" t="s">
        <v>62</v>
      </c>
      <c r="M339">
        <f>orders[[#This Row],[Ship Date]]-orders[[#This Row],[Order Date]]</f>
        <v>2</v>
      </c>
      <c r="N339">
        <f>WEEKNUM(orders[[#This Row],[Order Date]])</f>
        <v>3</v>
      </c>
      <c r="O339" t="str">
        <f>_xlfn.IFS(orders[[#This Row],[Customer Gender]]="M","Male", orders[[#This Row],[Customer Gender]]="F","Female", orders[[#This Row],[Customer Gender]]="O","Other", TRUE,"Unknown")</f>
        <v>Female</v>
      </c>
    </row>
    <row r="340" spans="1:15">
      <c r="A340" t="s">
        <v>424</v>
      </c>
      <c r="B340" t="s">
        <v>22</v>
      </c>
      <c r="C340">
        <v>12</v>
      </c>
      <c r="D340">
        <v>50.9</v>
      </c>
      <c r="E340">
        <v>610.79999999999995</v>
      </c>
      <c r="F340" s="1">
        <v>45672</v>
      </c>
      <c r="G340" s="1">
        <v>45672</v>
      </c>
      <c r="H340" t="s">
        <v>23</v>
      </c>
      <c r="I340" t="s">
        <v>70</v>
      </c>
      <c r="J340">
        <v>4</v>
      </c>
      <c r="K340" t="s">
        <v>19</v>
      </c>
      <c r="L340" t="s">
        <v>62</v>
      </c>
      <c r="M340">
        <f>orders[[#This Row],[Ship Date]]-orders[[#This Row],[Order Date]]</f>
        <v>0</v>
      </c>
      <c r="N340">
        <f>WEEKNUM(orders[[#This Row],[Order Date]])</f>
        <v>3</v>
      </c>
      <c r="O340" t="str">
        <f>_xlfn.IFS(orders[[#This Row],[Customer Gender]]="M","Male", orders[[#This Row],[Customer Gender]]="F","Female", orders[[#This Row],[Customer Gender]]="O","Other", TRUE,"Unknown")</f>
        <v>Male</v>
      </c>
    </row>
    <row r="341" spans="1:15">
      <c r="A341" t="s">
        <v>425</v>
      </c>
      <c r="B341" t="s">
        <v>69</v>
      </c>
      <c r="C341">
        <v>6</v>
      </c>
      <c r="D341">
        <v>84.7</v>
      </c>
      <c r="E341">
        <v>508.20000000000005</v>
      </c>
      <c r="F341" s="1">
        <v>45672</v>
      </c>
      <c r="G341" s="1">
        <v>45672</v>
      </c>
      <c r="H341" t="s">
        <v>27</v>
      </c>
      <c r="I341" t="s">
        <v>40</v>
      </c>
      <c r="J341">
        <v>4</v>
      </c>
      <c r="K341" t="s">
        <v>19</v>
      </c>
      <c r="L341" t="s">
        <v>62</v>
      </c>
      <c r="M341">
        <f>orders[[#This Row],[Ship Date]]-orders[[#This Row],[Order Date]]</f>
        <v>0</v>
      </c>
      <c r="N341">
        <f>WEEKNUM(orders[[#This Row],[Order Date]])</f>
        <v>3</v>
      </c>
      <c r="O341" t="str">
        <f>_xlfn.IFS(orders[[#This Row],[Customer Gender]]="M","Male", orders[[#This Row],[Customer Gender]]="F","Female", orders[[#This Row],[Customer Gender]]="O","Other", TRUE,"Unknown")</f>
        <v>Female</v>
      </c>
    </row>
    <row r="342" spans="1:15">
      <c r="A342" t="s">
        <v>426</v>
      </c>
      <c r="B342" t="s">
        <v>44</v>
      </c>
      <c r="C342">
        <v>1</v>
      </c>
      <c r="D342">
        <v>20.7</v>
      </c>
      <c r="E342">
        <v>20.7</v>
      </c>
      <c r="F342" s="1">
        <v>45672</v>
      </c>
      <c r="G342" s="1">
        <v>45674</v>
      </c>
      <c r="H342" t="s">
        <v>27</v>
      </c>
      <c r="I342" t="s">
        <v>51</v>
      </c>
      <c r="J342">
        <v>5</v>
      </c>
      <c r="K342" t="s">
        <v>19</v>
      </c>
      <c r="L342" t="s">
        <v>62</v>
      </c>
      <c r="M342">
        <f>orders[[#This Row],[Ship Date]]-orders[[#This Row],[Order Date]]</f>
        <v>2</v>
      </c>
      <c r="N342">
        <f>WEEKNUM(orders[[#This Row],[Order Date]])</f>
        <v>3</v>
      </c>
      <c r="O342" t="str">
        <f>_xlfn.IFS(orders[[#This Row],[Customer Gender]]="M","Male", orders[[#This Row],[Customer Gender]]="F","Female", orders[[#This Row],[Customer Gender]]="O","Other", TRUE,"Unknown")</f>
        <v>Female</v>
      </c>
    </row>
    <row r="343" spans="1:15">
      <c r="A343" t="s">
        <v>427</v>
      </c>
      <c r="B343" t="s">
        <v>69</v>
      </c>
      <c r="C343">
        <v>9</v>
      </c>
      <c r="D343">
        <v>57.8</v>
      </c>
      <c r="E343">
        <v>520.19999999999993</v>
      </c>
      <c r="F343" s="1">
        <v>45672</v>
      </c>
      <c r="G343" s="1">
        <v>45683</v>
      </c>
      <c r="H343" t="s">
        <v>23</v>
      </c>
      <c r="I343" t="s">
        <v>18</v>
      </c>
      <c r="J343">
        <v>2</v>
      </c>
      <c r="K343" t="s">
        <v>19</v>
      </c>
      <c r="L343" t="s">
        <v>103</v>
      </c>
      <c r="M343">
        <f>orders[[#This Row],[Ship Date]]-orders[[#This Row],[Order Date]]</f>
        <v>11</v>
      </c>
      <c r="N343">
        <f>WEEKNUM(orders[[#This Row],[Order Date]])</f>
        <v>3</v>
      </c>
      <c r="O343" t="str">
        <f>_xlfn.IFS(orders[[#This Row],[Customer Gender]]="M","Male", orders[[#This Row],[Customer Gender]]="F","Female", orders[[#This Row],[Customer Gender]]="O","Other", TRUE,"Unknown")</f>
        <v>Male</v>
      </c>
    </row>
    <row r="344" spans="1:15">
      <c r="A344" t="s">
        <v>428</v>
      </c>
      <c r="B344" t="s">
        <v>26</v>
      </c>
      <c r="C344">
        <v>2</v>
      </c>
      <c r="D344">
        <v>106.9</v>
      </c>
      <c r="E344">
        <v>213.8</v>
      </c>
      <c r="F344" s="1">
        <v>45672</v>
      </c>
      <c r="G344" s="1">
        <v>45674</v>
      </c>
      <c r="H344" t="s">
        <v>27</v>
      </c>
      <c r="I344" t="s">
        <v>18</v>
      </c>
      <c r="J344">
        <v>5</v>
      </c>
      <c r="K344" t="s">
        <v>19</v>
      </c>
      <c r="L344" t="s">
        <v>429</v>
      </c>
      <c r="M344">
        <f>orders[[#This Row],[Ship Date]]-orders[[#This Row],[Order Date]]</f>
        <v>2</v>
      </c>
      <c r="N344">
        <f>WEEKNUM(orders[[#This Row],[Order Date]])</f>
        <v>3</v>
      </c>
      <c r="O344" t="str">
        <f>_xlfn.IFS(orders[[#This Row],[Customer Gender]]="M","Male", orders[[#This Row],[Customer Gender]]="F","Female", orders[[#This Row],[Customer Gender]]="O","Other", TRUE,"Unknown")</f>
        <v>Female</v>
      </c>
    </row>
    <row r="345" spans="1:15">
      <c r="A345" t="s">
        <v>430</v>
      </c>
      <c r="B345" t="s">
        <v>30</v>
      </c>
      <c r="C345">
        <v>5</v>
      </c>
      <c r="D345">
        <v>45.2</v>
      </c>
      <c r="E345">
        <v>226</v>
      </c>
      <c r="F345" s="1">
        <v>45672</v>
      </c>
      <c r="G345" s="1">
        <v>45676</v>
      </c>
      <c r="H345" t="s">
        <v>27</v>
      </c>
      <c r="I345" t="s">
        <v>35</v>
      </c>
      <c r="J345">
        <v>4</v>
      </c>
      <c r="K345" t="s">
        <v>19</v>
      </c>
      <c r="L345" t="s">
        <v>115</v>
      </c>
      <c r="M345">
        <f>orders[[#This Row],[Ship Date]]-orders[[#This Row],[Order Date]]</f>
        <v>4</v>
      </c>
      <c r="N345">
        <f>WEEKNUM(orders[[#This Row],[Order Date]])</f>
        <v>3</v>
      </c>
      <c r="O345" t="str">
        <f>_xlfn.IFS(orders[[#This Row],[Customer Gender]]="M","Male", orders[[#This Row],[Customer Gender]]="F","Female", orders[[#This Row],[Customer Gender]]="O","Other", TRUE,"Unknown")</f>
        <v>Female</v>
      </c>
    </row>
    <row r="346" spans="1:15">
      <c r="A346" t="s">
        <v>431</v>
      </c>
      <c r="B346" t="s">
        <v>44</v>
      </c>
      <c r="C346">
        <v>13</v>
      </c>
      <c r="D346">
        <v>34.6</v>
      </c>
      <c r="E346">
        <v>449.8</v>
      </c>
      <c r="F346" s="1">
        <v>45672</v>
      </c>
      <c r="G346" s="1">
        <v>45672</v>
      </c>
      <c r="H346" t="s">
        <v>27</v>
      </c>
      <c r="I346" t="s">
        <v>35</v>
      </c>
      <c r="J346">
        <v>3</v>
      </c>
      <c r="K346" t="s">
        <v>19</v>
      </c>
      <c r="L346" t="s">
        <v>115</v>
      </c>
      <c r="M346">
        <f>orders[[#This Row],[Ship Date]]-orders[[#This Row],[Order Date]]</f>
        <v>0</v>
      </c>
      <c r="N346">
        <f>WEEKNUM(orders[[#This Row],[Order Date]])</f>
        <v>3</v>
      </c>
      <c r="O346" t="str">
        <f>_xlfn.IFS(orders[[#This Row],[Customer Gender]]="M","Male", orders[[#This Row],[Customer Gender]]="F","Female", orders[[#This Row],[Customer Gender]]="O","Other", TRUE,"Unknown")</f>
        <v>Female</v>
      </c>
    </row>
    <row r="347" spans="1:15">
      <c r="A347" t="s">
        <v>432</v>
      </c>
      <c r="B347" t="s">
        <v>123</v>
      </c>
      <c r="C347">
        <v>1</v>
      </c>
      <c r="D347">
        <v>43.8</v>
      </c>
      <c r="E347">
        <v>43.8</v>
      </c>
      <c r="F347" s="1">
        <v>45672</v>
      </c>
      <c r="G347" s="1">
        <v>45674</v>
      </c>
      <c r="H347" t="s">
        <v>17</v>
      </c>
      <c r="I347" t="s">
        <v>18</v>
      </c>
      <c r="J347">
        <v>5</v>
      </c>
      <c r="K347" t="s">
        <v>19</v>
      </c>
      <c r="L347" t="s">
        <v>115</v>
      </c>
      <c r="M347">
        <f>orders[[#This Row],[Ship Date]]-orders[[#This Row],[Order Date]]</f>
        <v>2</v>
      </c>
      <c r="N347">
        <f>WEEKNUM(orders[[#This Row],[Order Date]])</f>
        <v>3</v>
      </c>
      <c r="O347" t="str">
        <f>_xlfn.IFS(orders[[#This Row],[Customer Gender]]="M","Male", orders[[#This Row],[Customer Gender]]="F","Female", orders[[#This Row],[Customer Gender]]="O","Other", TRUE,"Unknown")</f>
        <v>Unknown</v>
      </c>
    </row>
    <row r="348" spans="1:15">
      <c r="A348" t="s">
        <v>433</v>
      </c>
      <c r="B348" t="s">
        <v>123</v>
      </c>
      <c r="C348">
        <v>1</v>
      </c>
      <c r="D348">
        <v>20.399999999999999</v>
      </c>
      <c r="E348">
        <v>20.399999999999999</v>
      </c>
      <c r="F348" s="1">
        <v>45672</v>
      </c>
      <c r="G348" s="1">
        <v>45674</v>
      </c>
      <c r="H348" t="s">
        <v>23</v>
      </c>
      <c r="I348" t="s">
        <v>70</v>
      </c>
      <c r="J348">
        <v>3</v>
      </c>
      <c r="K348" t="s">
        <v>19</v>
      </c>
      <c r="L348" t="s">
        <v>115</v>
      </c>
      <c r="M348">
        <f>orders[[#This Row],[Ship Date]]-orders[[#This Row],[Order Date]]</f>
        <v>2</v>
      </c>
      <c r="N348">
        <f>WEEKNUM(orders[[#This Row],[Order Date]])</f>
        <v>3</v>
      </c>
      <c r="O348" t="str">
        <f>_xlfn.IFS(orders[[#This Row],[Customer Gender]]="M","Male", orders[[#This Row],[Customer Gender]]="F","Female", orders[[#This Row],[Customer Gender]]="O","Other", TRUE,"Unknown")</f>
        <v>Male</v>
      </c>
    </row>
    <row r="349" spans="1:15">
      <c r="A349" t="s">
        <v>434</v>
      </c>
      <c r="B349" t="s">
        <v>22</v>
      </c>
      <c r="C349">
        <v>1</v>
      </c>
      <c r="D349">
        <v>36.700000000000003</v>
      </c>
      <c r="E349">
        <v>36.700000000000003</v>
      </c>
      <c r="F349" s="1">
        <v>45672</v>
      </c>
      <c r="G349" s="1">
        <v>45673</v>
      </c>
      <c r="H349" t="s">
        <v>23</v>
      </c>
      <c r="I349" t="s">
        <v>18</v>
      </c>
      <c r="J349">
        <v>3</v>
      </c>
      <c r="K349" t="s">
        <v>19</v>
      </c>
      <c r="L349" t="s">
        <v>24</v>
      </c>
      <c r="M349">
        <f>orders[[#This Row],[Ship Date]]-orders[[#This Row],[Order Date]]</f>
        <v>1</v>
      </c>
      <c r="N349">
        <f>WEEKNUM(orders[[#This Row],[Order Date]])</f>
        <v>3</v>
      </c>
      <c r="O349" t="str">
        <f>_xlfn.IFS(orders[[#This Row],[Customer Gender]]="M","Male", orders[[#This Row],[Customer Gender]]="F","Female", orders[[#This Row],[Customer Gender]]="O","Other", TRUE,"Unknown")</f>
        <v>Male</v>
      </c>
    </row>
    <row r="350" spans="1:15">
      <c r="A350" t="s">
        <v>435</v>
      </c>
      <c r="B350" t="s">
        <v>44</v>
      </c>
      <c r="C350">
        <v>3</v>
      </c>
      <c r="D350">
        <v>27.2</v>
      </c>
      <c r="E350">
        <v>81.599999999999994</v>
      </c>
      <c r="F350" s="1">
        <v>45672</v>
      </c>
      <c r="G350" s="1">
        <v>45676</v>
      </c>
      <c r="H350" t="s">
        <v>23</v>
      </c>
      <c r="I350" t="s">
        <v>18</v>
      </c>
      <c r="J350">
        <v>5</v>
      </c>
      <c r="K350" t="s">
        <v>19</v>
      </c>
      <c r="L350" t="s">
        <v>24</v>
      </c>
      <c r="M350">
        <f>orders[[#This Row],[Ship Date]]-orders[[#This Row],[Order Date]]</f>
        <v>4</v>
      </c>
      <c r="N350">
        <f>WEEKNUM(orders[[#This Row],[Order Date]])</f>
        <v>3</v>
      </c>
      <c r="O350" t="str">
        <f>_xlfn.IFS(orders[[#This Row],[Customer Gender]]="M","Male", orders[[#This Row],[Customer Gender]]="F","Female", orders[[#This Row],[Customer Gender]]="O","Other", TRUE,"Unknown")</f>
        <v>Male</v>
      </c>
    </row>
    <row r="351" spans="1:15">
      <c r="A351" t="s">
        <v>436</v>
      </c>
      <c r="B351" t="s">
        <v>39</v>
      </c>
      <c r="C351">
        <v>1</v>
      </c>
      <c r="D351">
        <v>58.2</v>
      </c>
      <c r="E351">
        <v>58.2</v>
      </c>
      <c r="F351" s="1">
        <v>45672</v>
      </c>
      <c r="G351" s="1">
        <v>45673</v>
      </c>
      <c r="H351" t="s">
        <v>27</v>
      </c>
      <c r="I351" t="s">
        <v>18</v>
      </c>
      <c r="J351">
        <v>5</v>
      </c>
      <c r="K351" t="s">
        <v>19</v>
      </c>
      <c r="L351" t="s">
        <v>437</v>
      </c>
      <c r="M351">
        <f>orders[[#This Row],[Ship Date]]-orders[[#This Row],[Order Date]]</f>
        <v>1</v>
      </c>
      <c r="N351">
        <f>WEEKNUM(orders[[#This Row],[Order Date]])</f>
        <v>3</v>
      </c>
      <c r="O351" t="str">
        <f>_xlfn.IFS(orders[[#This Row],[Customer Gender]]="M","Male", orders[[#This Row],[Customer Gender]]="F","Female", orders[[#This Row],[Customer Gender]]="O","Other", TRUE,"Unknown")</f>
        <v>Female</v>
      </c>
    </row>
    <row r="352" spans="1:15">
      <c r="A352" t="s">
        <v>438</v>
      </c>
      <c r="B352" t="s">
        <v>44</v>
      </c>
      <c r="C352">
        <v>3</v>
      </c>
      <c r="D352">
        <v>25.6</v>
      </c>
      <c r="E352">
        <v>76.800000000000011</v>
      </c>
      <c r="F352" s="1">
        <v>45672</v>
      </c>
      <c r="G352" s="1">
        <v>45673</v>
      </c>
      <c r="H352" t="s">
        <v>23</v>
      </c>
      <c r="I352" t="s">
        <v>70</v>
      </c>
      <c r="J352">
        <v>2</v>
      </c>
      <c r="K352" t="s">
        <v>19</v>
      </c>
      <c r="L352" t="s">
        <v>28</v>
      </c>
      <c r="M352">
        <f>orders[[#This Row],[Ship Date]]-orders[[#This Row],[Order Date]]</f>
        <v>1</v>
      </c>
      <c r="N352">
        <f>WEEKNUM(orders[[#This Row],[Order Date]])</f>
        <v>3</v>
      </c>
      <c r="O352" t="str">
        <f>_xlfn.IFS(orders[[#This Row],[Customer Gender]]="M","Male", orders[[#This Row],[Customer Gender]]="F","Female", orders[[#This Row],[Customer Gender]]="O","Other", TRUE,"Unknown")</f>
        <v>Male</v>
      </c>
    </row>
    <row r="353" spans="1:15">
      <c r="A353" t="s">
        <v>439</v>
      </c>
      <c r="B353" t="s">
        <v>54</v>
      </c>
      <c r="C353">
        <v>1</v>
      </c>
      <c r="D353">
        <v>21.2</v>
      </c>
      <c r="E353">
        <v>21.2</v>
      </c>
      <c r="F353" s="1">
        <v>45672</v>
      </c>
      <c r="G353" s="1">
        <v>45672</v>
      </c>
      <c r="H353" t="s">
        <v>27</v>
      </c>
      <c r="I353" t="s">
        <v>35</v>
      </c>
      <c r="J353">
        <v>5</v>
      </c>
      <c r="K353" t="s">
        <v>19</v>
      </c>
      <c r="L353" t="s">
        <v>33</v>
      </c>
      <c r="M353">
        <f>orders[[#This Row],[Ship Date]]-orders[[#This Row],[Order Date]]</f>
        <v>0</v>
      </c>
      <c r="N353">
        <f>WEEKNUM(orders[[#This Row],[Order Date]])</f>
        <v>3</v>
      </c>
      <c r="O353" t="str">
        <f>_xlfn.IFS(orders[[#This Row],[Customer Gender]]="M","Male", orders[[#This Row],[Customer Gender]]="F","Female", orders[[#This Row],[Customer Gender]]="O","Other", TRUE,"Unknown")</f>
        <v>Female</v>
      </c>
    </row>
    <row r="354" spans="1:15">
      <c r="A354" t="s">
        <v>440</v>
      </c>
      <c r="B354" t="s">
        <v>39</v>
      </c>
      <c r="C354">
        <v>2</v>
      </c>
      <c r="D354">
        <v>48.2</v>
      </c>
      <c r="E354">
        <v>96.4</v>
      </c>
      <c r="F354" s="1">
        <v>45672</v>
      </c>
      <c r="G354" s="1">
        <v>45680</v>
      </c>
      <c r="H354" t="s">
        <v>27</v>
      </c>
      <c r="I354" t="s">
        <v>18</v>
      </c>
      <c r="J354">
        <v>5</v>
      </c>
      <c r="K354" t="s">
        <v>19</v>
      </c>
      <c r="L354" t="s">
        <v>33</v>
      </c>
      <c r="M354">
        <f>orders[[#This Row],[Ship Date]]-orders[[#This Row],[Order Date]]</f>
        <v>8</v>
      </c>
      <c r="N354">
        <f>WEEKNUM(orders[[#This Row],[Order Date]])</f>
        <v>3</v>
      </c>
      <c r="O354" t="str">
        <f>_xlfn.IFS(orders[[#This Row],[Customer Gender]]="M","Male", orders[[#This Row],[Customer Gender]]="F","Female", orders[[#This Row],[Customer Gender]]="O","Other", TRUE,"Unknown")</f>
        <v>Female</v>
      </c>
    </row>
    <row r="355" spans="1:15">
      <c r="A355" t="s">
        <v>441</v>
      </c>
      <c r="B355" t="s">
        <v>22</v>
      </c>
      <c r="C355">
        <v>4</v>
      </c>
      <c r="D355">
        <v>83.4</v>
      </c>
      <c r="E355">
        <v>333.6</v>
      </c>
      <c r="F355" s="1">
        <v>45673</v>
      </c>
      <c r="G355" s="1">
        <v>45674</v>
      </c>
      <c r="H355" t="s">
        <v>23</v>
      </c>
      <c r="I355" t="s">
        <v>18</v>
      </c>
      <c r="J355">
        <v>4</v>
      </c>
      <c r="K355" t="s">
        <v>19</v>
      </c>
      <c r="L355" t="s">
        <v>33</v>
      </c>
      <c r="M355">
        <f>orders[[#This Row],[Ship Date]]-orders[[#This Row],[Order Date]]</f>
        <v>1</v>
      </c>
      <c r="N355">
        <f>WEEKNUM(orders[[#This Row],[Order Date]])</f>
        <v>3</v>
      </c>
      <c r="O355" t="str">
        <f>_xlfn.IFS(orders[[#This Row],[Customer Gender]]="M","Male", orders[[#This Row],[Customer Gender]]="F","Female", orders[[#This Row],[Customer Gender]]="O","Other", TRUE,"Unknown")</f>
        <v>Male</v>
      </c>
    </row>
    <row r="356" spans="1:15">
      <c r="A356" t="s">
        <v>442</v>
      </c>
      <c r="B356" t="s">
        <v>46</v>
      </c>
      <c r="C356">
        <v>3</v>
      </c>
      <c r="D356">
        <v>45.3</v>
      </c>
      <c r="E356">
        <v>135.89999999999998</v>
      </c>
      <c r="F356" s="1">
        <v>45673</v>
      </c>
      <c r="G356" s="1">
        <v>45679</v>
      </c>
      <c r="H356" t="s">
        <v>23</v>
      </c>
      <c r="I356" t="s">
        <v>40</v>
      </c>
      <c r="J356">
        <v>3</v>
      </c>
      <c r="K356" t="s">
        <v>19</v>
      </c>
      <c r="L356" t="s">
        <v>33</v>
      </c>
      <c r="M356">
        <f>orders[[#This Row],[Ship Date]]-orders[[#This Row],[Order Date]]</f>
        <v>6</v>
      </c>
      <c r="N356">
        <f>WEEKNUM(orders[[#This Row],[Order Date]])</f>
        <v>3</v>
      </c>
      <c r="O356" t="str">
        <f>_xlfn.IFS(orders[[#This Row],[Customer Gender]]="M","Male", orders[[#This Row],[Customer Gender]]="F","Female", orders[[#This Row],[Customer Gender]]="O","Other", TRUE,"Unknown")</f>
        <v>Male</v>
      </c>
    </row>
    <row r="357" spans="1:15">
      <c r="A357" t="s">
        <v>443</v>
      </c>
      <c r="B357" t="s">
        <v>135</v>
      </c>
      <c r="C357">
        <v>1</v>
      </c>
      <c r="D357">
        <v>42</v>
      </c>
      <c r="E357">
        <v>42</v>
      </c>
      <c r="F357" s="1">
        <v>45673</v>
      </c>
      <c r="G357" s="1">
        <v>45674</v>
      </c>
      <c r="H357" t="s">
        <v>17</v>
      </c>
      <c r="I357" t="s">
        <v>18</v>
      </c>
      <c r="J357">
        <v>4</v>
      </c>
      <c r="K357" t="s">
        <v>19</v>
      </c>
      <c r="L357" t="s">
        <v>33</v>
      </c>
      <c r="M357">
        <f>orders[[#This Row],[Ship Date]]-orders[[#This Row],[Order Date]]</f>
        <v>1</v>
      </c>
      <c r="N357">
        <f>WEEKNUM(orders[[#This Row],[Order Date]])</f>
        <v>3</v>
      </c>
      <c r="O357" t="str">
        <f>_xlfn.IFS(orders[[#This Row],[Customer Gender]]="M","Male", orders[[#This Row],[Customer Gender]]="F","Female", orders[[#This Row],[Customer Gender]]="O","Other", TRUE,"Unknown")</f>
        <v>Unknown</v>
      </c>
    </row>
    <row r="358" spans="1:15">
      <c r="A358" t="s">
        <v>444</v>
      </c>
      <c r="B358" t="s">
        <v>16</v>
      </c>
      <c r="C358">
        <v>9</v>
      </c>
      <c r="D358">
        <v>21.8</v>
      </c>
      <c r="E358">
        <v>196.20000000000002</v>
      </c>
      <c r="F358" s="1">
        <v>45673</v>
      </c>
      <c r="G358" s="1">
        <v>45675</v>
      </c>
      <c r="H358" t="s">
        <v>27</v>
      </c>
      <c r="I358" t="s">
        <v>35</v>
      </c>
      <c r="J358">
        <v>4</v>
      </c>
      <c r="K358" t="s">
        <v>19</v>
      </c>
      <c r="L358" t="s">
        <v>33</v>
      </c>
      <c r="M358">
        <f>orders[[#This Row],[Ship Date]]-orders[[#This Row],[Order Date]]</f>
        <v>2</v>
      </c>
      <c r="N358">
        <f>WEEKNUM(orders[[#This Row],[Order Date]])</f>
        <v>3</v>
      </c>
      <c r="O358" t="str">
        <f>_xlfn.IFS(orders[[#This Row],[Customer Gender]]="M","Male", orders[[#This Row],[Customer Gender]]="F","Female", orders[[#This Row],[Customer Gender]]="O","Other", TRUE,"Unknown")</f>
        <v>Female</v>
      </c>
    </row>
    <row r="359" spans="1:15">
      <c r="A359" t="s">
        <v>445</v>
      </c>
      <c r="B359" t="s">
        <v>44</v>
      </c>
      <c r="C359">
        <v>18</v>
      </c>
      <c r="D359">
        <v>21.4</v>
      </c>
      <c r="E359">
        <v>385.2</v>
      </c>
      <c r="F359" s="1">
        <v>45673</v>
      </c>
      <c r="G359" s="1">
        <v>45676</v>
      </c>
      <c r="H359" t="s">
        <v>27</v>
      </c>
      <c r="I359" t="s">
        <v>35</v>
      </c>
      <c r="J359">
        <v>5</v>
      </c>
      <c r="K359" t="s">
        <v>19</v>
      </c>
      <c r="L359" t="s">
        <v>33</v>
      </c>
      <c r="M359">
        <f>orders[[#This Row],[Ship Date]]-orders[[#This Row],[Order Date]]</f>
        <v>3</v>
      </c>
      <c r="N359">
        <f>WEEKNUM(orders[[#This Row],[Order Date]])</f>
        <v>3</v>
      </c>
      <c r="O359" t="str">
        <f>_xlfn.IFS(orders[[#This Row],[Customer Gender]]="M","Male", orders[[#This Row],[Customer Gender]]="F","Female", orders[[#This Row],[Customer Gender]]="O","Other", TRUE,"Unknown")</f>
        <v>Female</v>
      </c>
    </row>
    <row r="360" spans="1:15">
      <c r="A360" t="s">
        <v>446</v>
      </c>
      <c r="B360" t="s">
        <v>54</v>
      </c>
      <c r="C360">
        <v>3</v>
      </c>
      <c r="D360">
        <v>45</v>
      </c>
      <c r="E360">
        <v>135</v>
      </c>
      <c r="F360" s="1">
        <v>45673</v>
      </c>
      <c r="G360" s="1">
        <v>45673</v>
      </c>
      <c r="H360" t="s">
        <v>27</v>
      </c>
      <c r="I360" t="s">
        <v>35</v>
      </c>
      <c r="J360">
        <v>5</v>
      </c>
      <c r="K360" t="s">
        <v>19</v>
      </c>
      <c r="L360" t="s">
        <v>33</v>
      </c>
      <c r="M360">
        <f>orders[[#This Row],[Ship Date]]-orders[[#This Row],[Order Date]]</f>
        <v>0</v>
      </c>
      <c r="N360">
        <f>WEEKNUM(orders[[#This Row],[Order Date]])</f>
        <v>3</v>
      </c>
      <c r="O360" t="str">
        <f>_xlfn.IFS(orders[[#This Row],[Customer Gender]]="M","Male", orders[[#This Row],[Customer Gender]]="F","Female", orders[[#This Row],[Customer Gender]]="O","Other", TRUE,"Unknown")</f>
        <v>Female</v>
      </c>
    </row>
    <row r="361" spans="1:15">
      <c r="A361" t="s">
        <v>447</v>
      </c>
      <c r="B361" t="s">
        <v>81</v>
      </c>
      <c r="C361">
        <v>1</v>
      </c>
      <c r="D361">
        <v>39.6</v>
      </c>
      <c r="E361">
        <v>39.6</v>
      </c>
      <c r="F361" s="1">
        <v>45673</v>
      </c>
      <c r="G361" s="1">
        <v>45674</v>
      </c>
      <c r="H361" t="s">
        <v>23</v>
      </c>
      <c r="I361" t="s">
        <v>18</v>
      </c>
      <c r="J361">
        <v>5</v>
      </c>
      <c r="K361" t="s">
        <v>19</v>
      </c>
      <c r="L361" t="s">
        <v>33</v>
      </c>
      <c r="M361">
        <f>orders[[#This Row],[Ship Date]]-orders[[#This Row],[Order Date]]</f>
        <v>1</v>
      </c>
      <c r="N361">
        <f>WEEKNUM(orders[[#This Row],[Order Date]])</f>
        <v>3</v>
      </c>
      <c r="O361" t="str">
        <f>_xlfn.IFS(orders[[#This Row],[Customer Gender]]="M","Male", orders[[#This Row],[Customer Gender]]="F","Female", orders[[#This Row],[Customer Gender]]="O","Other", TRUE,"Unknown")</f>
        <v>Male</v>
      </c>
    </row>
    <row r="362" spans="1:15">
      <c r="A362" t="s">
        <v>448</v>
      </c>
      <c r="B362" t="s">
        <v>69</v>
      </c>
      <c r="C362">
        <v>3</v>
      </c>
      <c r="D362">
        <v>79.8</v>
      </c>
      <c r="E362">
        <v>239.39999999999998</v>
      </c>
      <c r="F362" s="1">
        <v>45673</v>
      </c>
      <c r="G362" s="1">
        <v>45679</v>
      </c>
      <c r="H362" t="s">
        <v>27</v>
      </c>
      <c r="I362" t="s">
        <v>35</v>
      </c>
      <c r="J362">
        <v>2</v>
      </c>
      <c r="K362" t="s">
        <v>19</v>
      </c>
      <c r="L362" t="s">
        <v>33</v>
      </c>
      <c r="M362">
        <f>orders[[#This Row],[Ship Date]]-orders[[#This Row],[Order Date]]</f>
        <v>6</v>
      </c>
      <c r="N362">
        <f>WEEKNUM(orders[[#This Row],[Order Date]])</f>
        <v>3</v>
      </c>
      <c r="O362" t="str">
        <f>_xlfn.IFS(orders[[#This Row],[Customer Gender]]="M","Male", orders[[#This Row],[Customer Gender]]="F","Female", orders[[#This Row],[Customer Gender]]="O","Other", TRUE,"Unknown")</f>
        <v>Female</v>
      </c>
    </row>
    <row r="363" spans="1:15">
      <c r="A363" t="s">
        <v>449</v>
      </c>
      <c r="B363" t="s">
        <v>22</v>
      </c>
      <c r="C363">
        <v>4</v>
      </c>
      <c r="D363">
        <v>63.6</v>
      </c>
      <c r="E363">
        <v>254.4</v>
      </c>
      <c r="F363" s="1">
        <v>45673</v>
      </c>
      <c r="G363" s="1">
        <v>45674</v>
      </c>
      <c r="H363" t="s">
        <v>89</v>
      </c>
      <c r="I363" t="s">
        <v>18</v>
      </c>
      <c r="J363">
        <v>5</v>
      </c>
      <c r="K363" t="s">
        <v>19</v>
      </c>
      <c r="L363" t="s">
        <v>186</v>
      </c>
      <c r="M363">
        <f>orders[[#This Row],[Ship Date]]-orders[[#This Row],[Order Date]]</f>
        <v>1</v>
      </c>
      <c r="N363">
        <f>WEEKNUM(orders[[#This Row],[Order Date]])</f>
        <v>3</v>
      </c>
      <c r="O363" t="str">
        <f>_xlfn.IFS(orders[[#This Row],[Customer Gender]]="M","Male", orders[[#This Row],[Customer Gender]]="F","Female", orders[[#This Row],[Customer Gender]]="O","Other", TRUE,"Unknown")</f>
        <v>Other</v>
      </c>
    </row>
    <row r="364" spans="1:15">
      <c r="A364" t="s">
        <v>450</v>
      </c>
      <c r="B364" t="s">
        <v>42</v>
      </c>
      <c r="C364">
        <v>10</v>
      </c>
      <c r="D364">
        <v>92.7</v>
      </c>
      <c r="E364">
        <v>927</v>
      </c>
      <c r="F364" s="1">
        <v>45673</v>
      </c>
      <c r="G364" s="1">
        <v>45677</v>
      </c>
      <c r="H364" t="s">
        <v>23</v>
      </c>
      <c r="I364" t="s">
        <v>35</v>
      </c>
      <c r="J364">
        <v>5</v>
      </c>
      <c r="K364" t="s">
        <v>19</v>
      </c>
      <c r="L364" t="s">
        <v>55</v>
      </c>
      <c r="M364">
        <f>orders[[#This Row],[Ship Date]]-orders[[#This Row],[Order Date]]</f>
        <v>4</v>
      </c>
      <c r="N364">
        <f>WEEKNUM(orders[[#This Row],[Order Date]])</f>
        <v>3</v>
      </c>
      <c r="O364" t="str">
        <f>_xlfn.IFS(orders[[#This Row],[Customer Gender]]="M","Male", orders[[#This Row],[Customer Gender]]="F","Female", orders[[#This Row],[Customer Gender]]="O","Other", TRUE,"Unknown")</f>
        <v>Male</v>
      </c>
    </row>
    <row r="365" spans="1:15">
      <c r="A365" t="s">
        <v>451</v>
      </c>
      <c r="B365" t="s">
        <v>22</v>
      </c>
      <c r="C365">
        <v>4</v>
      </c>
      <c r="D365">
        <v>48.4</v>
      </c>
      <c r="E365">
        <v>193.6</v>
      </c>
      <c r="F365" s="1">
        <v>45673</v>
      </c>
      <c r="G365" s="1">
        <v>45675</v>
      </c>
      <c r="H365" t="s">
        <v>27</v>
      </c>
      <c r="I365" t="s">
        <v>35</v>
      </c>
      <c r="J365">
        <v>5</v>
      </c>
      <c r="K365" t="s">
        <v>19</v>
      </c>
      <c r="L365" t="s">
        <v>55</v>
      </c>
      <c r="M365">
        <f>orders[[#This Row],[Ship Date]]-orders[[#This Row],[Order Date]]</f>
        <v>2</v>
      </c>
      <c r="N365">
        <f>WEEKNUM(orders[[#This Row],[Order Date]])</f>
        <v>3</v>
      </c>
      <c r="O365" t="str">
        <f>_xlfn.IFS(orders[[#This Row],[Customer Gender]]="M","Male", orders[[#This Row],[Customer Gender]]="F","Female", orders[[#This Row],[Customer Gender]]="O","Other", TRUE,"Unknown")</f>
        <v>Female</v>
      </c>
    </row>
    <row r="366" spans="1:15">
      <c r="A366" t="s">
        <v>452</v>
      </c>
      <c r="B366" t="s">
        <v>46</v>
      </c>
      <c r="C366">
        <v>8</v>
      </c>
      <c r="D366">
        <v>36</v>
      </c>
      <c r="E366">
        <v>288</v>
      </c>
      <c r="F366" s="1">
        <v>45673</v>
      </c>
      <c r="G366" s="1">
        <v>45676</v>
      </c>
      <c r="H366" t="s">
        <v>23</v>
      </c>
      <c r="I366" t="s">
        <v>40</v>
      </c>
      <c r="J366">
        <v>5</v>
      </c>
      <c r="K366" t="s">
        <v>19</v>
      </c>
      <c r="L366" t="s">
        <v>62</v>
      </c>
      <c r="M366">
        <f>orders[[#This Row],[Ship Date]]-orders[[#This Row],[Order Date]]</f>
        <v>3</v>
      </c>
      <c r="N366">
        <f>WEEKNUM(orders[[#This Row],[Order Date]])</f>
        <v>3</v>
      </c>
      <c r="O366" t="str">
        <f>_xlfn.IFS(orders[[#This Row],[Customer Gender]]="M","Male", orders[[#This Row],[Customer Gender]]="F","Female", orders[[#This Row],[Customer Gender]]="O","Other", TRUE,"Unknown")</f>
        <v>Male</v>
      </c>
    </row>
    <row r="367" spans="1:15">
      <c r="A367" t="s">
        <v>453</v>
      </c>
      <c r="B367" t="s">
        <v>44</v>
      </c>
      <c r="C367">
        <v>12</v>
      </c>
      <c r="D367">
        <v>27</v>
      </c>
      <c r="E367">
        <v>324</v>
      </c>
      <c r="F367" s="1">
        <v>45673</v>
      </c>
      <c r="G367" s="1">
        <v>45675</v>
      </c>
      <c r="H367" t="s">
        <v>27</v>
      </c>
      <c r="I367" t="s">
        <v>40</v>
      </c>
      <c r="J367">
        <v>3</v>
      </c>
      <c r="K367" t="s">
        <v>19</v>
      </c>
      <c r="L367" t="s">
        <v>62</v>
      </c>
      <c r="M367">
        <f>orders[[#This Row],[Ship Date]]-orders[[#This Row],[Order Date]]</f>
        <v>2</v>
      </c>
      <c r="N367">
        <f>WEEKNUM(orders[[#This Row],[Order Date]])</f>
        <v>3</v>
      </c>
      <c r="O367" t="str">
        <f>_xlfn.IFS(orders[[#This Row],[Customer Gender]]="M","Male", orders[[#This Row],[Customer Gender]]="F","Female", orders[[#This Row],[Customer Gender]]="O","Other", TRUE,"Unknown")</f>
        <v>Female</v>
      </c>
    </row>
    <row r="368" spans="1:15">
      <c r="A368" t="s">
        <v>454</v>
      </c>
      <c r="B368" t="s">
        <v>26</v>
      </c>
      <c r="C368">
        <v>8</v>
      </c>
      <c r="D368">
        <v>53.9</v>
      </c>
      <c r="E368">
        <v>431.2</v>
      </c>
      <c r="F368" s="1">
        <v>45673</v>
      </c>
      <c r="G368" s="1">
        <v>45674</v>
      </c>
      <c r="H368" t="s">
        <v>17</v>
      </c>
      <c r="I368" t="s">
        <v>18</v>
      </c>
      <c r="J368">
        <v>4</v>
      </c>
      <c r="K368" t="s">
        <v>19</v>
      </c>
      <c r="L368" t="s">
        <v>62</v>
      </c>
      <c r="M368">
        <f>orders[[#This Row],[Ship Date]]-orders[[#This Row],[Order Date]]</f>
        <v>1</v>
      </c>
      <c r="N368">
        <f>WEEKNUM(orders[[#This Row],[Order Date]])</f>
        <v>3</v>
      </c>
      <c r="O368" t="str">
        <f>_xlfn.IFS(orders[[#This Row],[Customer Gender]]="M","Male", orders[[#This Row],[Customer Gender]]="F","Female", orders[[#This Row],[Customer Gender]]="O","Other", TRUE,"Unknown")</f>
        <v>Unknown</v>
      </c>
    </row>
    <row r="369" spans="1:15">
      <c r="A369" t="s">
        <v>455</v>
      </c>
      <c r="B369" t="s">
        <v>30</v>
      </c>
      <c r="C369">
        <v>9</v>
      </c>
      <c r="D369">
        <v>48.4</v>
      </c>
      <c r="E369">
        <v>435.59999999999997</v>
      </c>
      <c r="F369" s="1">
        <v>45673</v>
      </c>
      <c r="G369" s="1">
        <v>45674</v>
      </c>
      <c r="H369" t="s">
        <v>27</v>
      </c>
      <c r="I369" t="s">
        <v>35</v>
      </c>
      <c r="J369">
        <v>4</v>
      </c>
      <c r="K369" t="s">
        <v>19</v>
      </c>
      <c r="L369" t="s">
        <v>72</v>
      </c>
      <c r="M369">
        <f>orders[[#This Row],[Ship Date]]-orders[[#This Row],[Order Date]]</f>
        <v>1</v>
      </c>
      <c r="N369">
        <f>WEEKNUM(orders[[#This Row],[Order Date]])</f>
        <v>3</v>
      </c>
      <c r="O369" t="str">
        <f>_xlfn.IFS(orders[[#This Row],[Customer Gender]]="M","Male", orders[[#This Row],[Customer Gender]]="F","Female", orders[[#This Row],[Customer Gender]]="O","Other", TRUE,"Unknown")</f>
        <v>Female</v>
      </c>
    </row>
    <row r="370" spans="1:15">
      <c r="A370" t="s">
        <v>456</v>
      </c>
      <c r="B370" t="s">
        <v>135</v>
      </c>
      <c r="C370">
        <v>2</v>
      </c>
      <c r="D370">
        <v>49.9</v>
      </c>
      <c r="E370">
        <v>99.8</v>
      </c>
      <c r="F370" s="1">
        <v>45673</v>
      </c>
      <c r="G370" s="1">
        <v>45678</v>
      </c>
      <c r="H370" t="s">
        <v>23</v>
      </c>
      <c r="I370" t="s">
        <v>70</v>
      </c>
      <c r="J370">
        <v>2</v>
      </c>
      <c r="K370" t="s">
        <v>19</v>
      </c>
      <c r="L370" t="s">
        <v>74</v>
      </c>
      <c r="M370">
        <f>orders[[#This Row],[Ship Date]]-orders[[#This Row],[Order Date]]</f>
        <v>5</v>
      </c>
      <c r="N370">
        <f>WEEKNUM(orders[[#This Row],[Order Date]])</f>
        <v>3</v>
      </c>
      <c r="O370" t="str">
        <f>_xlfn.IFS(orders[[#This Row],[Customer Gender]]="M","Male", orders[[#This Row],[Customer Gender]]="F","Female", orders[[#This Row],[Customer Gender]]="O","Other", TRUE,"Unknown")</f>
        <v>Male</v>
      </c>
    </row>
    <row r="371" spans="1:15">
      <c r="A371" t="s">
        <v>457</v>
      </c>
      <c r="B371" t="s">
        <v>22</v>
      </c>
      <c r="C371">
        <v>3</v>
      </c>
      <c r="D371">
        <v>51.7</v>
      </c>
      <c r="E371">
        <v>155.10000000000002</v>
      </c>
      <c r="F371" s="1">
        <v>45673</v>
      </c>
      <c r="G371" s="1">
        <v>45674</v>
      </c>
      <c r="H371" t="s">
        <v>27</v>
      </c>
      <c r="I371" t="s">
        <v>18</v>
      </c>
      <c r="J371">
        <v>5</v>
      </c>
      <c r="K371" t="s">
        <v>19</v>
      </c>
      <c r="L371" t="s">
        <v>77</v>
      </c>
      <c r="M371">
        <f>orders[[#This Row],[Ship Date]]-orders[[#This Row],[Order Date]]</f>
        <v>1</v>
      </c>
      <c r="N371">
        <f>WEEKNUM(orders[[#This Row],[Order Date]])</f>
        <v>3</v>
      </c>
      <c r="O371" t="str">
        <f>_xlfn.IFS(orders[[#This Row],[Customer Gender]]="M","Male", orders[[#This Row],[Customer Gender]]="F","Female", orders[[#This Row],[Customer Gender]]="O","Other", TRUE,"Unknown")</f>
        <v>Female</v>
      </c>
    </row>
    <row r="372" spans="1:15">
      <c r="A372" t="s">
        <v>458</v>
      </c>
      <c r="B372" t="s">
        <v>44</v>
      </c>
      <c r="C372">
        <v>3</v>
      </c>
      <c r="D372">
        <v>41.8</v>
      </c>
      <c r="E372">
        <v>125.39999999999999</v>
      </c>
      <c r="F372" s="1">
        <v>45673</v>
      </c>
      <c r="G372" s="1">
        <v>45675</v>
      </c>
      <c r="H372" t="s">
        <v>27</v>
      </c>
      <c r="I372" t="s">
        <v>40</v>
      </c>
      <c r="J372">
        <v>4</v>
      </c>
      <c r="K372" t="s">
        <v>19</v>
      </c>
      <c r="L372" t="s">
        <v>108</v>
      </c>
      <c r="M372">
        <f>orders[[#This Row],[Ship Date]]-orders[[#This Row],[Order Date]]</f>
        <v>2</v>
      </c>
      <c r="N372">
        <f>WEEKNUM(orders[[#This Row],[Order Date]])</f>
        <v>3</v>
      </c>
      <c r="O372" t="str">
        <f>_xlfn.IFS(orders[[#This Row],[Customer Gender]]="M","Male", orders[[#This Row],[Customer Gender]]="F","Female", orders[[#This Row],[Customer Gender]]="O","Other", TRUE,"Unknown")</f>
        <v>Female</v>
      </c>
    </row>
    <row r="373" spans="1:15">
      <c r="A373" t="s">
        <v>459</v>
      </c>
      <c r="B373" t="s">
        <v>32</v>
      </c>
      <c r="C373">
        <v>4</v>
      </c>
      <c r="D373">
        <v>36.200000000000003</v>
      </c>
      <c r="E373">
        <v>144.80000000000001</v>
      </c>
      <c r="F373" s="1">
        <v>45674</v>
      </c>
      <c r="G373" s="1">
        <v>45675</v>
      </c>
      <c r="H373" t="s">
        <v>23</v>
      </c>
      <c r="I373" t="s">
        <v>40</v>
      </c>
      <c r="J373">
        <v>5</v>
      </c>
      <c r="K373" t="s">
        <v>19</v>
      </c>
      <c r="L373" t="s">
        <v>115</v>
      </c>
      <c r="M373">
        <f>orders[[#This Row],[Ship Date]]-orders[[#This Row],[Order Date]]</f>
        <v>1</v>
      </c>
      <c r="N373">
        <f>WEEKNUM(orders[[#This Row],[Order Date]])</f>
        <v>3</v>
      </c>
      <c r="O373" t="str">
        <f>_xlfn.IFS(orders[[#This Row],[Customer Gender]]="M","Male", orders[[#This Row],[Customer Gender]]="F","Female", orders[[#This Row],[Customer Gender]]="O","Other", TRUE,"Unknown")</f>
        <v>Male</v>
      </c>
    </row>
    <row r="374" spans="1:15">
      <c r="A374" t="s">
        <v>460</v>
      </c>
      <c r="B374" t="s">
        <v>26</v>
      </c>
      <c r="C374">
        <v>1</v>
      </c>
      <c r="D374">
        <v>150.9</v>
      </c>
      <c r="E374">
        <v>150.9</v>
      </c>
      <c r="F374" s="1">
        <v>45674</v>
      </c>
      <c r="G374" s="1">
        <v>45684</v>
      </c>
      <c r="H374" t="s">
        <v>23</v>
      </c>
      <c r="I374" t="s">
        <v>18</v>
      </c>
      <c r="J374">
        <v>4</v>
      </c>
      <c r="K374" t="s">
        <v>19</v>
      </c>
      <c r="L374" t="s">
        <v>24</v>
      </c>
      <c r="M374">
        <f>orders[[#This Row],[Ship Date]]-orders[[#This Row],[Order Date]]</f>
        <v>10</v>
      </c>
      <c r="N374">
        <f>WEEKNUM(orders[[#This Row],[Order Date]])</f>
        <v>3</v>
      </c>
      <c r="O374" t="str">
        <f>_xlfn.IFS(orders[[#This Row],[Customer Gender]]="M","Male", orders[[#This Row],[Customer Gender]]="F","Female", orders[[#This Row],[Customer Gender]]="O","Other", TRUE,"Unknown")</f>
        <v>Male</v>
      </c>
    </row>
    <row r="375" spans="1:15">
      <c r="A375" t="s">
        <v>461</v>
      </c>
      <c r="B375" t="s">
        <v>146</v>
      </c>
      <c r="C375">
        <v>4</v>
      </c>
      <c r="D375">
        <v>77.599999999999994</v>
      </c>
      <c r="E375">
        <v>310.39999999999998</v>
      </c>
      <c r="F375" s="1">
        <v>45674</v>
      </c>
      <c r="G375" s="1">
        <v>45675</v>
      </c>
      <c r="H375" t="s">
        <v>17</v>
      </c>
      <c r="I375" t="s">
        <v>40</v>
      </c>
      <c r="J375">
        <v>4</v>
      </c>
      <c r="K375" t="s">
        <v>19</v>
      </c>
      <c r="L375" t="s">
        <v>33</v>
      </c>
      <c r="M375">
        <f>orders[[#This Row],[Ship Date]]-orders[[#This Row],[Order Date]]</f>
        <v>1</v>
      </c>
      <c r="N375">
        <f>WEEKNUM(orders[[#This Row],[Order Date]])</f>
        <v>3</v>
      </c>
      <c r="O375" t="str">
        <f>_xlfn.IFS(orders[[#This Row],[Customer Gender]]="M","Male", orders[[#This Row],[Customer Gender]]="F","Female", orders[[#This Row],[Customer Gender]]="O","Other", TRUE,"Unknown")</f>
        <v>Unknown</v>
      </c>
    </row>
    <row r="376" spans="1:15">
      <c r="A376" t="s">
        <v>462</v>
      </c>
      <c r="B376" t="s">
        <v>76</v>
      </c>
      <c r="C376">
        <v>5</v>
      </c>
      <c r="D376">
        <v>65.5</v>
      </c>
      <c r="E376">
        <v>327.5</v>
      </c>
      <c r="F376" s="1">
        <v>45674</v>
      </c>
      <c r="G376" s="1">
        <v>45674</v>
      </c>
      <c r="H376" t="s">
        <v>23</v>
      </c>
      <c r="I376" t="s">
        <v>35</v>
      </c>
      <c r="J376">
        <v>4</v>
      </c>
      <c r="K376" t="s">
        <v>19</v>
      </c>
      <c r="L376" t="s">
        <v>33</v>
      </c>
      <c r="M376">
        <f>orders[[#This Row],[Ship Date]]-orders[[#This Row],[Order Date]]</f>
        <v>0</v>
      </c>
      <c r="N376">
        <f>WEEKNUM(orders[[#This Row],[Order Date]])</f>
        <v>3</v>
      </c>
      <c r="O376" t="str">
        <f>_xlfn.IFS(orders[[#This Row],[Customer Gender]]="M","Male", orders[[#This Row],[Customer Gender]]="F","Female", orders[[#This Row],[Customer Gender]]="O","Other", TRUE,"Unknown")</f>
        <v>Male</v>
      </c>
    </row>
    <row r="377" spans="1:15">
      <c r="A377" t="s">
        <v>463</v>
      </c>
      <c r="B377" t="s">
        <v>39</v>
      </c>
      <c r="C377">
        <v>3</v>
      </c>
      <c r="D377">
        <v>90.1</v>
      </c>
      <c r="E377">
        <v>270.29999999999995</v>
      </c>
      <c r="F377" s="1">
        <v>45674</v>
      </c>
      <c r="G377" s="1">
        <v>45676</v>
      </c>
      <c r="H377" t="s">
        <v>27</v>
      </c>
      <c r="I377" t="s">
        <v>18</v>
      </c>
      <c r="J377">
        <v>4</v>
      </c>
      <c r="K377" t="s">
        <v>19</v>
      </c>
      <c r="L377" t="s">
        <v>33</v>
      </c>
      <c r="M377">
        <f>orders[[#This Row],[Ship Date]]-orders[[#This Row],[Order Date]]</f>
        <v>2</v>
      </c>
      <c r="N377">
        <f>WEEKNUM(orders[[#This Row],[Order Date]])</f>
        <v>3</v>
      </c>
      <c r="O377" t="str">
        <f>_xlfn.IFS(orders[[#This Row],[Customer Gender]]="M","Male", orders[[#This Row],[Customer Gender]]="F","Female", orders[[#This Row],[Customer Gender]]="O","Other", TRUE,"Unknown")</f>
        <v>Female</v>
      </c>
    </row>
    <row r="378" spans="1:15">
      <c r="A378" t="s">
        <v>464</v>
      </c>
      <c r="B378" t="s">
        <v>22</v>
      </c>
      <c r="C378">
        <v>2</v>
      </c>
      <c r="D378">
        <v>108.3</v>
      </c>
      <c r="E378">
        <v>216.6</v>
      </c>
      <c r="F378" s="1">
        <v>45674</v>
      </c>
      <c r="G378" s="1">
        <v>45677</v>
      </c>
      <c r="H378" t="s">
        <v>89</v>
      </c>
      <c r="I378" t="s">
        <v>70</v>
      </c>
      <c r="J378">
        <v>4</v>
      </c>
      <c r="K378" t="s">
        <v>19</v>
      </c>
      <c r="L378" t="s">
        <v>33</v>
      </c>
      <c r="M378">
        <f>orders[[#This Row],[Ship Date]]-orders[[#This Row],[Order Date]]</f>
        <v>3</v>
      </c>
      <c r="N378">
        <f>WEEKNUM(orders[[#This Row],[Order Date]])</f>
        <v>3</v>
      </c>
      <c r="O378" t="str">
        <f>_xlfn.IFS(orders[[#This Row],[Customer Gender]]="M","Male", orders[[#This Row],[Customer Gender]]="F","Female", orders[[#This Row],[Customer Gender]]="O","Other", TRUE,"Unknown")</f>
        <v>Other</v>
      </c>
    </row>
    <row r="379" spans="1:15">
      <c r="A379" t="s">
        <v>465</v>
      </c>
      <c r="B379" t="s">
        <v>37</v>
      </c>
      <c r="C379">
        <v>3</v>
      </c>
      <c r="D379">
        <v>59.9</v>
      </c>
      <c r="E379">
        <v>179.7</v>
      </c>
      <c r="F379" s="1">
        <v>45674</v>
      </c>
      <c r="G379" s="1">
        <v>45678</v>
      </c>
      <c r="H379" t="s">
        <v>27</v>
      </c>
      <c r="I379" t="s">
        <v>18</v>
      </c>
      <c r="J379">
        <v>4</v>
      </c>
      <c r="K379" t="s">
        <v>19</v>
      </c>
      <c r="L379" t="s">
        <v>33</v>
      </c>
      <c r="M379">
        <f>orders[[#This Row],[Ship Date]]-orders[[#This Row],[Order Date]]</f>
        <v>4</v>
      </c>
      <c r="N379">
        <f>WEEKNUM(orders[[#This Row],[Order Date]])</f>
        <v>3</v>
      </c>
      <c r="O379" t="str">
        <f>_xlfn.IFS(orders[[#This Row],[Customer Gender]]="M","Male", orders[[#This Row],[Customer Gender]]="F","Female", orders[[#This Row],[Customer Gender]]="O","Other", TRUE,"Unknown")</f>
        <v>Female</v>
      </c>
    </row>
    <row r="380" spans="1:15">
      <c r="A380" t="s">
        <v>466</v>
      </c>
      <c r="B380" t="s">
        <v>26</v>
      </c>
      <c r="C380">
        <v>17</v>
      </c>
      <c r="D380">
        <v>139</v>
      </c>
      <c r="E380">
        <v>2363</v>
      </c>
      <c r="F380" s="1">
        <v>45674</v>
      </c>
      <c r="G380" s="1">
        <v>45676</v>
      </c>
      <c r="H380" t="s">
        <v>27</v>
      </c>
      <c r="I380" t="s">
        <v>35</v>
      </c>
      <c r="J380">
        <v>2</v>
      </c>
      <c r="K380" t="s">
        <v>19</v>
      </c>
      <c r="L380" t="s">
        <v>33</v>
      </c>
      <c r="M380">
        <f>orders[[#This Row],[Ship Date]]-orders[[#This Row],[Order Date]]</f>
        <v>2</v>
      </c>
      <c r="N380">
        <f>WEEKNUM(orders[[#This Row],[Order Date]])</f>
        <v>3</v>
      </c>
      <c r="O380" t="str">
        <f>_xlfn.IFS(orders[[#This Row],[Customer Gender]]="M","Male", orders[[#This Row],[Customer Gender]]="F","Female", orders[[#This Row],[Customer Gender]]="O","Other", TRUE,"Unknown")</f>
        <v>Female</v>
      </c>
    </row>
    <row r="381" spans="1:15">
      <c r="A381" t="s">
        <v>467</v>
      </c>
      <c r="B381" t="s">
        <v>39</v>
      </c>
      <c r="C381">
        <v>3</v>
      </c>
      <c r="D381">
        <v>87.3</v>
      </c>
      <c r="E381">
        <v>261.89999999999998</v>
      </c>
      <c r="F381" s="1">
        <v>45674</v>
      </c>
      <c r="G381" s="1">
        <v>45675</v>
      </c>
      <c r="H381" t="s">
        <v>27</v>
      </c>
      <c r="I381" t="s">
        <v>18</v>
      </c>
      <c r="J381">
        <v>4</v>
      </c>
      <c r="K381" t="s">
        <v>19</v>
      </c>
      <c r="L381" t="s">
        <v>33</v>
      </c>
      <c r="M381">
        <f>orders[[#This Row],[Ship Date]]-orders[[#This Row],[Order Date]]</f>
        <v>1</v>
      </c>
      <c r="N381">
        <f>WEEKNUM(orders[[#This Row],[Order Date]])</f>
        <v>3</v>
      </c>
      <c r="O381" t="str">
        <f>_xlfn.IFS(orders[[#This Row],[Customer Gender]]="M","Male", orders[[#This Row],[Customer Gender]]="F","Female", orders[[#This Row],[Customer Gender]]="O","Other", TRUE,"Unknown")</f>
        <v>Female</v>
      </c>
    </row>
    <row r="382" spans="1:15">
      <c r="A382" t="s">
        <v>468</v>
      </c>
      <c r="B382" t="s">
        <v>67</v>
      </c>
      <c r="C382">
        <v>4</v>
      </c>
      <c r="D382">
        <v>42.3</v>
      </c>
      <c r="E382">
        <v>169.2</v>
      </c>
      <c r="F382" s="1">
        <v>45674</v>
      </c>
      <c r="G382" s="1">
        <v>45674</v>
      </c>
      <c r="H382" t="s">
        <v>23</v>
      </c>
      <c r="I382" t="s">
        <v>18</v>
      </c>
      <c r="J382">
        <v>4</v>
      </c>
      <c r="K382" t="s">
        <v>19</v>
      </c>
      <c r="L382" t="s">
        <v>33</v>
      </c>
      <c r="M382">
        <f>orders[[#This Row],[Ship Date]]-orders[[#This Row],[Order Date]]</f>
        <v>0</v>
      </c>
      <c r="N382">
        <f>WEEKNUM(orders[[#This Row],[Order Date]])</f>
        <v>3</v>
      </c>
      <c r="O382" t="str">
        <f>_xlfn.IFS(orders[[#This Row],[Customer Gender]]="M","Male", orders[[#This Row],[Customer Gender]]="F","Female", orders[[#This Row],[Customer Gender]]="O","Other", TRUE,"Unknown")</f>
        <v>Male</v>
      </c>
    </row>
    <row r="383" spans="1:15">
      <c r="A383" t="s">
        <v>469</v>
      </c>
      <c r="B383" t="s">
        <v>81</v>
      </c>
      <c r="C383">
        <v>8</v>
      </c>
      <c r="D383">
        <v>103.6</v>
      </c>
      <c r="E383">
        <v>828.8</v>
      </c>
      <c r="F383" s="1">
        <v>45674</v>
      </c>
      <c r="G383" s="1">
        <v>45675</v>
      </c>
      <c r="H383" t="s">
        <v>89</v>
      </c>
      <c r="I383" t="s">
        <v>18</v>
      </c>
      <c r="J383">
        <v>3</v>
      </c>
      <c r="K383" t="s">
        <v>19</v>
      </c>
      <c r="L383" t="s">
        <v>33</v>
      </c>
      <c r="M383">
        <f>orders[[#This Row],[Ship Date]]-orders[[#This Row],[Order Date]]</f>
        <v>1</v>
      </c>
      <c r="N383">
        <f>WEEKNUM(orders[[#This Row],[Order Date]])</f>
        <v>3</v>
      </c>
      <c r="O383" t="str">
        <f>_xlfn.IFS(orders[[#This Row],[Customer Gender]]="M","Male", orders[[#This Row],[Customer Gender]]="F","Female", orders[[#This Row],[Customer Gender]]="O","Other", TRUE,"Unknown")</f>
        <v>Other</v>
      </c>
    </row>
    <row r="384" spans="1:15">
      <c r="A384" t="s">
        <v>470</v>
      </c>
      <c r="B384" t="s">
        <v>39</v>
      </c>
      <c r="C384">
        <v>2</v>
      </c>
      <c r="D384">
        <v>90.9</v>
      </c>
      <c r="E384">
        <v>181.8</v>
      </c>
      <c r="F384" s="1">
        <v>45674</v>
      </c>
      <c r="G384" s="1">
        <v>45675</v>
      </c>
      <c r="H384" t="s">
        <v>23</v>
      </c>
      <c r="I384" t="s">
        <v>35</v>
      </c>
      <c r="J384">
        <v>4</v>
      </c>
      <c r="K384" t="s">
        <v>19</v>
      </c>
      <c r="L384" t="s">
        <v>55</v>
      </c>
      <c r="M384">
        <f>orders[[#This Row],[Ship Date]]-orders[[#This Row],[Order Date]]</f>
        <v>1</v>
      </c>
      <c r="N384">
        <f>WEEKNUM(orders[[#This Row],[Order Date]])</f>
        <v>3</v>
      </c>
      <c r="O384" t="str">
        <f>_xlfn.IFS(orders[[#This Row],[Customer Gender]]="M","Male", orders[[#This Row],[Customer Gender]]="F","Female", orders[[#This Row],[Customer Gender]]="O","Other", TRUE,"Unknown")</f>
        <v>Male</v>
      </c>
    </row>
    <row r="385" spans="1:15">
      <c r="A385" t="s">
        <v>471</v>
      </c>
      <c r="B385" t="s">
        <v>46</v>
      </c>
      <c r="C385">
        <v>16</v>
      </c>
      <c r="D385">
        <v>100.9</v>
      </c>
      <c r="E385">
        <v>1614.4</v>
      </c>
      <c r="F385" s="1">
        <v>45674</v>
      </c>
      <c r="G385" s="1">
        <v>45675</v>
      </c>
      <c r="H385" t="s">
        <v>27</v>
      </c>
      <c r="I385" t="s">
        <v>35</v>
      </c>
      <c r="J385">
        <v>4</v>
      </c>
      <c r="K385" t="s">
        <v>19</v>
      </c>
      <c r="L385" t="s">
        <v>55</v>
      </c>
      <c r="M385">
        <f>orders[[#This Row],[Ship Date]]-orders[[#This Row],[Order Date]]</f>
        <v>1</v>
      </c>
      <c r="N385">
        <f>WEEKNUM(orders[[#This Row],[Order Date]])</f>
        <v>3</v>
      </c>
      <c r="O385" t="str">
        <f>_xlfn.IFS(orders[[#This Row],[Customer Gender]]="M","Male", orders[[#This Row],[Customer Gender]]="F","Female", orders[[#This Row],[Customer Gender]]="O","Other", TRUE,"Unknown")</f>
        <v>Female</v>
      </c>
    </row>
    <row r="386" spans="1:15">
      <c r="A386" t="s">
        <v>472</v>
      </c>
      <c r="B386" t="s">
        <v>32</v>
      </c>
      <c r="C386">
        <v>5</v>
      </c>
      <c r="D386">
        <v>36</v>
      </c>
      <c r="E386">
        <v>180</v>
      </c>
      <c r="F386" s="1">
        <v>45674</v>
      </c>
      <c r="G386" s="1">
        <v>45676</v>
      </c>
      <c r="H386" t="s">
        <v>27</v>
      </c>
      <c r="I386" t="s">
        <v>35</v>
      </c>
      <c r="J386">
        <v>4</v>
      </c>
      <c r="K386" t="s">
        <v>19</v>
      </c>
      <c r="L386" t="s">
        <v>59</v>
      </c>
      <c r="M386">
        <f>orders[[#This Row],[Ship Date]]-orders[[#This Row],[Order Date]]</f>
        <v>2</v>
      </c>
      <c r="N386">
        <f>WEEKNUM(orders[[#This Row],[Order Date]])</f>
        <v>3</v>
      </c>
      <c r="O386" t="str">
        <f>_xlfn.IFS(orders[[#This Row],[Customer Gender]]="M","Male", orders[[#This Row],[Customer Gender]]="F","Female", orders[[#This Row],[Customer Gender]]="O","Other", TRUE,"Unknown")</f>
        <v>Female</v>
      </c>
    </row>
    <row r="387" spans="1:15">
      <c r="A387" t="s">
        <v>473</v>
      </c>
      <c r="B387" t="s">
        <v>39</v>
      </c>
      <c r="C387">
        <v>6</v>
      </c>
      <c r="D387">
        <v>83.3</v>
      </c>
      <c r="E387">
        <v>499.79999999999995</v>
      </c>
      <c r="F387" s="1">
        <v>45674</v>
      </c>
      <c r="G387" s="1">
        <v>45677</v>
      </c>
      <c r="H387" t="s">
        <v>17</v>
      </c>
      <c r="I387" t="s">
        <v>40</v>
      </c>
      <c r="J387">
        <v>4</v>
      </c>
      <c r="K387" t="s">
        <v>19</v>
      </c>
      <c r="L387" t="s">
        <v>59</v>
      </c>
      <c r="M387">
        <f>orders[[#This Row],[Ship Date]]-orders[[#This Row],[Order Date]]</f>
        <v>3</v>
      </c>
      <c r="N387">
        <f>WEEKNUM(orders[[#This Row],[Order Date]])</f>
        <v>3</v>
      </c>
      <c r="O387" t="str">
        <f>_xlfn.IFS(orders[[#This Row],[Customer Gender]]="M","Male", orders[[#This Row],[Customer Gender]]="F","Female", orders[[#This Row],[Customer Gender]]="O","Other", TRUE,"Unknown")</f>
        <v>Unknown</v>
      </c>
    </row>
    <row r="388" spans="1:15">
      <c r="A388" t="s">
        <v>474</v>
      </c>
      <c r="B388" t="s">
        <v>26</v>
      </c>
      <c r="C388">
        <v>17</v>
      </c>
      <c r="D388">
        <v>60.3</v>
      </c>
      <c r="E388">
        <v>1025.0999999999999</v>
      </c>
      <c r="F388" s="1">
        <v>45674</v>
      </c>
      <c r="G388" s="1">
        <v>45675</v>
      </c>
      <c r="H388" t="s">
        <v>23</v>
      </c>
      <c r="I388" t="s">
        <v>40</v>
      </c>
      <c r="J388">
        <v>3</v>
      </c>
      <c r="K388" t="s">
        <v>19</v>
      </c>
      <c r="L388" t="s">
        <v>59</v>
      </c>
      <c r="M388">
        <f>orders[[#This Row],[Ship Date]]-orders[[#This Row],[Order Date]]</f>
        <v>1</v>
      </c>
      <c r="N388">
        <f>WEEKNUM(orders[[#This Row],[Order Date]])</f>
        <v>3</v>
      </c>
      <c r="O388" t="str">
        <f>_xlfn.IFS(orders[[#This Row],[Customer Gender]]="M","Male", orders[[#This Row],[Customer Gender]]="F","Female", orders[[#This Row],[Customer Gender]]="O","Other", TRUE,"Unknown")</f>
        <v>Male</v>
      </c>
    </row>
    <row r="389" spans="1:15">
      <c r="A389" t="s">
        <v>475</v>
      </c>
      <c r="B389" t="s">
        <v>26</v>
      </c>
      <c r="C389">
        <v>6</v>
      </c>
      <c r="D389">
        <v>120.3</v>
      </c>
      <c r="E389">
        <v>721.8</v>
      </c>
      <c r="F389" s="1">
        <v>45674</v>
      </c>
      <c r="G389" s="1">
        <v>45675</v>
      </c>
      <c r="H389" t="s">
        <v>23</v>
      </c>
      <c r="I389" t="s">
        <v>40</v>
      </c>
      <c r="J389">
        <v>4</v>
      </c>
      <c r="K389" t="s">
        <v>19</v>
      </c>
      <c r="L389" t="s">
        <v>62</v>
      </c>
      <c r="M389">
        <f>orders[[#This Row],[Ship Date]]-orders[[#This Row],[Order Date]]</f>
        <v>1</v>
      </c>
      <c r="N389">
        <f>WEEKNUM(orders[[#This Row],[Order Date]])</f>
        <v>3</v>
      </c>
      <c r="O389" t="str">
        <f>_xlfn.IFS(orders[[#This Row],[Customer Gender]]="M","Male", orders[[#This Row],[Customer Gender]]="F","Female", orders[[#This Row],[Customer Gender]]="O","Other", TRUE,"Unknown")</f>
        <v>Male</v>
      </c>
    </row>
    <row r="390" spans="1:15">
      <c r="A390" t="s">
        <v>476</v>
      </c>
      <c r="B390" t="s">
        <v>32</v>
      </c>
      <c r="C390">
        <v>10</v>
      </c>
      <c r="D390">
        <v>34</v>
      </c>
      <c r="E390">
        <v>340</v>
      </c>
      <c r="F390" s="1">
        <v>45674</v>
      </c>
      <c r="G390" s="1">
        <v>45678</v>
      </c>
      <c r="H390" t="s">
        <v>27</v>
      </c>
      <c r="I390" t="s">
        <v>40</v>
      </c>
      <c r="J390">
        <v>4</v>
      </c>
      <c r="K390" t="s">
        <v>19</v>
      </c>
      <c r="L390" t="s">
        <v>62</v>
      </c>
      <c r="M390">
        <f>orders[[#This Row],[Ship Date]]-orders[[#This Row],[Order Date]]</f>
        <v>4</v>
      </c>
      <c r="N390">
        <f>WEEKNUM(orders[[#This Row],[Order Date]])</f>
        <v>3</v>
      </c>
      <c r="O390" t="str">
        <f>_xlfn.IFS(orders[[#This Row],[Customer Gender]]="M","Male", orders[[#This Row],[Customer Gender]]="F","Female", orders[[#This Row],[Customer Gender]]="O","Other", TRUE,"Unknown")</f>
        <v>Female</v>
      </c>
    </row>
    <row r="391" spans="1:15">
      <c r="A391" t="s">
        <v>477</v>
      </c>
      <c r="B391" t="s">
        <v>54</v>
      </c>
      <c r="C391">
        <v>5</v>
      </c>
      <c r="D391">
        <v>42.6</v>
      </c>
      <c r="E391">
        <v>213</v>
      </c>
      <c r="F391" s="1">
        <v>45674</v>
      </c>
      <c r="G391" s="1">
        <v>45677</v>
      </c>
      <c r="H391" t="s">
        <v>23</v>
      </c>
      <c r="I391" t="s">
        <v>35</v>
      </c>
      <c r="J391">
        <v>4</v>
      </c>
      <c r="K391" t="s">
        <v>19</v>
      </c>
      <c r="L391" t="s">
        <v>62</v>
      </c>
      <c r="M391">
        <f>orders[[#This Row],[Ship Date]]-orders[[#This Row],[Order Date]]</f>
        <v>3</v>
      </c>
      <c r="N391">
        <f>WEEKNUM(orders[[#This Row],[Order Date]])</f>
        <v>3</v>
      </c>
      <c r="O391" t="str">
        <f>_xlfn.IFS(orders[[#This Row],[Customer Gender]]="M","Male", orders[[#This Row],[Customer Gender]]="F","Female", orders[[#This Row],[Customer Gender]]="O","Other", TRUE,"Unknown")</f>
        <v>Male</v>
      </c>
    </row>
    <row r="392" spans="1:15">
      <c r="A392" t="s">
        <v>478</v>
      </c>
      <c r="B392" t="s">
        <v>37</v>
      </c>
      <c r="C392">
        <v>20</v>
      </c>
      <c r="D392">
        <v>47.4</v>
      </c>
      <c r="E392">
        <v>948</v>
      </c>
      <c r="F392" s="1">
        <v>45674</v>
      </c>
      <c r="G392" s="1">
        <v>45674</v>
      </c>
      <c r="H392" t="s">
        <v>27</v>
      </c>
      <c r="I392" t="s">
        <v>40</v>
      </c>
      <c r="J392">
        <v>3</v>
      </c>
      <c r="K392" t="s">
        <v>19</v>
      </c>
      <c r="L392" t="s">
        <v>103</v>
      </c>
      <c r="M392">
        <f>orders[[#This Row],[Ship Date]]-orders[[#This Row],[Order Date]]</f>
        <v>0</v>
      </c>
      <c r="N392">
        <f>WEEKNUM(orders[[#This Row],[Order Date]])</f>
        <v>3</v>
      </c>
      <c r="O392" t="str">
        <f>_xlfn.IFS(orders[[#This Row],[Customer Gender]]="M","Male", orders[[#This Row],[Customer Gender]]="F","Female", orders[[#This Row],[Customer Gender]]="O","Other", TRUE,"Unknown")</f>
        <v>Female</v>
      </c>
    </row>
    <row r="393" spans="1:15">
      <c r="A393" t="s">
        <v>479</v>
      </c>
      <c r="B393" t="s">
        <v>26</v>
      </c>
      <c r="C393">
        <v>1</v>
      </c>
      <c r="D393">
        <v>74</v>
      </c>
      <c r="E393">
        <v>74</v>
      </c>
      <c r="F393" s="1">
        <v>45675</v>
      </c>
      <c r="G393" s="1">
        <v>45676</v>
      </c>
      <c r="H393" t="s">
        <v>23</v>
      </c>
      <c r="I393" t="s">
        <v>35</v>
      </c>
      <c r="J393">
        <v>4</v>
      </c>
      <c r="K393" t="s">
        <v>19</v>
      </c>
      <c r="L393" t="s">
        <v>77</v>
      </c>
      <c r="M393">
        <f>orders[[#This Row],[Ship Date]]-orders[[#This Row],[Order Date]]</f>
        <v>1</v>
      </c>
      <c r="N393">
        <f>WEEKNUM(orders[[#This Row],[Order Date]])</f>
        <v>3</v>
      </c>
      <c r="O393" t="str">
        <f>_xlfn.IFS(orders[[#This Row],[Customer Gender]]="M","Male", orders[[#This Row],[Customer Gender]]="F","Female", orders[[#This Row],[Customer Gender]]="O","Other", TRUE,"Unknown")</f>
        <v>Male</v>
      </c>
    </row>
    <row r="394" spans="1:15">
      <c r="A394" t="s">
        <v>480</v>
      </c>
      <c r="B394" t="s">
        <v>26</v>
      </c>
      <c r="C394">
        <v>5</v>
      </c>
      <c r="D394">
        <v>60.4</v>
      </c>
      <c r="E394">
        <v>302</v>
      </c>
      <c r="F394" s="1">
        <v>45675</v>
      </c>
      <c r="G394" s="1">
        <v>45678</v>
      </c>
      <c r="H394" t="s">
        <v>27</v>
      </c>
      <c r="I394" t="s">
        <v>35</v>
      </c>
      <c r="J394">
        <v>2</v>
      </c>
      <c r="K394" t="s">
        <v>19</v>
      </c>
      <c r="L394" t="s">
        <v>108</v>
      </c>
      <c r="M394">
        <f>orders[[#This Row],[Ship Date]]-orders[[#This Row],[Order Date]]</f>
        <v>3</v>
      </c>
      <c r="N394">
        <f>WEEKNUM(orders[[#This Row],[Order Date]])</f>
        <v>3</v>
      </c>
      <c r="O394" t="str">
        <f>_xlfn.IFS(orders[[#This Row],[Customer Gender]]="M","Male", orders[[#This Row],[Customer Gender]]="F","Female", orders[[#This Row],[Customer Gender]]="O","Other", TRUE,"Unknown")</f>
        <v>Female</v>
      </c>
    </row>
    <row r="395" spans="1:15">
      <c r="A395" t="s">
        <v>481</v>
      </c>
      <c r="B395" t="s">
        <v>69</v>
      </c>
      <c r="C395">
        <v>2</v>
      </c>
      <c r="D395">
        <v>69.3</v>
      </c>
      <c r="E395">
        <v>138.6</v>
      </c>
      <c r="F395" s="1">
        <v>45675</v>
      </c>
      <c r="G395" s="1">
        <v>45678</v>
      </c>
      <c r="H395" t="s">
        <v>23</v>
      </c>
      <c r="I395" t="s">
        <v>35</v>
      </c>
      <c r="J395">
        <v>3</v>
      </c>
      <c r="K395" t="s">
        <v>19</v>
      </c>
      <c r="L395" t="s">
        <v>82</v>
      </c>
      <c r="M395">
        <f>orders[[#This Row],[Ship Date]]-orders[[#This Row],[Order Date]]</f>
        <v>3</v>
      </c>
      <c r="N395">
        <f>WEEKNUM(orders[[#This Row],[Order Date]])</f>
        <v>3</v>
      </c>
      <c r="O395" t="str">
        <f>_xlfn.IFS(orders[[#This Row],[Customer Gender]]="M","Male", orders[[#This Row],[Customer Gender]]="F","Female", orders[[#This Row],[Customer Gender]]="O","Other", TRUE,"Unknown")</f>
        <v>Male</v>
      </c>
    </row>
    <row r="396" spans="1:15">
      <c r="A396" t="s">
        <v>482</v>
      </c>
      <c r="B396" t="s">
        <v>37</v>
      </c>
      <c r="C396">
        <v>5</v>
      </c>
      <c r="D396">
        <v>81</v>
      </c>
      <c r="E396">
        <v>405</v>
      </c>
      <c r="F396" s="1">
        <v>45675</v>
      </c>
      <c r="G396" s="1">
        <v>45681</v>
      </c>
      <c r="H396" t="s">
        <v>23</v>
      </c>
      <c r="I396" t="s">
        <v>51</v>
      </c>
      <c r="J396">
        <v>4</v>
      </c>
      <c r="K396" t="s">
        <v>19</v>
      </c>
      <c r="L396" t="s">
        <v>115</v>
      </c>
      <c r="M396">
        <f>orders[[#This Row],[Ship Date]]-orders[[#This Row],[Order Date]]</f>
        <v>6</v>
      </c>
      <c r="N396">
        <f>WEEKNUM(orders[[#This Row],[Order Date]])</f>
        <v>3</v>
      </c>
      <c r="O396" t="str">
        <f>_xlfn.IFS(orders[[#This Row],[Customer Gender]]="M","Male", orders[[#This Row],[Customer Gender]]="F","Female", orders[[#This Row],[Customer Gender]]="O","Other", TRUE,"Unknown")</f>
        <v>Male</v>
      </c>
    </row>
    <row r="397" spans="1:15">
      <c r="A397" t="s">
        <v>483</v>
      </c>
      <c r="B397" t="s">
        <v>123</v>
      </c>
      <c r="C397">
        <v>3</v>
      </c>
      <c r="D397">
        <v>41.5</v>
      </c>
      <c r="E397">
        <v>124.5</v>
      </c>
      <c r="F397" s="1">
        <v>45675</v>
      </c>
      <c r="G397" s="1">
        <v>45677</v>
      </c>
      <c r="H397" t="s">
        <v>89</v>
      </c>
      <c r="I397" t="s">
        <v>35</v>
      </c>
      <c r="J397">
        <v>4</v>
      </c>
      <c r="K397" t="s">
        <v>19</v>
      </c>
      <c r="L397" t="s">
        <v>115</v>
      </c>
      <c r="M397">
        <f>orders[[#This Row],[Ship Date]]-orders[[#This Row],[Order Date]]</f>
        <v>2</v>
      </c>
      <c r="N397">
        <f>WEEKNUM(orders[[#This Row],[Order Date]])</f>
        <v>3</v>
      </c>
      <c r="O397" t="str">
        <f>_xlfn.IFS(orders[[#This Row],[Customer Gender]]="M","Male", orders[[#This Row],[Customer Gender]]="F","Female", orders[[#This Row],[Customer Gender]]="O","Other", TRUE,"Unknown")</f>
        <v>Other</v>
      </c>
    </row>
    <row r="398" spans="1:15">
      <c r="A398" t="s">
        <v>484</v>
      </c>
      <c r="B398" t="s">
        <v>146</v>
      </c>
      <c r="C398">
        <v>2</v>
      </c>
      <c r="D398">
        <v>69.7</v>
      </c>
      <c r="E398">
        <v>139.4</v>
      </c>
      <c r="F398" s="1">
        <v>45675</v>
      </c>
      <c r="G398" s="1">
        <v>45680</v>
      </c>
      <c r="H398" t="s">
        <v>23</v>
      </c>
      <c r="I398" t="s">
        <v>35</v>
      </c>
      <c r="J398">
        <v>4</v>
      </c>
      <c r="K398" t="s">
        <v>19</v>
      </c>
      <c r="L398" t="s">
        <v>115</v>
      </c>
      <c r="M398">
        <f>orders[[#This Row],[Ship Date]]-orders[[#This Row],[Order Date]]</f>
        <v>5</v>
      </c>
      <c r="N398">
        <f>WEEKNUM(orders[[#This Row],[Order Date]])</f>
        <v>3</v>
      </c>
      <c r="O398" t="str">
        <f>_xlfn.IFS(orders[[#This Row],[Customer Gender]]="M","Male", orders[[#This Row],[Customer Gender]]="F","Female", orders[[#This Row],[Customer Gender]]="O","Other", TRUE,"Unknown")</f>
        <v>Male</v>
      </c>
    </row>
    <row r="399" spans="1:15">
      <c r="A399" t="s">
        <v>485</v>
      </c>
      <c r="B399" t="s">
        <v>26</v>
      </c>
      <c r="C399">
        <v>5</v>
      </c>
      <c r="D399">
        <v>83.6</v>
      </c>
      <c r="E399">
        <v>418</v>
      </c>
      <c r="F399" s="1">
        <v>45675</v>
      </c>
      <c r="G399" s="1">
        <v>45675</v>
      </c>
      <c r="H399" t="s">
        <v>27</v>
      </c>
      <c r="I399" t="s">
        <v>70</v>
      </c>
      <c r="J399">
        <v>4</v>
      </c>
      <c r="K399" t="s">
        <v>19</v>
      </c>
      <c r="L399" t="s">
        <v>24</v>
      </c>
      <c r="M399">
        <f>orders[[#This Row],[Ship Date]]-orders[[#This Row],[Order Date]]</f>
        <v>0</v>
      </c>
      <c r="N399">
        <f>WEEKNUM(orders[[#This Row],[Order Date]])</f>
        <v>3</v>
      </c>
      <c r="O399" t="str">
        <f>_xlfn.IFS(orders[[#This Row],[Customer Gender]]="M","Male", orders[[#This Row],[Customer Gender]]="F","Female", orders[[#This Row],[Customer Gender]]="O","Other", TRUE,"Unknown")</f>
        <v>Female</v>
      </c>
    </row>
    <row r="400" spans="1:15">
      <c r="A400" t="s">
        <v>486</v>
      </c>
      <c r="B400" t="s">
        <v>44</v>
      </c>
      <c r="C400">
        <v>7</v>
      </c>
      <c r="D400">
        <v>21.5</v>
      </c>
      <c r="E400">
        <v>150.5</v>
      </c>
      <c r="F400" s="1">
        <v>45675</v>
      </c>
      <c r="G400" s="1">
        <v>45677</v>
      </c>
      <c r="H400" t="s">
        <v>23</v>
      </c>
      <c r="I400" t="s">
        <v>35</v>
      </c>
      <c r="J400">
        <v>2</v>
      </c>
      <c r="K400" t="s">
        <v>19</v>
      </c>
      <c r="L400" t="s">
        <v>334</v>
      </c>
      <c r="M400">
        <f>orders[[#This Row],[Ship Date]]-orders[[#This Row],[Order Date]]</f>
        <v>2</v>
      </c>
      <c r="N400">
        <f>WEEKNUM(orders[[#This Row],[Order Date]])</f>
        <v>3</v>
      </c>
      <c r="O400" t="str">
        <f>_xlfn.IFS(orders[[#This Row],[Customer Gender]]="M","Male", orders[[#This Row],[Customer Gender]]="F","Female", orders[[#This Row],[Customer Gender]]="O","Other", TRUE,"Unknown")</f>
        <v>Male</v>
      </c>
    </row>
    <row r="401" spans="1:15">
      <c r="A401" t="s">
        <v>487</v>
      </c>
      <c r="B401" t="s">
        <v>44</v>
      </c>
      <c r="C401">
        <v>8</v>
      </c>
      <c r="D401">
        <v>28.6</v>
      </c>
      <c r="E401">
        <v>228.8</v>
      </c>
      <c r="F401" s="1">
        <v>45675</v>
      </c>
      <c r="G401" s="1">
        <v>45676</v>
      </c>
      <c r="H401" t="s">
        <v>23</v>
      </c>
      <c r="I401" t="s">
        <v>18</v>
      </c>
      <c r="J401">
        <v>4</v>
      </c>
      <c r="K401" t="s">
        <v>19</v>
      </c>
      <c r="L401" t="s">
        <v>33</v>
      </c>
      <c r="M401">
        <f>orders[[#This Row],[Ship Date]]-orders[[#This Row],[Order Date]]</f>
        <v>1</v>
      </c>
      <c r="N401">
        <f>WEEKNUM(orders[[#This Row],[Order Date]])</f>
        <v>3</v>
      </c>
      <c r="O401" t="str">
        <f>_xlfn.IFS(orders[[#This Row],[Customer Gender]]="M","Male", orders[[#This Row],[Customer Gender]]="F","Female", orders[[#This Row],[Customer Gender]]="O","Other", TRUE,"Unknown")</f>
        <v>Male</v>
      </c>
    </row>
    <row r="402" spans="1:15">
      <c r="A402" t="s">
        <v>488</v>
      </c>
      <c r="B402" t="s">
        <v>44</v>
      </c>
      <c r="C402">
        <v>6</v>
      </c>
      <c r="D402">
        <v>18.8</v>
      </c>
      <c r="E402">
        <v>112.80000000000001</v>
      </c>
      <c r="F402" s="1">
        <v>45675</v>
      </c>
      <c r="G402" s="1">
        <v>45678</v>
      </c>
      <c r="H402" t="s">
        <v>23</v>
      </c>
      <c r="I402" t="s">
        <v>51</v>
      </c>
      <c r="J402">
        <v>5</v>
      </c>
      <c r="K402" t="s">
        <v>19</v>
      </c>
      <c r="L402" t="s">
        <v>33</v>
      </c>
      <c r="M402">
        <f>orders[[#This Row],[Ship Date]]-orders[[#This Row],[Order Date]]</f>
        <v>3</v>
      </c>
      <c r="N402">
        <f>WEEKNUM(orders[[#This Row],[Order Date]])</f>
        <v>3</v>
      </c>
      <c r="O402" t="str">
        <f>_xlfn.IFS(orders[[#This Row],[Customer Gender]]="M","Male", orders[[#This Row],[Customer Gender]]="F","Female", orders[[#This Row],[Customer Gender]]="O","Other", TRUE,"Unknown")</f>
        <v>Male</v>
      </c>
    </row>
    <row r="403" spans="1:15">
      <c r="A403" t="s">
        <v>489</v>
      </c>
      <c r="B403" t="s">
        <v>54</v>
      </c>
      <c r="C403">
        <v>4</v>
      </c>
      <c r="D403">
        <v>35.1</v>
      </c>
      <c r="E403">
        <v>140.4</v>
      </c>
      <c r="F403" s="1">
        <v>45675</v>
      </c>
      <c r="G403" s="1">
        <v>45675</v>
      </c>
      <c r="H403" t="s">
        <v>27</v>
      </c>
      <c r="I403" t="s">
        <v>35</v>
      </c>
      <c r="J403">
        <v>3</v>
      </c>
      <c r="K403" t="s">
        <v>19</v>
      </c>
      <c r="L403" t="s">
        <v>33</v>
      </c>
      <c r="M403">
        <f>orders[[#This Row],[Ship Date]]-orders[[#This Row],[Order Date]]</f>
        <v>0</v>
      </c>
      <c r="N403">
        <f>WEEKNUM(orders[[#This Row],[Order Date]])</f>
        <v>3</v>
      </c>
      <c r="O403" t="str">
        <f>_xlfn.IFS(orders[[#This Row],[Customer Gender]]="M","Male", orders[[#This Row],[Customer Gender]]="F","Female", orders[[#This Row],[Customer Gender]]="O","Other", TRUE,"Unknown")</f>
        <v>Female</v>
      </c>
    </row>
    <row r="404" spans="1:15">
      <c r="A404" t="s">
        <v>490</v>
      </c>
      <c r="B404" t="s">
        <v>16</v>
      </c>
      <c r="C404">
        <v>2</v>
      </c>
      <c r="D404">
        <v>12.7</v>
      </c>
      <c r="E404">
        <v>25.4</v>
      </c>
      <c r="F404" s="1">
        <v>45675</v>
      </c>
      <c r="G404" s="1">
        <v>45677</v>
      </c>
      <c r="H404" t="s">
        <v>27</v>
      </c>
      <c r="I404" t="s">
        <v>35</v>
      </c>
      <c r="J404">
        <v>5</v>
      </c>
      <c r="K404" t="s">
        <v>19</v>
      </c>
      <c r="L404" t="s">
        <v>33</v>
      </c>
      <c r="M404">
        <f>orders[[#This Row],[Ship Date]]-orders[[#This Row],[Order Date]]</f>
        <v>2</v>
      </c>
      <c r="N404">
        <f>WEEKNUM(orders[[#This Row],[Order Date]])</f>
        <v>3</v>
      </c>
      <c r="O404" t="str">
        <f>_xlfn.IFS(orders[[#This Row],[Customer Gender]]="M","Male", orders[[#This Row],[Customer Gender]]="F","Female", orders[[#This Row],[Customer Gender]]="O","Other", TRUE,"Unknown")</f>
        <v>Female</v>
      </c>
    </row>
    <row r="405" spans="1:15">
      <c r="A405" t="s">
        <v>491</v>
      </c>
      <c r="B405" t="s">
        <v>44</v>
      </c>
      <c r="C405">
        <v>5</v>
      </c>
      <c r="D405">
        <v>27.4</v>
      </c>
      <c r="E405">
        <v>137</v>
      </c>
      <c r="F405" s="1">
        <v>45675</v>
      </c>
      <c r="G405" s="1">
        <v>45677</v>
      </c>
      <c r="H405" t="s">
        <v>89</v>
      </c>
      <c r="I405" t="s">
        <v>18</v>
      </c>
      <c r="J405">
        <v>4</v>
      </c>
      <c r="K405" t="s">
        <v>19</v>
      </c>
      <c r="L405" t="s">
        <v>33</v>
      </c>
      <c r="M405">
        <f>orders[[#This Row],[Ship Date]]-orders[[#This Row],[Order Date]]</f>
        <v>2</v>
      </c>
      <c r="N405">
        <f>WEEKNUM(orders[[#This Row],[Order Date]])</f>
        <v>3</v>
      </c>
      <c r="O405" t="str">
        <f>_xlfn.IFS(orders[[#This Row],[Customer Gender]]="M","Male", orders[[#This Row],[Customer Gender]]="F","Female", orders[[#This Row],[Customer Gender]]="O","Other", TRUE,"Unknown")</f>
        <v>Other</v>
      </c>
    </row>
    <row r="406" spans="1:15">
      <c r="A406" t="s">
        <v>492</v>
      </c>
      <c r="B406" t="s">
        <v>54</v>
      </c>
      <c r="C406">
        <v>2</v>
      </c>
      <c r="D406">
        <v>61.3</v>
      </c>
      <c r="E406">
        <v>122.6</v>
      </c>
      <c r="F406" s="1">
        <v>45675</v>
      </c>
      <c r="G406" s="1">
        <v>45676</v>
      </c>
      <c r="H406" t="s">
        <v>27</v>
      </c>
      <c r="I406" t="s">
        <v>35</v>
      </c>
      <c r="J406">
        <v>4</v>
      </c>
      <c r="K406" t="s">
        <v>19</v>
      </c>
      <c r="L406" t="s">
        <v>55</v>
      </c>
      <c r="M406">
        <f>orders[[#This Row],[Ship Date]]-orders[[#This Row],[Order Date]]</f>
        <v>1</v>
      </c>
      <c r="N406">
        <f>WEEKNUM(orders[[#This Row],[Order Date]])</f>
        <v>3</v>
      </c>
      <c r="O406" t="str">
        <f>_xlfn.IFS(orders[[#This Row],[Customer Gender]]="M","Male", orders[[#This Row],[Customer Gender]]="F","Female", orders[[#This Row],[Customer Gender]]="O","Other", TRUE,"Unknown")</f>
        <v>Female</v>
      </c>
    </row>
    <row r="407" spans="1:15">
      <c r="A407" t="s">
        <v>493</v>
      </c>
      <c r="B407" t="s">
        <v>44</v>
      </c>
      <c r="C407">
        <v>2</v>
      </c>
      <c r="D407">
        <v>64.7</v>
      </c>
      <c r="E407">
        <v>129.4</v>
      </c>
      <c r="F407" s="1">
        <v>45675</v>
      </c>
      <c r="G407" s="1">
        <v>45677</v>
      </c>
      <c r="H407" t="s">
        <v>27</v>
      </c>
      <c r="I407" t="s">
        <v>51</v>
      </c>
      <c r="J407">
        <v>5</v>
      </c>
      <c r="K407" t="s">
        <v>19</v>
      </c>
      <c r="L407" t="s">
        <v>55</v>
      </c>
      <c r="M407">
        <f>orders[[#This Row],[Ship Date]]-orders[[#This Row],[Order Date]]</f>
        <v>2</v>
      </c>
      <c r="N407">
        <f>WEEKNUM(orders[[#This Row],[Order Date]])</f>
        <v>3</v>
      </c>
      <c r="O407" t="str">
        <f>_xlfn.IFS(orders[[#This Row],[Customer Gender]]="M","Male", orders[[#This Row],[Customer Gender]]="F","Female", orders[[#This Row],[Customer Gender]]="O","Other", TRUE,"Unknown")</f>
        <v>Female</v>
      </c>
    </row>
    <row r="408" spans="1:15">
      <c r="A408" t="s">
        <v>494</v>
      </c>
      <c r="B408" t="s">
        <v>42</v>
      </c>
      <c r="C408">
        <v>4</v>
      </c>
      <c r="D408">
        <v>91.4</v>
      </c>
      <c r="E408">
        <v>365.6</v>
      </c>
      <c r="F408" s="1">
        <v>45675</v>
      </c>
      <c r="G408" s="1">
        <v>45677</v>
      </c>
      <c r="H408" t="s">
        <v>27</v>
      </c>
      <c r="I408" t="s">
        <v>18</v>
      </c>
      <c r="J408">
        <v>4</v>
      </c>
      <c r="K408" t="s">
        <v>19</v>
      </c>
      <c r="L408" t="s">
        <v>62</v>
      </c>
      <c r="M408">
        <f>orders[[#This Row],[Ship Date]]-orders[[#This Row],[Order Date]]</f>
        <v>2</v>
      </c>
      <c r="N408">
        <f>WEEKNUM(orders[[#This Row],[Order Date]])</f>
        <v>3</v>
      </c>
      <c r="O408" t="str">
        <f>_xlfn.IFS(orders[[#This Row],[Customer Gender]]="M","Male", orders[[#This Row],[Customer Gender]]="F","Female", orders[[#This Row],[Customer Gender]]="O","Other", TRUE,"Unknown")</f>
        <v>Female</v>
      </c>
    </row>
    <row r="409" spans="1:15">
      <c r="A409" t="s">
        <v>495</v>
      </c>
      <c r="B409" t="s">
        <v>16</v>
      </c>
      <c r="C409">
        <v>2</v>
      </c>
      <c r="D409">
        <v>33.1</v>
      </c>
      <c r="E409">
        <v>66.2</v>
      </c>
      <c r="F409" s="1">
        <v>45676</v>
      </c>
      <c r="G409" s="1">
        <v>45677</v>
      </c>
      <c r="H409" t="s">
        <v>23</v>
      </c>
      <c r="I409" t="s">
        <v>18</v>
      </c>
      <c r="J409">
        <v>5</v>
      </c>
      <c r="K409" t="s">
        <v>19</v>
      </c>
      <c r="L409" t="s">
        <v>62</v>
      </c>
      <c r="M409">
        <f>orders[[#This Row],[Ship Date]]-orders[[#This Row],[Order Date]]</f>
        <v>1</v>
      </c>
      <c r="N409">
        <f>WEEKNUM(orders[[#This Row],[Order Date]])</f>
        <v>4</v>
      </c>
      <c r="O409" t="str">
        <f>_xlfn.IFS(orders[[#This Row],[Customer Gender]]="M","Male", orders[[#This Row],[Customer Gender]]="F","Female", orders[[#This Row],[Customer Gender]]="O","Other", TRUE,"Unknown")</f>
        <v>Male</v>
      </c>
    </row>
    <row r="410" spans="1:15">
      <c r="A410" t="s">
        <v>496</v>
      </c>
      <c r="B410" t="s">
        <v>30</v>
      </c>
      <c r="C410">
        <v>2</v>
      </c>
      <c r="D410">
        <v>105.6</v>
      </c>
      <c r="E410">
        <v>211.2</v>
      </c>
      <c r="F410" s="1">
        <v>45676</v>
      </c>
      <c r="G410" s="1">
        <v>45677</v>
      </c>
      <c r="H410" t="s">
        <v>23</v>
      </c>
      <c r="I410" t="s">
        <v>40</v>
      </c>
      <c r="J410">
        <v>3</v>
      </c>
      <c r="K410" t="s">
        <v>19</v>
      </c>
      <c r="L410" t="s">
        <v>62</v>
      </c>
      <c r="M410">
        <f>orders[[#This Row],[Ship Date]]-orders[[#This Row],[Order Date]]</f>
        <v>1</v>
      </c>
      <c r="N410">
        <f>WEEKNUM(orders[[#This Row],[Order Date]])</f>
        <v>4</v>
      </c>
      <c r="O410" t="str">
        <f>_xlfn.IFS(orders[[#This Row],[Customer Gender]]="M","Male", orders[[#This Row],[Customer Gender]]="F","Female", orders[[#This Row],[Customer Gender]]="O","Other", TRUE,"Unknown")</f>
        <v>Male</v>
      </c>
    </row>
    <row r="411" spans="1:15">
      <c r="A411" t="s">
        <v>497</v>
      </c>
      <c r="B411" t="s">
        <v>54</v>
      </c>
      <c r="C411">
        <v>3</v>
      </c>
      <c r="D411">
        <v>46.4</v>
      </c>
      <c r="E411">
        <v>139.19999999999999</v>
      </c>
      <c r="F411" s="1">
        <v>45676</v>
      </c>
      <c r="G411" s="1">
        <v>45677</v>
      </c>
      <c r="H411" t="s">
        <v>23</v>
      </c>
      <c r="I411" t="s">
        <v>40</v>
      </c>
      <c r="J411">
        <v>4</v>
      </c>
      <c r="K411" t="s">
        <v>19</v>
      </c>
      <c r="L411" t="s">
        <v>72</v>
      </c>
      <c r="M411">
        <f>orders[[#This Row],[Ship Date]]-orders[[#This Row],[Order Date]]</f>
        <v>1</v>
      </c>
      <c r="N411">
        <f>WEEKNUM(orders[[#This Row],[Order Date]])</f>
        <v>4</v>
      </c>
      <c r="O411" t="str">
        <f>_xlfn.IFS(orders[[#This Row],[Customer Gender]]="M","Male", orders[[#This Row],[Customer Gender]]="F","Female", orders[[#This Row],[Customer Gender]]="O","Other", TRUE,"Unknown")</f>
        <v>Male</v>
      </c>
    </row>
    <row r="412" spans="1:15">
      <c r="A412" t="s">
        <v>498</v>
      </c>
      <c r="B412" t="s">
        <v>46</v>
      </c>
      <c r="C412">
        <v>14</v>
      </c>
      <c r="D412">
        <v>35.299999999999997</v>
      </c>
      <c r="E412">
        <v>494.19999999999993</v>
      </c>
      <c r="F412" s="1">
        <v>45676</v>
      </c>
      <c r="G412" s="1">
        <v>45679</v>
      </c>
      <c r="H412" t="s">
        <v>27</v>
      </c>
      <c r="I412" t="s">
        <v>70</v>
      </c>
      <c r="J412">
        <v>3</v>
      </c>
      <c r="K412" t="s">
        <v>19</v>
      </c>
      <c r="L412" t="s">
        <v>77</v>
      </c>
      <c r="M412">
        <f>orders[[#This Row],[Ship Date]]-orders[[#This Row],[Order Date]]</f>
        <v>3</v>
      </c>
      <c r="N412">
        <f>WEEKNUM(orders[[#This Row],[Order Date]])</f>
        <v>4</v>
      </c>
      <c r="O412" t="str">
        <f>_xlfn.IFS(orders[[#This Row],[Customer Gender]]="M","Male", orders[[#This Row],[Customer Gender]]="F","Female", orders[[#This Row],[Customer Gender]]="O","Other", TRUE,"Unknown")</f>
        <v>Female</v>
      </c>
    </row>
    <row r="413" spans="1:15">
      <c r="A413" t="s">
        <v>499</v>
      </c>
      <c r="B413" t="s">
        <v>16</v>
      </c>
      <c r="C413">
        <v>2</v>
      </c>
      <c r="D413">
        <v>16.100000000000001</v>
      </c>
      <c r="E413">
        <v>32.200000000000003</v>
      </c>
      <c r="F413" s="1">
        <v>45676</v>
      </c>
      <c r="G413" s="1">
        <v>45678</v>
      </c>
      <c r="H413" t="s">
        <v>23</v>
      </c>
      <c r="I413" t="s">
        <v>51</v>
      </c>
      <c r="J413">
        <v>5</v>
      </c>
      <c r="K413" t="s">
        <v>19</v>
      </c>
      <c r="L413" t="s">
        <v>309</v>
      </c>
      <c r="M413">
        <f>orders[[#This Row],[Ship Date]]-orders[[#This Row],[Order Date]]</f>
        <v>2</v>
      </c>
      <c r="N413">
        <f>WEEKNUM(orders[[#This Row],[Order Date]])</f>
        <v>4</v>
      </c>
      <c r="O413" t="str">
        <f>_xlfn.IFS(orders[[#This Row],[Customer Gender]]="M","Male", orders[[#This Row],[Customer Gender]]="F","Female", orders[[#This Row],[Customer Gender]]="O","Other", TRUE,"Unknown")</f>
        <v>Male</v>
      </c>
    </row>
    <row r="414" spans="1:15">
      <c r="A414" t="s">
        <v>500</v>
      </c>
      <c r="B414" t="s">
        <v>32</v>
      </c>
      <c r="C414">
        <v>2</v>
      </c>
      <c r="D414">
        <v>27.9</v>
      </c>
      <c r="E414">
        <v>55.8</v>
      </c>
      <c r="F414" s="1">
        <v>45676</v>
      </c>
      <c r="G414" s="1">
        <v>45679</v>
      </c>
      <c r="H414" t="s">
        <v>23</v>
      </c>
      <c r="I414" t="s">
        <v>18</v>
      </c>
      <c r="J414">
        <v>4</v>
      </c>
      <c r="K414" t="s">
        <v>19</v>
      </c>
      <c r="L414" t="s">
        <v>82</v>
      </c>
      <c r="M414">
        <f>orders[[#This Row],[Ship Date]]-orders[[#This Row],[Order Date]]</f>
        <v>3</v>
      </c>
      <c r="N414">
        <f>WEEKNUM(orders[[#This Row],[Order Date]])</f>
        <v>4</v>
      </c>
      <c r="O414" t="str">
        <f>_xlfn.IFS(orders[[#This Row],[Customer Gender]]="M","Male", orders[[#This Row],[Customer Gender]]="F","Female", orders[[#This Row],[Customer Gender]]="O","Other", TRUE,"Unknown")</f>
        <v>Male</v>
      </c>
    </row>
    <row r="415" spans="1:15">
      <c r="A415" t="s">
        <v>501</v>
      </c>
      <c r="B415" t="s">
        <v>44</v>
      </c>
      <c r="C415">
        <v>1</v>
      </c>
      <c r="D415">
        <v>47.1</v>
      </c>
      <c r="E415">
        <v>47.1</v>
      </c>
      <c r="F415" s="1">
        <v>45676</v>
      </c>
      <c r="G415" s="1">
        <v>45684</v>
      </c>
      <c r="H415" t="s">
        <v>27</v>
      </c>
      <c r="I415" t="s">
        <v>35</v>
      </c>
      <c r="J415">
        <v>4</v>
      </c>
      <c r="K415" t="s">
        <v>19</v>
      </c>
      <c r="L415" t="s">
        <v>28</v>
      </c>
      <c r="M415">
        <f>orders[[#This Row],[Ship Date]]-orders[[#This Row],[Order Date]]</f>
        <v>8</v>
      </c>
      <c r="N415">
        <f>WEEKNUM(orders[[#This Row],[Order Date]])</f>
        <v>4</v>
      </c>
      <c r="O415" t="str">
        <f>_xlfn.IFS(orders[[#This Row],[Customer Gender]]="M","Male", orders[[#This Row],[Customer Gender]]="F","Female", orders[[#This Row],[Customer Gender]]="O","Other", TRUE,"Unknown")</f>
        <v>Female</v>
      </c>
    </row>
    <row r="416" spans="1:15">
      <c r="A416" t="s">
        <v>502</v>
      </c>
      <c r="B416" t="s">
        <v>39</v>
      </c>
      <c r="C416">
        <v>2</v>
      </c>
      <c r="D416">
        <v>85</v>
      </c>
      <c r="E416">
        <v>170</v>
      </c>
      <c r="F416" s="1">
        <v>45676</v>
      </c>
      <c r="G416" s="1">
        <v>45679</v>
      </c>
      <c r="H416" t="s">
        <v>17</v>
      </c>
      <c r="I416" t="s">
        <v>40</v>
      </c>
      <c r="J416">
        <v>5</v>
      </c>
      <c r="K416" t="s">
        <v>19</v>
      </c>
      <c r="L416" t="s">
        <v>147</v>
      </c>
      <c r="M416">
        <f>orders[[#This Row],[Ship Date]]-orders[[#This Row],[Order Date]]</f>
        <v>3</v>
      </c>
      <c r="N416">
        <f>WEEKNUM(orders[[#This Row],[Order Date]])</f>
        <v>4</v>
      </c>
      <c r="O416" t="str">
        <f>_xlfn.IFS(orders[[#This Row],[Customer Gender]]="M","Male", orders[[#This Row],[Customer Gender]]="F","Female", orders[[#This Row],[Customer Gender]]="O","Other", TRUE,"Unknown")</f>
        <v>Unknown</v>
      </c>
    </row>
    <row r="417" spans="1:15">
      <c r="A417" t="s">
        <v>503</v>
      </c>
      <c r="B417" t="s">
        <v>146</v>
      </c>
      <c r="C417">
        <v>2</v>
      </c>
      <c r="D417">
        <v>89</v>
      </c>
      <c r="E417">
        <v>178</v>
      </c>
      <c r="F417" s="1">
        <v>45676</v>
      </c>
      <c r="G417" s="1">
        <v>45678</v>
      </c>
      <c r="H417" t="s">
        <v>27</v>
      </c>
      <c r="I417" t="s">
        <v>18</v>
      </c>
      <c r="J417">
        <v>4</v>
      </c>
      <c r="K417" t="s">
        <v>19</v>
      </c>
      <c r="L417" t="s">
        <v>33</v>
      </c>
      <c r="M417">
        <f>orders[[#This Row],[Ship Date]]-orders[[#This Row],[Order Date]]</f>
        <v>2</v>
      </c>
      <c r="N417">
        <f>WEEKNUM(orders[[#This Row],[Order Date]])</f>
        <v>4</v>
      </c>
      <c r="O417" t="str">
        <f>_xlfn.IFS(orders[[#This Row],[Customer Gender]]="M","Male", orders[[#This Row],[Customer Gender]]="F","Female", orders[[#This Row],[Customer Gender]]="O","Other", TRUE,"Unknown")</f>
        <v>Female</v>
      </c>
    </row>
    <row r="418" spans="1:15">
      <c r="A418" t="s">
        <v>504</v>
      </c>
      <c r="B418" t="s">
        <v>128</v>
      </c>
      <c r="C418">
        <v>3</v>
      </c>
      <c r="D418">
        <v>36.6</v>
      </c>
      <c r="E418">
        <v>109.80000000000001</v>
      </c>
      <c r="F418" s="1">
        <v>45676</v>
      </c>
      <c r="G418" s="1">
        <v>45677</v>
      </c>
      <c r="H418" t="s">
        <v>89</v>
      </c>
      <c r="I418" t="s">
        <v>51</v>
      </c>
      <c r="J418">
        <v>5</v>
      </c>
      <c r="K418" t="s">
        <v>19</v>
      </c>
      <c r="L418" t="s">
        <v>33</v>
      </c>
      <c r="M418">
        <f>orders[[#This Row],[Ship Date]]-orders[[#This Row],[Order Date]]</f>
        <v>1</v>
      </c>
      <c r="N418">
        <f>WEEKNUM(orders[[#This Row],[Order Date]])</f>
        <v>4</v>
      </c>
      <c r="O418" t="str">
        <f>_xlfn.IFS(orders[[#This Row],[Customer Gender]]="M","Male", orders[[#This Row],[Customer Gender]]="F","Female", orders[[#This Row],[Customer Gender]]="O","Other", TRUE,"Unknown")</f>
        <v>Other</v>
      </c>
    </row>
    <row r="419" spans="1:15">
      <c r="A419" t="s">
        <v>505</v>
      </c>
      <c r="B419" t="s">
        <v>39</v>
      </c>
      <c r="C419">
        <v>7</v>
      </c>
      <c r="D419">
        <v>43.5</v>
      </c>
      <c r="E419">
        <v>304.5</v>
      </c>
      <c r="F419" s="1">
        <v>45676</v>
      </c>
      <c r="G419" s="1">
        <v>45677</v>
      </c>
      <c r="H419" t="s">
        <v>23</v>
      </c>
      <c r="I419" t="s">
        <v>35</v>
      </c>
      <c r="J419">
        <v>5</v>
      </c>
      <c r="K419" t="s">
        <v>19</v>
      </c>
      <c r="L419" t="s">
        <v>33</v>
      </c>
      <c r="M419">
        <f>orders[[#This Row],[Ship Date]]-orders[[#This Row],[Order Date]]</f>
        <v>1</v>
      </c>
      <c r="N419">
        <f>WEEKNUM(orders[[#This Row],[Order Date]])</f>
        <v>4</v>
      </c>
      <c r="O419" t="str">
        <f>_xlfn.IFS(orders[[#This Row],[Customer Gender]]="M","Male", orders[[#This Row],[Customer Gender]]="F","Female", orders[[#This Row],[Customer Gender]]="O","Other", TRUE,"Unknown")</f>
        <v>Male</v>
      </c>
    </row>
    <row r="420" spans="1:15">
      <c r="A420" t="s">
        <v>506</v>
      </c>
      <c r="B420" t="s">
        <v>46</v>
      </c>
      <c r="C420">
        <v>19</v>
      </c>
      <c r="D420">
        <v>30.5</v>
      </c>
      <c r="E420">
        <v>579.5</v>
      </c>
      <c r="F420" s="1">
        <v>45676</v>
      </c>
      <c r="G420" s="1">
        <v>45676</v>
      </c>
      <c r="H420" t="s">
        <v>27</v>
      </c>
      <c r="I420" t="s">
        <v>51</v>
      </c>
      <c r="J420">
        <v>4</v>
      </c>
      <c r="K420" t="s">
        <v>19</v>
      </c>
      <c r="L420" t="s">
        <v>33</v>
      </c>
      <c r="M420">
        <f>orders[[#This Row],[Ship Date]]-orders[[#This Row],[Order Date]]</f>
        <v>0</v>
      </c>
      <c r="N420">
        <f>WEEKNUM(orders[[#This Row],[Order Date]])</f>
        <v>4</v>
      </c>
      <c r="O420" t="str">
        <f>_xlfn.IFS(orders[[#This Row],[Customer Gender]]="M","Male", orders[[#This Row],[Customer Gender]]="F","Female", orders[[#This Row],[Customer Gender]]="O","Other", TRUE,"Unknown")</f>
        <v>Female</v>
      </c>
    </row>
    <row r="421" spans="1:15">
      <c r="A421" t="s">
        <v>507</v>
      </c>
      <c r="B421" t="s">
        <v>22</v>
      </c>
      <c r="C421">
        <v>2</v>
      </c>
      <c r="D421">
        <v>107.7</v>
      </c>
      <c r="E421">
        <v>215.4</v>
      </c>
      <c r="F421" s="1">
        <v>45676</v>
      </c>
      <c r="G421" s="1">
        <v>45680</v>
      </c>
      <c r="H421" t="s">
        <v>23</v>
      </c>
      <c r="I421" t="s">
        <v>51</v>
      </c>
      <c r="J421">
        <v>2</v>
      </c>
      <c r="K421" t="s">
        <v>19</v>
      </c>
      <c r="L421" t="s">
        <v>33</v>
      </c>
      <c r="M421">
        <f>orders[[#This Row],[Ship Date]]-orders[[#This Row],[Order Date]]</f>
        <v>4</v>
      </c>
      <c r="N421">
        <f>WEEKNUM(orders[[#This Row],[Order Date]])</f>
        <v>4</v>
      </c>
      <c r="O421" t="str">
        <f>_xlfn.IFS(orders[[#This Row],[Customer Gender]]="M","Male", orders[[#This Row],[Customer Gender]]="F","Female", orders[[#This Row],[Customer Gender]]="O","Other", TRUE,"Unknown")</f>
        <v>Male</v>
      </c>
    </row>
    <row r="422" spans="1:15">
      <c r="A422" t="s">
        <v>508</v>
      </c>
      <c r="B422" t="s">
        <v>135</v>
      </c>
      <c r="C422">
        <v>26</v>
      </c>
      <c r="D422">
        <v>57.1</v>
      </c>
      <c r="E422">
        <v>1484.6000000000001</v>
      </c>
      <c r="F422" s="1">
        <v>45676</v>
      </c>
      <c r="G422" s="1">
        <v>45677</v>
      </c>
      <c r="H422" t="s">
        <v>23</v>
      </c>
      <c r="I422" t="s">
        <v>35</v>
      </c>
      <c r="J422">
        <v>4</v>
      </c>
      <c r="K422" t="s">
        <v>19</v>
      </c>
      <c r="L422" t="s">
        <v>33</v>
      </c>
      <c r="M422">
        <f>orders[[#This Row],[Ship Date]]-orders[[#This Row],[Order Date]]</f>
        <v>1</v>
      </c>
      <c r="N422">
        <f>WEEKNUM(orders[[#This Row],[Order Date]])</f>
        <v>4</v>
      </c>
      <c r="O422" t="str">
        <f>_xlfn.IFS(orders[[#This Row],[Customer Gender]]="M","Male", orders[[#This Row],[Customer Gender]]="F","Female", orders[[#This Row],[Customer Gender]]="O","Other", TRUE,"Unknown")</f>
        <v>Male</v>
      </c>
    </row>
    <row r="423" spans="1:15">
      <c r="A423" t="s">
        <v>509</v>
      </c>
      <c r="B423" t="s">
        <v>26</v>
      </c>
      <c r="C423">
        <v>10</v>
      </c>
      <c r="D423">
        <v>111.7</v>
      </c>
      <c r="E423">
        <v>1117</v>
      </c>
      <c r="F423" s="1">
        <v>45676</v>
      </c>
      <c r="G423" s="1">
        <v>45677</v>
      </c>
      <c r="H423" t="s">
        <v>27</v>
      </c>
      <c r="I423" t="s">
        <v>70</v>
      </c>
      <c r="J423">
        <v>5</v>
      </c>
      <c r="K423" t="s">
        <v>19</v>
      </c>
      <c r="L423" t="s">
        <v>33</v>
      </c>
      <c r="M423">
        <f>orders[[#This Row],[Ship Date]]-orders[[#This Row],[Order Date]]</f>
        <v>1</v>
      </c>
      <c r="N423">
        <f>WEEKNUM(orders[[#This Row],[Order Date]])</f>
        <v>4</v>
      </c>
      <c r="O423" t="str">
        <f>_xlfn.IFS(orders[[#This Row],[Customer Gender]]="M","Male", orders[[#This Row],[Customer Gender]]="F","Female", orders[[#This Row],[Customer Gender]]="O","Other", TRUE,"Unknown")</f>
        <v>Female</v>
      </c>
    </row>
    <row r="424" spans="1:15">
      <c r="A424" t="s">
        <v>510</v>
      </c>
      <c r="B424" t="s">
        <v>146</v>
      </c>
      <c r="C424">
        <v>7</v>
      </c>
      <c r="D424">
        <v>44.3</v>
      </c>
      <c r="E424">
        <v>310.09999999999997</v>
      </c>
      <c r="F424" s="1">
        <v>45676</v>
      </c>
      <c r="G424" s="1">
        <v>45679</v>
      </c>
      <c r="H424" t="s">
        <v>23</v>
      </c>
      <c r="I424" t="s">
        <v>51</v>
      </c>
      <c r="J424">
        <v>5</v>
      </c>
      <c r="K424" t="s">
        <v>19</v>
      </c>
      <c r="L424" t="s">
        <v>33</v>
      </c>
      <c r="M424">
        <f>orders[[#This Row],[Ship Date]]-orders[[#This Row],[Order Date]]</f>
        <v>3</v>
      </c>
      <c r="N424">
        <f>WEEKNUM(orders[[#This Row],[Order Date]])</f>
        <v>4</v>
      </c>
      <c r="O424" t="str">
        <f>_xlfn.IFS(orders[[#This Row],[Customer Gender]]="M","Male", orders[[#This Row],[Customer Gender]]="F","Female", orders[[#This Row],[Customer Gender]]="O","Other", TRUE,"Unknown")</f>
        <v>Male</v>
      </c>
    </row>
    <row r="425" spans="1:15">
      <c r="A425" t="s">
        <v>511</v>
      </c>
      <c r="B425" t="s">
        <v>26</v>
      </c>
      <c r="C425">
        <v>8</v>
      </c>
      <c r="D425">
        <v>95.8</v>
      </c>
      <c r="E425">
        <v>766.4</v>
      </c>
      <c r="F425" s="1">
        <v>45676</v>
      </c>
      <c r="G425" s="1">
        <v>45682</v>
      </c>
      <c r="H425" t="s">
        <v>89</v>
      </c>
      <c r="I425" t="s">
        <v>18</v>
      </c>
      <c r="J425">
        <v>4</v>
      </c>
      <c r="K425" t="s">
        <v>19</v>
      </c>
      <c r="L425" t="s">
        <v>33</v>
      </c>
      <c r="M425">
        <f>orders[[#This Row],[Ship Date]]-orders[[#This Row],[Order Date]]</f>
        <v>6</v>
      </c>
      <c r="N425">
        <f>WEEKNUM(orders[[#This Row],[Order Date]])</f>
        <v>4</v>
      </c>
      <c r="O425" t="str">
        <f>_xlfn.IFS(orders[[#This Row],[Customer Gender]]="M","Male", orders[[#This Row],[Customer Gender]]="F","Female", orders[[#This Row],[Customer Gender]]="O","Other", TRUE,"Unknown")</f>
        <v>Other</v>
      </c>
    </row>
    <row r="426" spans="1:15">
      <c r="A426" t="s">
        <v>512</v>
      </c>
      <c r="B426" t="s">
        <v>54</v>
      </c>
      <c r="C426">
        <v>7</v>
      </c>
      <c r="D426">
        <v>22.6</v>
      </c>
      <c r="E426">
        <v>158.20000000000002</v>
      </c>
      <c r="F426" s="1">
        <v>45676</v>
      </c>
      <c r="G426" s="1">
        <v>45679</v>
      </c>
      <c r="H426" t="s">
        <v>27</v>
      </c>
      <c r="I426" t="s">
        <v>51</v>
      </c>
      <c r="J426">
        <v>3</v>
      </c>
      <c r="K426" t="s">
        <v>19</v>
      </c>
      <c r="L426" t="s">
        <v>33</v>
      </c>
      <c r="M426">
        <f>orders[[#This Row],[Ship Date]]-orders[[#This Row],[Order Date]]</f>
        <v>3</v>
      </c>
      <c r="N426">
        <f>WEEKNUM(orders[[#This Row],[Order Date]])</f>
        <v>4</v>
      </c>
      <c r="O426" t="str">
        <f>_xlfn.IFS(orders[[#This Row],[Customer Gender]]="M","Male", orders[[#This Row],[Customer Gender]]="F","Female", orders[[#This Row],[Customer Gender]]="O","Other", TRUE,"Unknown")</f>
        <v>Female</v>
      </c>
    </row>
    <row r="427" spans="1:15">
      <c r="A427" t="s">
        <v>513</v>
      </c>
      <c r="B427" t="s">
        <v>44</v>
      </c>
      <c r="C427">
        <v>8</v>
      </c>
      <c r="D427">
        <v>25.6</v>
      </c>
      <c r="E427">
        <v>204.8</v>
      </c>
      <c r="F427" s="1">
        <v>45676</v>
      </c>
      <c r="G427" s="1">
        <v>45678</v>
      </c>
      <c r="H427" t="s">
        <v>27</v>
      </c>
      <c r="I427" t="s">
        <v>70</v>
      </c>
      <c r="J427">
        <v>4</v>
      </c>
      <c r="K427" t="s">
        <v>19</v>
      </c>
      <c r="L427" t="s">
        <v>33</v>
      </c>
      <c r="M427">
        <f>orders[[#This Row],[Ship Date]]-orders[[#This Row],[Order Date]]</f>
        <v>2</v>
      </c>
      <c r="N427">
        <f>WEEKNUM(orders[[#This Row],[Order Date]])</f>
        <v>4</v>
      </c>
      <c r="O427" t="str">
        <f>_xlfn.IFS(orders[[#This Row],[Customer Gender]]="M","Male", orders[[#This Row],[Customer Gender]]="F","Female", orders[[#This Row],[Customer Gender]]="O","Other", TRUE,"Unknown")</f>
        <v>Female</v>
      </c>
    </row>
    <row r="428" spans="1:15">
      <c r="A428" t="s">
        <v>514</v>
      </c>
      <c r="B428" t="s">
        <v>39</v>
      </c>
      <c r="C428">
        <v>16</v>
      </c>
      <c r="D428">
        <v>54.3</v>
      </c>
      <c r="E428">
        <v>868.8</v>
      </c>
      <c r="F428" s="1">
        <v>45676</v>
      </c>
      <c r="G428" s="1">
        <v>45679</v>
      </c>
      <c r="H428" t="s">
        <v>27</v>
      </c>
      <c r="I428" t="s">
        <v>70</v>
      </c>
      <c r="J428">
        <v>4</v>
      </c>
      <c r="K428" t="s">
        <v>19</v>
      </c>
      <c r="L428" t="s">
        <v>33</v>
      </c>
      <c r="M428">
        <f>orders[[#This Row],[Ship Date]]-orders[[#This Row],[Order Date]]</f>
        <v>3</v>
      </c>
      <c r="N428">
        <f>WEEKNUM(orders[[#This Row],[Order Date]])</f>
        <v>4</v>
      </c>
      <c r="O428" t="str">
        <f>_xlfn.IFS(orders[[#This Row],[Customer Gender]]="M","Male", orders[[#This Row],[Customer Gender]]="F","Female", orders[[#This Row],[Customer Gender]]="O","Other", TRUE,"Unknown")</f>
        <v>Female</v>
      </c>
    </row>
    <row r="429" spans="1:15">
      <c r="A429" t="s">
        <v>515</v>
      </c>
      <c r="B429" t="s">
        <v>146</v>
      </c>
      <c r="C429">
        <v>13</v>
      </c>
      <c r="D429">
        <v>51.3</v>
      </c>
      <c r="E429">
        <v>666.9</v>
      </c>
      <c r="F429" s="1">
        <v>45676</v>
      </c>
      <c r="G429" s="1">
        <v>45678</v>
      </c>
      <c r="H429" t="s">
        <v>23</v>
      </c>
      <c r="I429" t="s">
        <v>18</v>
      </c>
      <c r="J429">
        <v>5</v>
      </c>
      <c r="K429" t="s">
        <v>19</v>
      </c>
      <c r="L429" t="s">
        <v>33</v>
      </c>
      <c r="M429">
        <f>orders[[#This Row],[Ship Date]]-orders[[#This Row],[Order Date]]</f>
        <v>2</v>
      </c>
      <c r="N429">
        <f>WEEKNUM(orders[[#This Row],[Order Date]])</f>
        <v>4</v>
      </c>
      <c r="O429" t="str">
        <f>_xlfn.IFS(orders[[#This Row],[Customer Gender]]="M","Male", orders[[#This Row],[Customer Gender]]="F","Female", orders[[#This Row],[Customer Gender]]="O","Other", TRUE,"Unknown")</f>
        <v>Male</v>
      </c>
    </row>
    <row r="430" spans="1:15">
      <c r="A430" t="s">
        <v>516</v>
      </c>
      <c r="B430" t="s">
        <v>16</v>
      </c>
      <c r="C430">
        <v>8</v>
      </c>
      <c r="D430">
        <v>25.6</v>
      </c>
      <c r="E430">
        <v>204.8</v>
      </c>
      <c r="F430" s="1">
        <v>45676</v>
      </c>
      <c r="G430" s="1">
        <v>45677</v>
      </c>
      <c r="H430" t="s">
        <v>27</v>
      </c>
      <c r="I430" t="s">
        <v>35</v>
      </c>
      <c r="J430">
        <v>3</v>
      </c>
      <c r="K430" t="s">
        <v>19</v>
      </c>
      <c r="L430" t="s">
        <v>33</v>
      </c>
      <c r="M430">
        <f>orders[[#This Row],[Ship Date]]-orders[[#This Row],[Order Date]]</f>
        <v>1</v>
      </c>
      <c r="N430">
        <f>WEEKNUM(orders[[#This Row],[Order Date]])</f>
        <v>4</v>
      </c>
      <c r="O430" t="str">
        <f>_xlfn.IFS(orders[[#This Row],[Customer Gender]]="M","Male", orders[[#This Row],[Customer Gender]]="F","Female", orders[[#This Row],[Customer Gender]]="O","Other", TRUE,"Unknown")</f>
        <v>Female</v>
      </c>
    </row>
    <row r="431" spans="1:15">
      <c r="A431" t="s">
        <v>517</v>
      </c>
      <c r="B431" t="s">
        <v>16</v>
      </c>
      <c r="C431">
        <v>2</v>
      </c>
      <c r="D431">
        <v>15.6</v>
      </c>
      <c r="E431">
        <v>31.2</v>
      </c>
      <c r="F431" s="1">
        <v>45676</v>
      </c>
      <c r="G431" s="1">
        <v>45677</v>
      </c>
      <c r="H431" t="s">
        <v>27</v>
      </c>
      <c r="I431" t="s">
        <v>40</v>
      </c>
      <c r="J431">
        <v>5</v>
      </c>
      <c r="K431" t="s">
        <v>19</v>
      </c>
      <c r="L431" t="s">
        <v>33</v>
      </c>
      <c r="M431">
        <f>orders[[#This Row],[Ship Date]]-orders[[#This Row],[Order Date]]</f>
        <v>1</v>
      </c>
      <c r="N431">
        <f>WEEKNUM(orders[[#This Row],[Order Date]])</f>
        <v>4</v>
      </c>
      <c r="O431" t="str">
        <f>_xlfn.IFS(orders[[#This Row],[Customer Gender]]="M","Male", orders[[#This Row],[Customer Gender]]="F","Female", orders[[#This Row],[Customer Gender]]="O","Other", TRUE,"Unknown")</f>
        <v>Female</v>
      </c>
    </row>
    <row r="432" spans="1:15">
      <c r="A432" t="s">
        <v>518</v>
      </c>
      <c r="B432" t="s">
        <v>44</v>
      </c>
      <c r="C432">
        <v>3</v>
      </c>
      <c r="D432">
        <v>30.3</v>
      </c>
      <c r="E432">
        <v>90.9</v>
      </c>
      <c r="F432" s="1">
        <v>45676</v>
      </c>
      <c r="G432" s="1">
        <v>45680</v>
      </c>
      <c r="H432" t="s">
        <v>27</v>
      </c>
      <c r="I432" t="s">
        <v>18</v>
      </c>
      <c r="J432">
        <v>3</v>
      </c>
      <c r="K432" t="s">
        <v>19</v>
      </c>
      <c r="L432" t="s">
        <v>33</v>
      </c>
      <c r="M432">
        <f>orders[[#This Row],[Ship Date]]-orders[[#This Row],[Order Date]]</f>
        <v>4</v>
      </c>
      <c r="N432">
        <f>WEEKNUM(orders[[#This Row],[Order Date]])</f>
        <v>4</v>
      </c>
      <c r="O432" t="str">
        <f>_xlfn.IFS(orders[[#This Row],[Customer Gender]]="M","Male", orders[[#This Row],[Customer Gender]]="F","Female", orders[[#This Row],[Customer Gender]]="O","Other", TRUE,"Unknown")</f>
        <v>Female</v>
      </c>
    </row>
    <row r="433" spans="1:15">
      <c r="A433" t="s">
        <v>519</v>
      </c>
      <c r="B433" t="s">
        <v>69</v>
      </c>
      <c r="C433">
        <v>2</v>
      </c>
      <c r="D433">
        <v>30.3</v>
      </c>
      <c r="E433">
        <v>60.6</v>
      </c>
      <c r="F433" s="1">
        <v>45676</v>
      </c>
      <c r="G433" s="1">
        <v>45681</v>
      </c>
      <c r="H433" t="s">
        <v>27</v>
      </c>
      <c r="I433" t="s">
        <v>18</v>
      </c>
      <c r="J433">
        <v>5</v>
      </c>
      <c r="K433" t="s">
        <v>19</v>
      </c>
      <c r="L433" t="s">
        <v>364</v>
      </c>
      <c r="M433">
        <f>orders[[#This Row],[Ship Date]]-orders[[#This Row],[Order Date]]</f>
        <v>5</v>
      </c>
      <c r="N433">
        <f>WEEKNUM(orders[[#This Row],[Order Date]])</f>
        <v>4</v>
      </c>
      <c r="O433" t="str">
        <f>_xlfn.IFS(orders[[#This Row],[Customer Gender]]="M","Male", orders[[#This Row],[Customer Gender]]="F","Female", orders[[#This Row],[Customer Gender]]="O","Other", TRUE,"Unknown")</f>
        <v>Female</v>
      </c>
    </row>
    <row r="434" spans="1:15">
      <c r="A434" t="s">
        <v>520</v>
      </c>
      <c r="B434" t="s">
        <v>54</v>
      </c>
      <c r="C434">
        <v>3</v>
      </c>
      <c r="D434">
        <v>53</v>
      </c>
      <c r="E434">
        <v>159</v>
      </c>
      <c r="F434" s="1">
        <v>45676</v>
      </c>
      <c r="G434" s="1">
        <v>45683</v>
      </c>
      <c r="H434" t="s">
        <v>27</v>
      </c>
      <c r="I434" t="s">
        <v>40</v>
      </c>
      <c r="J434">
        <v>4</v>
      </c>
      <c r="K434" t="s">
        <v>19</v>
      </c>
      <c r="L434" t="s">
        <v>186</v>
      </c>
      <c r="M434">
        <f>orders[[#This Row],[Ship Date]]-orders[[#This Row],[Order Date]]</f>
        <v>7</v>
      </c>
      <c r="N434">
        <f>WEEKNUM(orders[[#This Row],[Order Date]])</f>
        <v>4</v>
      </c>
      <c r="O434" t="str">
        <f>_xlfn.IFS(orders[[#This Row],[Customer Gender]]="M","Male", orders[[#This Row],[Customer Gender]]="F","Female", orders[[#This Row],[Customer Gender]]="O","Other", TRUE,"Unknown")</f>
        <v>Female</v>
      </c>
    </row>
    <row r="435" spans="1:15">
      <c r="A435" t="s">
        <v>521</v>
      </c>
      <c r="B435" t="s">
        <v>37</v>
      </c>
      <c r="C435">
        <v>18</v>
      </c>
      <c r="D435">
        <v>59.9</v>
      </c>
      <c r="E435">
        <v>1078.2</v>
      </c>
      <c r="F435" s="1">
        <v>45676</v>
      </c>
      <c r="G435" s="1">
        <v>45679</v>
      </c>
      <c r="H435" t="s">
        <v>23</v>
      </c>
      <c r="I435" t="s">
        <v>40</v>
      </c>
      <c r="J435">
        <v>2</v>
      </c>
      <c r="K435" t="s">
        <v>19</v>
      </c>
      <c r="L435" t="s">
        <v>188</v>
      </c>
      <c r="M435">
        <f>orders[[#This Row],[Ship Date]]-orders[[#This Row],[Order Date]]</f>
        <v>3</v>
      </c>
      <c r="N435">
        <f>WEEKNUM(orders[[#This Row],[Order Date]])</f>
        <v>4</v>
      </c>
      <c r="O435" t="str">
        <f>_xlfn.IFS(orders[[#This Row],[Customer Gender]]="M","Male", orders[[#This Row],[Customer Gender]]="F","Female", orders[[#This Row],[Customer Gender]]="O","Other", TRUE,"Unknown")</f>
        <v>Male</v>
      </c>
    </row>
    <row r="436" spans="1:15">
      <c r="A436" t="s">
        <v>522</v>
      </c>
      <c r="B436" t="s">
        <v>46</v>
      </c>
      <c r="C436">
        <v>2</v>
      </c>
      <c r="D436">
        <v>45.7</v>
      </c>
      <c r="E436">
        <v>91.4</v>
      </c>
      <c r="F436" s="1">
        <v>45676</v>
      </c>
      <c r="G436" s="1">
        <v>45677</v>
      </c>
      <c r="H436" t="s">
        <v>27</v>
      </c>
      <c r="I436" t="s">
        <v>35</v>
      </c>
      <c r="J436">
        <v>5</v>
      </c>
      <c r="K436" t="s">
        <v>19</v>
      </c>
      <c r="L436" t="s">
        <v>55</v>
      </c>
      <c r="M436">
        <f>orders[[#This Row],[Ship Date]]-orders[[#This Row],[Order Date]]</f>
        <v>1</v>
      </c>
      <c r="N436">
        <f>WEEKNUM(orders[[#This Row],[Order Date]])</f>
        <v>4</v>
      </c>
      <c r="O436" t="str">
        <f>_xlfn.IFS(orders[[#This Row],[Customer Gender]]="M","Male", orders[[#This Row],[Customer Gender]]="F","Female", orders[[#This Row],[Customer Gender]]="O","Other", TRUE,"Unknown")</f>
        <v>Female</v>
      </c>
    </row>
    <row r="437" spans="1:15">
      <c r="A437" t="s">
        <v>523</v>
      </c>
      <c r="B437" t="s">
        <v>44</v>
      </c>
      <c r="C437">
        <v>4</v>
      </c>
      <c r="D437">
        <v>46.1</v>
      </c>
      <c r="E437">
        <v>184.4</v>
      </c>
      <c r="F437" s="1">
        <v>45676</v>
      </c>
      <c r="G437" s="1">
        <v>45677</v>
      </c>
      <c r="H437" t="s">
        <v>23</v>
      </c>
      <c r="I437" t="s">
        <v>18</v>
      </c>
      <c r="J437">
        <v>4</v>
      </c>
      <c r="K437" t="s">
        <v>19</v>
      </c>
      <c r="L437" t="s">
        <v>55</v>
      </c>
      <c r="M437">
        <f>orders[[#This Row],[Ship Date]]-orders[[#This Row],[Order Date]]</f>
        <v>1</v>
      </c>
      <c r="N437">
        <f>WEEKNUM(orders[[#This Row],[Order Date]])</f>
        <v>4</v>
      </c>
      <c r="O437" t="str">
        <f>_xlfn.IFS(orders[[#This Row],[Customer Gender]]="M","Male", orders[[#This Row],[Customer Gender]]="F","Female", orders[[#This Row],[Customer Gender]]="O","Other", TRUE,"Unknown")</f>
        <v>Male</v>
      </c>
    </row>
    <row r="438" spans="1:15">
      <c r="A438" t="s">
        <v>524</v>
      </c>
      <c r="B438" t="s">
        <v>44</v>
      </c>
      <c r="C438">
        <v>3</v>
      </c>
      <c r="D438">
        <v>17.5</v>
      </c>
      <c r="E438">
        <v>52.5</v>
      </c>
      <c r="F438" s="1">
        <v>45676</v>
      </c>
      <c r="G438" s="1">
        <v>45677</v>
      </c>
      <c r="H438" t="s">
        <v>27</v>
      </c>
      <c r="I438" t="s">
        <v>18</v>
      </c>
      <c r="J438">
        <v>5</v>
      </c>
      <c r="K438" t="s">
        <v>19</v>
      </c>
      <c r="L438" t="s">
        <v>62</v>
      </c>
      <c r="M438">
        <f>orders[[#This Row],[Ship Date]]-orders[[#This Row],[Order Date]]</f>
        <v>1</v>
      </c>
      <c r="N438">
        <f>WEEKNUM(orders[[#This Row],[Order Date]])</f>
        <v>4</v>
      </c>
      <c r="O438" t="str">
        <f>_xlfn.IFS(orders[[#This Row],[Customer Gender]]="M","Male", orders[[#This Row],[Customer Gender]]="F","Female", orders[[#This Row],[Customer Gender]]="O","Other", TRUE,"Unknown")</f>
        <v>Female</v>
      </c>
    </row>
    <row r="439" spans="1:15">
      <c r="A439" t="s">
        <v>525</v>
      </c>
      <c r="B439" t="s">
        <v>54</v>
      </c>
      <c r="C439">
        <v>3</v>
      </c>
      <c r="D439">
        <v>36.5</v>
      </c>
      <c r="E439">
        <v>109.5</v>
      </c>
      <c r="F439" s="1">
        <v>45676</v>
      </c>
      <c r="G439" s="1">
        <v>45687</v>
      </c>
      <c r="H439" t="s">
        <v>23</v>
      </c>
      <c r="I439" t="s">
        <v>40</v>
      </c>
      <c r="J439">
        <v>4</v>
      </c>
      <c r="K439" t="s">
        <v>19</v>
      </c>
      <c r="L439" t="s">
        <v>62</v>
      </c>
      <c r="M439">
        <f>orders[[#This Row],[Ship Date]]-orders[[#This Row],[Order Date]]</f>
        <v>11</v>
      </c>
      <c r="N439">
        <f>WEEKNUM(orders[[#This Row],[Order Date]])</f>
        <v>4</v>
      </c>
      <c r="O439" t="str">
        <f>_xlfn.IFS(orders[[#This Row],[Customer Gender]]="M","Male", orders[[#This Row],[Customer Gender]]="F","Female", orders[[#This Row],[Customer Gender]]="O","Other", TRUE,"Unknown")</f>
        <v>Male</v>
      </c>
    </row>
    <row r="440" spans="1:15">
      <c r="A440" t="s">
        <v>526</v>
      </c>
      <c r="B440" t="s">
        <v>44</v>
      </c>
      <c r="C440">
        <v>2</v>
      </c>
      <c r="D440">
        <v>47.5</v>
      </c>
      <c r="E440">
        <v>95</v>
      </c>
      <c r="F440" s="1">
        <v>45677</v>
      </c>
      <c r="G440" s="1">
        <v>45679</v>
      </c>
      <c r="H440" t="s">
        <v>27</v>
      </c>
      <c r="I440" t="s">
        <v>35</v>
      </c>
      <c r="J440">
        <v>4</v>
      </c>
      <c r="K440" t="s">
        <v>19</v>
      </c>
      <c r="L440" t="s">
        <v>62</v>
      </c>
      <c r="M440">
        <f>orders[[#This Row],[Ship Date]]-orders[[#This Row],[Order Date]]</f>
        <v>2</v>
      </c>
      <c r="N440">
        <f>WEEKNUM(orders[[#This Row],[Order Date]])</f>
        <v>4</v>
      </c>
      <c r="O440" t="str">
        <f>_xlfn.IFS(orders[[#This Row],[Customer Gender]]="M","Male", orders[[#This Row],[Customer Gender]]="F","Female", orders[[#This Row],[Customer Gender]]="O","Other", TRUE,"Unknown")</f>
        <v>Female</v>
      </c>
    </row>
    <row r="441" spans="1:15">
      <c r="A441" t="s">
        <v>527</v>
      </c>
      <c r="B441" t="s">
        <v>39</v>
      </c>
      <c r="C441">
        <v>5</v>
      </c>
      <c r="D441">
        <v>45.6</v>
      </c>
      <c r="E441">
        <v>228</v>
      </c>
      <c r="F441" s="1">
        <v>45677</v>
      </c>
      <c r="G441" s="1">
        <v>45679</v>
      </c>
      <c r="H441" t="s">
        <v>27</v>
      </c>
      <c r="I441" t="s">
        <v>18</v>
      </c>
      <c r="J441">
        <v>5</v>
      </c>
      <c r="K441" t="s">
        <v>19</v>
      </c>
      <c r="L441" t="s">
        <v>62</v>
      </c>
      <c r="M441">
        <f>orders[[#This Row],[Ship Date]]-orders[[#This Row],[Order Date]]</f>
        <v>2</v>
      </c>
      <c r="N441">
        <f>WEEKNUM(orders[[#This Row],[Order Date]])</f>
        <v>4</v>
      </c>
      <c r="O441" t="str">
        <f>_xlfn.IFS(orders[[#This Row],[Customer Gender]]="M","Male", orders[[#This Row],[Customer Gender]]="F","Female", orders[[#This Row],[Customer Gender]]="O","Other", TRUE,"Unknown")</f>
        <v>Female</v>
      </c>
    </row>
    <row r="442" spans="1:15">
      <c r="A442" t="s">
        <v>528</v>
      </c>
      <c r="B442" t="s">
        <v>46</v>
      </c>
      <c r="C442">
        <v>2</v>
      </c>
      <c r="D442">
        <v>50.5</v>
      </c>
      <c r="E442">
        <v>101</v>
      </c>
      <c r="F442" s="1">
        <v>45677</v>
      </c>
      <c r="G442" s="1">
        <v>45679</v>
      </c>
      <c r="H442" t="s">
        <v>23</v>
      </c>
      <c r="I442" t="s">
        <v>18</v>
      </c>
      <c r="J442">
        <v>3</v>
      </c>
      <c r="K442" t="s">
        <v>19</v>
      </c>
      <c r="L442" t="s">
        <v>103</v>
      </c>
      <c r="M442">
        <f>orders[[#This Row],[Ship Date]]-orders[[#This Row],[Order Date]]</f>
        <v>2</v>
      </c>
      <c r="N442">
        <f>WEEKNUM(orders[[#This Row],[Order Date]])</f>
        <v>4</v>
      </c>
      <c r="O442" t="str">
        <f>_xlfn.IFS(orders[[#This Row],[Customer Gender]]="M","Male", orders[[#This Row],[Customer Gender]]="F","Female", orders[[#This Row],[Customer Gender]]="O","Other", TRUE,"Unknown")</f>
        <v>Male</v>
      </c>
    </row>
    <row r="443" spans="1:15">
      <c r="A443" t="s">
        <v>529</v>
      </c>
      <c r="B443" t="s">
        <v>26</v>
      </c>
      <c r="C443">
        <v>10</v>
      </c>
      <c r="D443">
        <v>99.8</v>
      </c>
      <c r="E443">
        <v>998</v>
      </c>
      <c r="F443" s="1">
        <v>45677</v>
      </c>
      <c r="G443" s="1">
        <v>45680</v>
      </c>
      <c r="H443" t="s">
        <v>27</v>
      </c>
      <c r="I443" t="s">
        <v>40</v>
      </c>
      <c r="J443">
        <v>3</v>
      </c>
      <c r="K443" t="s">
        <v>19</v>
      </c>
      <c r="L443" t="s">
        <v>103</v>
      </c>
      <c r="M443">
        <f>orders[[#This Row],[Ship Date]]-orders[[#This Row],[Order Date]]</f>
        <v>3</v>
      </c>
      <c r="N443">
        <f>WEEKNUM(orders[[#This Row],[Order Date]])</f>
        <v>4</v>
      </c>
      <c r="O443" t="str">
        <f>_xlfn.IFS(orders[[#This Row],[Customer Gender]]="M","Male", orders[[#This Row],[Customer Gender]]="F","Female", orders[[#This Row],[Customer Gender]]="O","Other", TRUE,"Unknown")</f>
        <v>Female</v>
      </c>
    </row>
    <row r="444" spans="1:15">
      <c r="A444" t="s">
        <v>530</v>
      </c>
      <c r="B444" t="s">
        <v>44</v>
      </c>
      <c r="C444">
        <v>15</v>
      </c>
      <c r="D444">
        <v>19.2</v>
      </c>
      <c r="E444">
        <v>288</v>
      </c>
      <c r="F444" s="1">
        <v>45677</v>
      </c>
      <c r="G444" s="1">
        <v>45679</v>
      </c>
      <c r="H444" t="s">
        <v>89</v>
      </c>
      <c r="I444" t="s">
        <v>70</v>
      </c>
      <c r="J444">
        <v>3</v>
      </c>
      <c r="K444" t="s">
        <v>19</v>
      </c>
      <c r="L444" t="s">
        <v>201</v>
      </c>
      <c r="M444">
        <f>orders[[#This Row],[Ship Date]]-orders[[#This Row],[Order Date]]</f>
        <v>2</v>
      </c>
      <c r="N444">
        <f>WEEKNUM(orders[[#This Row],[Order Date]])</f>
        <v>4</v>
      </c>
      <c r="O444" t="str">
        <f>_xlfn.IFS(orders[[#This Row],[Customer Gender]]="M","Male", orders[[#This Row],[Customer Gender]]="F","Female", orders[[#This Row],[Customer Gender]]="O","Other", TRUE,"Unknown")</f>
        <v>Other</v>
      </c>
    </row>
    <row r="445" spans="1:15">
      <c r="A445" t="s">
        <v>531</v>
      </c>
      <c r="B445" t="s">
        <v>135</v>
      </c>
      <c r="C445">
        <v>3</v>
      </c>
      <c r="D445">
        <v>22.6</v>
      </c>
      <c r="E445">
        <v>67.800000000000011</v>
      </c>
      <c r="F445" s="1">
        <v>45677</v>
      </c>
      <c r="G445" s="1">
        <v>45678</v>
      </c>
      <c r="H445" t="s">
        <v>23</v>
      </c>
      <c r="I445" t="s">
        <v>35</v>
      </c>
      <c r="J445">
        <v>4</v>
      </c>
      <c r="K445" t="s">
        <v>19</v>
      </c>
      <c r="L445" t="s">
        <v>77</v>
      </c>
      <c r="M445">
        <f>orders[[#This Row],[Ship Date]]-orders[[#This Row],[Order Date]]</f>
        <v>1</v>
      </c>
      <c r="N445">
        <f>WEEKNUM(orders[[#This Row],[Order Date]])</f>
        <v>4</v>
      </c>
      <c r="O445" t="str">
        <f>_xlfn.IFS(orders[[#This Row],[Customer Gender]]="M","Male", orders[[#This Row],[Customer Gender]]="F","Female", orders[[#This Row],[Customer Gender]]="O","Other", TRUE,"Unknown")</f>
        <v>Male</v>
      </c>
    </row>
    <row r="446" spans="1:15">
      <c r="A446" t="s">
        <v>532</v>
      </c>
      <c r="B446" t="s">
        <v>22</v>
      </c>
      <c r="C446">
        <v>15</v>
      </c>
      <c r="D446">
        <v>126.9</v>
      </c>
      <c r="E446">
        <v>1903.5</v>
      </c>
      <c r="F446" s="1">
        <v>45677</v>
      </c>
      <c r="G446" s="1">
        <v>45679</v>
      </c>
      <c r="H446" t="s">
        <v>27</v>
      </c>
      <c r="I446" t="s">
        <v>18</v>
      </c>
      <c r="J446">
        <v>5</v>
      </c>
      <c r="K446" t="s">
        <v>19</v>
      </c>
      <c r="L446" t="s">
        <v>77</v>
      </c>
      <c r="M446">
        <f>orders[[#This Row],[Ship Date]]-orders[[#This Row],[Order Date]]</f>
        <v>2</v>
      </c>
      <c r="N446">
        <f>WEEKNUM(orders[[#This Row],[Order Date]])</f>
        <v>4</v>
      </c>
      <c r="O446" t="str">
        <f>_xlfn.IFS(orders[[#This Row],[Customer Gender]]="M","Male", orders[[#This Row],[Customer Gender]]="F","Female", orders[[#This Row],[Customer Gender]]="O","Other", TRUE,"Unknown")</f>
        <v>Female</v>
      </c>
    </row>
    <row r="447" spans="1:15">
      <c r="A447" t="s">
        <v>533</v>
      </c>
      <c r="B447" t="s">
        <v>26</v>
      </c>
      <c r="C447">
        <v>2</v>
      </c>
      <c r="D447">
        <v>100.3</v>
      </c>
      <c r="E447">
        <v>200.6</v>
      </c>
      <c r="F447" s="1">
        <v>45677</v>
      </c>
      <c r="G447" s="1">
        <v>45678</v>
      </c>
      <c r="H447" t="s">
        <v>27</v>
      </c>
      <c r="I447" t="s">
        <v>18</v>
      </c>
      <c r="J447">
        <v>3</v>
      </c>
      <c r="K447" t="s">
        <v>19</v>
      </c>
      <c r="L447" t="s">
        <v>77</v>
      </c>
      <c r="M447">
        <f>orders[[#This Row],[Ship Date]]-orders[[#This Row],[Order Date]]</f>
        <v>1</v>
      </c>
      <c r="N447">
        <f>WEEKNUM(orders[[#This Row],[Order Date]])</f>
        <v>4</v>
      </c>
      <c r="O447" t="str">
        <f>_xlfn.IFS(orders[[#This Row],[Customer Gender]]="M","Male", orders[[#This Row],[Customer Gender]]="F","Female", orders[[#This Row],[Customer Gender]]="O","Other", TRUE,"Unknown")</f>
        <v>Female</v>
      </c>
    </row>
    <row r="448" spans="1:15">
      <c r="A448" t="s">
        <v>534</v>
      </c>
      <c r="B448" t="s">
        <v>32</v>
      </c>
      <c r="C448">
        <v>18</v>
      </c>
      <c r="D448">
        <v>24.6</v>
      </c>
      <c r="E448">
        <v>442.8</v>
      </c>
      <c r="F448" s="1">
        <v>45677</v>
      </c>
      <c r="G448" s="1">
        <v>45678</v>
      </c>
      <c r="H448" t="s">
        <v>27</v>
      </c>
      <c r="I448" t="s">
        <v>70</v>
      </c>
      <c r="J448">
        <v>4</v>
      </c>
      <c r="K448" t="s">
        <v>19</v>
      </c>
      <c r="L448" t="s">
        <v>82</v>
      </c>
      <c r="M448">
        <f>orders[[#This Row],[Ship Date]]-orders[[#This Row],[Order Date]]</f>
        <v>1</v>
      </c>
      <c r="N448">
        <f>WEEKNUM(orders[[#This Row],[Order Date]])</f>
        <v>4</v>
      </c>
      <c r="O448" t="str">
        <f>_xlfn.IFS(orders[[#This Row],[Customer Gender]]="M","Male", orders[[#This Row],[Customer Gender]]="F","Female", orders[[#This Row],[Customer Gender]]="O","Other", TRUE,"Unknown")</f>
        <v>Female</v>
      </c>
    </row>
    <row r="449" spans="1:15">
      <c r="A449" t="s">
        <v>535</v>
      </c>
      <c r="B449" t="s">
        <v>39</v>
      </c>
      <c r="C449">
        <v>2</v>
      </c>
      <c r="D449">
        <v>47.3</v>
      </c>
      <c r="E449">
        <v>94.6</v>
      </c>
      <c r="F449" s="1">
        <v>45677</v>
      </c>
      <c r="G449" s="1">
        <v>45678</v>
      </c>
      <c r="H449" t="s">
        <v>23</v>
      </c>
      <c r="I449" t="s">
        <v>35</v>
      </c>
      <c r="J449">
        <v>5</v>
      </c>
      <c r="K449" t="s">
        <v>19</v>
      </c>
      <c r="L449" t="s">
        <v>82</v>
      </c>
      <c r="M449">
        <f>orders[[#This Row],[Ship Date]]-orders[[#This Row],[Order Date]]</f>
        <v>1</v>
      </c>
      <c r="N449">
        <f>WEEKNUM(orders[[#This Row],[Order Date]])</f>
        <v>4</v>
      </c>
      <c r="O449" t="str">
        <f>_xlfn.IFS(orders[[#This Row],[Customer Gender]]="M","Male", orders[[#This Row],[Customer Gender]]="F","Female", orders[[#This Row],[Customer Gender]]="O","Other", TRUE,"Unknown")</f>
        <v>Male</v>
      </c>
    </row>
    <row r="450" spans="1:15">
      <c r="A450" t="s">
        <v>536</v>
      </c>
      <c r="B450" t="s">
        <v>39</v>
      </c>
      <c r="C450">
        <v>7</v>
      </c>
      <c r="D450">
        <v>40.799999999999997</v>
      </c>
      <c r="E450">
        <v>285.59999999999997</v>
      </c>
      <c r="F450" s="1">
        <v>45677</v>
      </c>
      <c r="G450" s="1">
        <v>45680</v>
      </c>
      <c r="H450" t="s">
        <v>27</v>
      </c>
      <c r="I450" t="s">
        <v>40</v>
      </c>
      <c r="J450">
        <v>5</v>
      </c>
      <c r="K450" t="s">
        <v>19</v>
      </c>
      <c r="L450" t="s">
        <v>115</v>
      </c>
      <c r="M450">
        <f>orders[[#This Row],[Ship Date]]-orders[[#This Row],[Order Date]]</f>
        <v>3</v>
      </c>
      <c r="N450">
        <f>WEEKNUM(orders[[#This Row],[Order Date]])</f>
        <v>4</v>
      </c>
      <c r="O450" t="str">
        <f>_xlfn.IFS(orders[[#This Row],[Customer Gender]]="M","Male", orders[[#This Row],[Customer Gender]]="F","Female", orders[[#This Row],[Customer Gender]]="O","Other", TRUE,"Unknown")</f>
        <v>Female</v>
      </c>
    </row>
    <row r="451" spans="1:15">
      <c r="A451" t="s">
        <v>537</v>
      </c>
      <c r="B451" t="s">
        <v>44</v>
      </c>
      <c r="C451">
        <v>8</v>
      </c>
      <c r="D451">
        <v>49.2</v>
      </c>
      <c r="E451">
        <v>393.6</v>
      </c>
      <c r="F451" s="1">
        <v>45677</v>
      </c>
      <c r="G451" s="1">
        <v>45679</v>
      </c>
      <c r="H451" t="s">
        <v>27</v>
      </c>
      <c r="I451" t="s">
        <v>18</v>
      </c>
      <c r="J451">
        <v>4</v>
      </c>
      <c r="K451" t="s">
        <v>19</v>
      </c>
      <c r="L451" t="s">
        <v>24</v>
      </c>
      <c r="M451">
        <f>orders[[#This Row],[Ship Date]]-orders[[#This Row],[Order Date]]</f>
        <v>2</v>
      </c>
      <c r="N451">
        <f>WEEKNUM(orders[[#This Row],[Order Date]])</f>
        <v>4</v>
      </c>
      <c r="O451" t="str">
        <f>_xlfn.IFS(orders[[#This Row],[Customer Gender]]="M","Male", orders[[#This Row],[Customer Gender]]="F","Female", orders[[#This Row],[Customer Gender]]="O","Other", TRUE,"Unknown")</f>
        <v>Female</v>
      </c>
    </row>
    <row r="452" spans="1:15">
      <c r="A452" t="s">
        <v>538</v>
      </c>
      <c r="B452" t="s">
        <v>44</v>
      </c>
      <c r="C452">
        <v>1</v>
      </c>
      <c r="D452">
        <v>28.5</v>
      </c>
      <c r="E452">
        <v>28.5</v>
      </c>
      <c r="F452" s="1">
        <v>45677</v>
      </c>
      <c r="G452" s="1">
        <v>45679</v>
      </c>
      <c r="H452" t="s">
        <v>17</v>
      </c>
      <c r="I452" t="s">
        <v>40</v>
      </c>
      <c r="J452">
        <v>3</v>
      </c>
      <c r="K452" t="s">
        <v>19</v>
      </c>
      <c r="L452" t="s">
        <v>33</v>
      </c>
      <c r="M452">
        <f>orders[[#This Row],[Ship Date]]-orders[[#This Row],[Order Date]]</f>
        <v>2</v>
      </c>
      <c r="N452">
        <f>WEEKNUM(orders[[#This Row],[Order Date]])</f>
        <v>4</v>
      </c>
      <c r="O452" t="str">
        <f>_xlfn.IFS(orders[[#This Row],[Customer Gender]]="M","Male", orders[[#This Row],[Customer Gender]]="F","Female", orders[[#This Row],[Customer Gender]]="O","Other", TRUE,"Unknown")</f>
        <v>Unknown</v>
      </c>
    </row>
    <row r="453" spans="1:15">
      <c r="A453" t="s">
        <v>539</v>
      </c>
      <c r="B453" t="s">
        <v>146</v>
      </c>
      <c r="C453">
        <v>2</v>
      </c>
      <c r="D453">
        <v>36.799999999999997</v>
      </c>
      <c r="E453">
        <v>73.599999999999994</v>
      </c>
      <c r="F453" s="1">
        <v>45677</v>
      </c>
      <c r="G453" s="1">
        <v>45683</v>
      </c>
      <c r="H453" t="s">
        <v>27</v>
      </c>
      <c r="I453" t="s">
        <v>18</v>
      </c>
      <c r="J453">
        <v>5</v>
      </c>
      <c r="K453" t="s">
        <v>19</v>
      </c>
      <c r="L453" t="s">
        <v>33</v>
      </c>
      <c r="M453">
        <f>orders[[#This Row],[Ship Date]]-orders[[#This Row],[Order Date]]</f>
        <v>6</v>
      </c>
      <c r="N453">
        <f>WEEKNUM(orders[[#This Row],[Order Date]])</f>
        <v>4</v>
      </c>
      <c r="O453" t="str">
        <f>_xlfn.IFS(orders[[#This Row],[Customer Gender]]="M","Male", orders[[#This Row],[Customer Gender]]="F","Female", orders[[#This Row],[Customer Gender]]="O","Other", TRUE,"Unknown")</f>
        <v>Female</v>
      </c>
    </row>
    <row r="454" spans="1:15">
      <c r="A454" t="s">
        <v>540</v>
      </c>
      <c r="B454" t="s">
        <v>42</v>
      </c>
      <c r="C454">
        <v>3</v>
      </c>
      <c r="D454">
        <v>33.5</v>
      </c>
      <c r="E454">
        <v>100.5</v>
      </c>
      <c r="F454" s="1">
        <v>45677</v>
      </c>
      <c r="G454" s="1">
        <v>45678</v>
      </c>
      <c r="H454" t="s">
        <v>27</v>
      </c>
      <c r="I454" t="s">
        <v>18</v>
      </c>
      <c r="J454">
        <v>3</v>
      </c>
      <c r="K454" t="s">
        <v>19</v>
      </c>
      <c r="L454" t="s">
        <v>33</v>
      </c>
      <c r="M454">
        <f>orders[[#This Row],[Ship Date]]-orders[[#This Row],[Order Date]]</f>
        <v>1</v>
      </c>
      <c r="N454">
        <f>WEEKNUM(orders[[#This Row],[Order Date]])</f>
        <v>4</v>
      </c>
      <c r="O454" t="str">
        <f>_xlfn.IFS(orders[[#This Row],[Customer Gender]]="M","Male", orders[[#This Row],[Customer Gender]]="F","Female", orders[[#This Row],[Customer Gender]]="O","Other", TRUE,"Unknown")</f>
        <v>Female</v>
      </c>
    </row>
    <row r="455" spans="1:15">
      <c r="A455" t="s">
        <v>541</v>
      </c>
      <c r="B455" t="s">
        <v>39</v>
      </c>
      <c r="C455">
        <v>6</v>
      </c>
      <c r="D455">
        <v>62.5</v>
      </c>
      <c r="E455">
        <v>375</v>
      </c>
      <c r="F455" s="1">
        <v>45677</v>
      </c>
      <c r="G455" s="1">
        <v>45679</v>
      </c>
      <c r="H455" t="s">
        <v>27</v>
      </c>
      <c r="I455" t="s">
        <v>18</v>
      </c>
      <c r="J455">
        <v>4</v>
      </c>
      <c r="K455" t="s">
        <v>19</v>
      </c>
      <c r="L455" t="s">
        <v>33</v>
      </c>
      <c r="M455">
        <f>orders[[#This Row],[Ship Date]]-orders[[#This Row],[Order Date]]</f>
        <v>2</v>
      </c>
      <c r="N455">
        <f>WEEKNUM(orders[[#This Row],[Order Date]])</f>
        <v>4</v>
      </c>
      <c r="O455" t="str">
        <f>_xlfn.IFS(orders[[#This Row],[Customer Gender]]="M","Male", orders[[#This Row],[Customer Gender]]="F","Female", orders[[#This Row],[Customer Gender]]="O","Other", TRUE,"Unknown")</f>
        <v>Female</v>
      </c>
    </row>
    <row r="456" spans="1:15">
      <c r="A456" t="s">
        <v>542</v>
      </c>
      <c r="B456" t="s">
        <v>44</v>
      </c>
      <c r="C456">
        <v>40</v>
      </c>
      <c r="D456">
        <v>47.9</v>
      </c>
      <c r="E456">
        <v>1916</v>
      </c>
      <c r="F456" s="1">
        <v>45677</v>
      </c>
      <c r="G456" s="1">
        <v>45678</v>
      </c>
      <c r="H456" t="s">
        <v>27</v>
      </c>
      <c r="I456" t="s">
        <v>51</v>
      </c>
      <c r="J456">
        <v>4</v>
      </c>
      <c r="K456" t="s">
        <v>19</v>
      </c>
      <c r="L456" t="s">
        <v>33</v>
      </c>
      <c r="M456">
        <f>orders[[#This Row],[Ship Date]]-orders[[#This Row],[Order Date]]</f>
        <v>1</v>
      </c>
      <c r="N456">
        <f>WEEKNUM(orders[[#This Row],[Order Date]])</f>
        <v>4</v>
      </c>
      <c r="O456" t="str">
        <f>_xlfn.IFS(orders[[#This Row],[Customer Gender]]="M","Male", orders[[#This Row],[Customer Gender]]="F","Female", orders[[#This Row],[Customer Gender]]="O","Other", TRUE,"Unknown")</f>
        <v>Female</v>
      </c>
    </row>
    <row r="457" spans="1:15">
      <c r="A457" t="s">
        <v>543</v>
      </c>
      <c r="B457" t="s">
        <v>39</v>
      </c>
      <c r="C457">
        <v>6</v>
      </c>
      <c r="D457">
        <v>92.9</v>
      </c>
      <c r="E457">
        <v>557.40000000000009</v>
      </c>
      <c r="F457" s="1">
        <v>45677</v>
      </c>
      <c r="G457" s="1">
        <v>45688</v>
      </c>
      <c r="H457" t="s">
        <v>27</v>
      </c>
      <c r="I457" t="s">
        <v>18</v>
      </c>
      <c r="J457">
        <v>2</v>
      </c>
      <c r="K457" t="s">
        <v>19</v>
      </c>
      <c r="L457" t="s">
        <v>33</v>
      </c>
      <c r="M457">
        <f>orders[[#This Row],[Ship Date]]-orders[[#This Row],[Order Date]]</f>
        <v>11</v>
      </c>
      <c r="N457">
        <f>WEEKNUM(orders[[#This Row],[Order Date]])</f>
        <v>4</v>
      </c>
      <c r="O457" t="str">
        <f>_xlfn.IFS(orders[[#This Row],[Customer Gender]]="M","Male", orders[[#This Row],[Customer Gender]]="F","Female", orders[[#This Row],[Customer Gender]]="O","Other", TRUE,"Unknown")</f>
        <v>Female</v>
      </c>
    </row>
    <row r="458" spans="1:15">
      <c r="A458" t="s">
        <v>544</v>
      </c>
      <c r="B458" t="s">
        <v>69</v>
      </c>
      <c r="C458">
        <v>3</v>
      </c>
      <c r="D458">
        <v>44.1</v>
      </c>
      <c r="E458">
        <v>132.30000000000001</v>
      </c>
      <c r="F458" s="1">
        <v>45677</v>
      </c>
      <c r="G458" s="1">
        <v>45677</v>
      </c>
      <c r="H458" t="s">
        <v>27</v>
      </c>
      <c r="I458" t="s">
        <v>35</v>
      </c>
      <c r="J458">
        <v>3</v>
      </c>
      <c r="K458" t="s">
        <v>19</v>
      </c>
      <c r="L458" t="s">
        <v>545</v>
      </c>
      <c r="M458">
        <f>orders[[#This Row],[Ship Date]]-orders[[#This Row],[Order Date]]</f>
        <v>0</v>
      </c>
      <c r="N458">
        <f>WEEKNUM(orders[[#This Row],[Order Date]])</f>
        <v>4</v>
      </c>
      <c r="O458" t="str">
        <f>_xlfn.IFS(orders[[#This Row],[Customer Gender]]="M","Male", orders[[#This Row],[Customer Gender]]="F","Female", orders[[#This Row],[Customer Gender]]="O","Other", TRUE,"Unknown")</f>
        <v>Female</v>
      </c>
    </row>
    <row r="459" spans="1:15">
      <c r="A459" t="s">
        <v>546</v>
      </c>
      <c r="B459" t="s">
        <v>16</v>
      </c>
      <c r="C459">
        <v>1</v>
      </c>
      <c r="D459">
        <v>11.4</v>
      </c>
      <c r="E459">
        <v>11.4</v>
      </c>
      <c r="F459" s="1">
        <v>45678</v>
      </c>
      <c r="G459" s="1">
        <v>45680</v>
      </c>
      <c r="H459" t="s">
        <v>27</v>
      </c>
      <c r="I459" t="s">
        <v>40</v>
      </c>
      <c r="J459">
        <v>4</v>
      </c>
      <c r="K459" t="s">
        <v>19</v>
      </c>
      <c r="L459" t="s">
        <v>52</v>
      </c>
      <c r="M459">
        <f>orders[[#This Row],[Ship Date]]-orders[[#This Row],[Order Date]]</f>
        <v>2</v>
      </c>
      <c r="N459">
        <f>WEEKNUM(orders[[#This Row],[Order Date]])</f>
        <v>4</v>
      </c>
      <c r="O459" t="str">
        <f>_xlfn.IFS(orders[[#This Row],[Customer Gender]]="M","Male", orders[[#This Row],[Customer Gender]]="F","Female", orders[[#This Row],[Customer Gender]]="O","Other", TRUE,"Unknown")</f>
        <v>Female</v>
      </c>
    </row>
    <row r="460" spans="1:15">
      <c r="A460" t="s">
        <v>547</v>
      </c>
      <c r="B460" t="s">
        <v>39</v>
      </c>
      <c r="C460">
        <v>1</v>
      </c>
      <c r="D460">
        <v>83.7</v>
      </c>
      <c r="E460">
        <v>83.7</v>
      </c>
      <c r="F460" s="1">
        <v>45678</v>
      </c>
      <c r="G460" s="1">
        <v>45680</v>
      </c>
      <c r="H460" t="s">
        <v>27</v>
      </c>
      <c r="I460" t="s">
        <v>18</v>
      </c>
      <c r="J460">
        <v>5</v>
      </c>
      <c r="K460" t="s">
        <v>19</v>
      </c>
      <c r="L460" t="s">
        <v>55</v>
      </c>
      <c r="M460">
        <f>orders[[#This Row],[Ship Date]]-orders[[#This Row],[Order Date]]</f>
        <v>2</v>
      </c>
      <c r="N460">
        <f>WEEKNUM(orders[[#This Row],[Order Date]])</f>
        <v>4</v>
      </c>
      <c r="O460" t="str">
        <f>_xlfn.IFS(orders[[#This Row],[Customer Gender]]="M","Male", orders[[#This Row],[Customer Gender]]="F","Female", orders[[#This Row],[Customer Gender]]="O","Other", TRUE,"Unknown")</f>
        <v>Female</v>
      </c>
    </row>
    <row r="461" spans="1:15">
      <c r="A461" t="s">
        <v>548</v>
      </c>
      <c r="B461" t="s">
        <v>54</v>
      </c>
      <c r="C461">
        <v>2</v>
      </c>
      <c r="D461">
        <v>23.2</v>
      </c>
      <c r="E461">
        <v>46.4</v>
      </c>
      <c r="F461" s="1">
        <v>45678</v>
      </c>
      <c r="G461" s="1">
        <v>45679</v>
      </c>
      <c r="H461" t="s">
        <v>23</v>
      </c>
      <c r="I461" t="s">
        <v>40</v>
      </c>
      <c r="J461">
        <v>4</v>
      </c>
      <c r="K461" t="s">
        <v>19</v>
      </c>
      <c r="L461" t="s">
        <v>62</v>
      </c>
      <c r="M461">
        <f>orders[[#This Row],[Ship Date]]-orders[[#This Row],[Order Date]]</f>
        <v>1</v>
      </c>
      <c r="N461">
        <f>WEEKNUM(orders[[#This Row],[Order Date]])</f>
        <v>4</v>
      </c>
      <c r="O461" t="str">
        <f>_xlfn.IFS(orders[[#This Row],[Customer Gender]]="M","Male", orders[[#This Row],[Customer Gender]]="F","Female", orders[[#This Row],[Customer Gender]]="O","Other", TRUE,"Unknown")</f>
        <v>Male</v>
      </c>
    </row>
    <row r="462" spans="1:15">
      <c r="A462" t="s">
        <v>549</v>
      </c>
      <c r="B462" t="s">
        <v>26</v>
      </c>
      <c r="C462">
        <v>1</v>
      </c>
      <c r="D462">
        <v>162.1</v>
      </c>
      <c r="E462">
        <v>162.1</v>
      </c>
      <c r="F462" s="1">
        <v>45678</v>
      </c>
      <c r="G462" s="1">
        <v>45681</v>
      </c>
      <c r="H462" t="s">
        <v>27</v>
      </c>
      <c r="I462" t="s">
        <v>18</v>
      </c>
      <c r="J462">
        <v>5</v>
      </c>
      <c r="K462" t="s">
        <v>19</v>
      </c>
      <c r="L462" t="s">
        <v>72</v>
      </c>
      <c r="M462">
        <f>orders[[#This Row],[Ship Date]]-orders[[#This Row],[Order Date]]</f>
        <v>3</v>
      </c>
      <c r="N462">
        <f>WEEKNUM(orders[[#This Row],[Order Date]])</f>
        <v>4</v>
      </c>
      <c r="O462" t="str">
        <f>_xlfn.IFS(orders[[#This Row],[Customer Gender]]="M","Male", orders[[#This Row],[Customer Gender]]="F","Female", orders[[#This Row],[Customer Gender]]="O","Other", TRUE,"Unknown")</f>
        <v>Female</v>
      </c>
    </row>
    <row r="463" spans="1:15">
      <c r="A463" t="s">
        <v>550</v>
      </c>
      <c r="B463" t="s">
        <v>39</v>
      </c>
      <c r="C463">
        <v>4</v>
      </c>
      <c r="D463">
        <v>49.2</v>
      </c>
      <c r="E463">
        <v>196.8</v>
      </c>
      <c r="F463" s="1">
        <v>45678</v>
      </c>
      <c r="G463" s="1">
        <v>45682</v>
      </c>
      <c r="H463" t="s">
        <v>23</v>
      </c>
      <c r="I463" t="s">
        <v>35</v>
      </c>
      <c r="J463">
        <v>4</v>
      </c>
      <c r="K463" t="s">
        <v>19</v>
      </c>
      <c r="L463" t="s">
        <v>72</v>
      </c>
      <c r="M463">
        <f>orders[[#This Row],[Ship Date]]-orders[[#This Row],[Order Date]]</f>
        <v>4</v>
      </c>
      <c r="N463">
        <f>WEEKNUM(orders[[#This Row],[Order Date]])</f>
        <v>4</v>
      </c>
      <c r="O463" t="str">
        <f>_xlfn.IFS(orders[[#This Row],[Customer Gender]]="M","Male", orders[[#This Row],[Customer Gender]]="F","Female", orders[[#This Row],[Customer Gender]]="O","Other", TRUE,"Unknown")</f>
        <v>Male</v>
      </c>
    </row>
    <row r="464" spans="1:15">
      <c r="A464" t="s">
        <v>551</v>
      </c>
      <c r="B464" t="s">
        <v>22</v>
      </c>
      <c r="C464">
        <v>2</v>
      </c>
      <c r="D464">
        <v>61</v>
      </c>
      <c r="E464">
        <v>122</v>
      </c>
      <c r="F464" s="1">
        <v>45678</v>
      </c>
      <c r="G464" s="1">
        <v>45679</v>
      </c>
      <c r="H464" t="s">
        <v>23</v>
      </c>
      <c r="I464" t="s">
        <v>51</v>
      </c>
      <c r="J464">
        <v>4</v>
      </c>
      <c r="K464" t="s">
        <v>19</v>
      </c>
      <c r="L464" t="s">
        <v>74</v>
      </c>
      <c r="M464">
        <f>orders[[#This Row],[Ship Date]]-orders[[#This Row],[Order Date]]</f>
        <v>1</v>
      </c>
      <c r="N464">
        <f>WEEKNUM(orders[[#This Row],[Order Date]])</f>
        <v>4</v>
      </c>
      <c r="O464" t="str">
        <f>_xlfn.IFS(orders[[#This Row],[Customer Gender]]="M","Male", orders[[#This Row],[Customer Gender]]="F","Female", orders[[#This Row],[Customer Gender]]="O","Other", TRUE,"Unknown")</f>
        <v>Male</v>
      </c>
    </row>
    <row r="465" spans="1:15">
      <c r="A465" t="s">
        <v>552</v>
      </c>
      <c r="B465" t="s">
        <v>26</v>
      </c>
      <c r="C465">
        <v>10</v>
      </c>
      <c r="D465">
        <v>53.1</v>
      </c>
      <c r="E465">
        <v>531</v>
      </c>
      <c r="F465" s="1">
        <v>45678</v>
      </c>
      <c r="G465" s="1">
        <v>45680</v>
      </c>
      <c r="H465" t="s">
        <v>23</v>
      </c>
      <c r="I465" t="s">
        <v>18</v>
      </c>
      <c r="J465">
        <v>4</v>
      </c>
      <c r="K465" t="s">
        <v>19</v>
      </c>
      <c r="L465" t="s">
        <v>77</v>
      </c>
      <c r="M465">
        <f>orders[[#This Row],[Ship Date]]-orders[[#This Row],[Order Date]]</f>
        <v>2</v>
      </c>
      <c r="N465">
        <f>WEEKNUM(orders[[#This Row],[Order Date]])</f>
        <v>4</v>
      </c>
      <c r="O465" t="str">
        <f>_xlfn.IFS(orders[[#This Row],[Customer Gender]]="M","Male", orders[[#This Row],[Customer Gender]]="F","Female", orders[[#This Row],[Customer Gender]]="O","Other", TRUE,"Unknown")</f>
        <v>Male</v>
      </c>
    </row>
    <row r="466" spans="1:15">
      <c r="A466" t="s">
        <v>553</v>
      </c>
      <c r="B466" t="s">
        <v>32</v>
      </c>
      <c r="C466">
        <v>2</v>
      </c>
      <c r="D466">
        <v>22.4</v>
      </c>
      <c r="E466">
        <v>44.8</v>
      </c>
      <c r="F466" s="1">
        <v>45678</v>
      </c>
      <c r="G466" s="1">
        <v>45680</v>
      </c>
      <c r="H466" t="s">
        <v>17</v>
      </c>
      <c r="I466" t="s">
        <v>35</v>
      </c>
      <c r="J466">
        <v>5</v>
      </c>
      <c r="K466" t="s">
        <v>19</v>
      </c>
      <c r="L466" t="s">
        <v>82</v>
      </c>
      <c r="M466">
        <f>orders[[#This Row],[Ship Date]]-orders[[#This Row],[Order Date]]</f>
        <v>2</v>
      </c>
      <c r="N466">
        <f>WEEKNUM(orders[[#This Row],[Order Date]])</f>
        <v>4</v>
      </c>
      <c r="O466" t="str">
        <f>_xlfn.IFS(orders[[#This Row],[Customer Gender]]="M","Male", orders[[#This Row],[Customer Gender]]="F","Female", orders[[#This Row],[Customer Gender]]="O","Other", TRUE,"Unknown")</f>
        <v>Unknown</v>
      </c>
    </row>
    <row r="467" spans="1:15">
      <c r="A467" t="s">
        <v>554</v>
      </c>
      <c r="B467" t="s">
        <v>22</v>
      </c>
      <c r="C467">
        <v>5</v>
      </c>
      <c r="D467">
        <v>75.3</v>
      </c>
      <c r="E467">
        <v>376.5</v>
      </c>
      <c r="F467" s="1">
        <v>45678</v>
      </c>
      <c r="G467" s="1">
        <v>45679</v>
      </c>
      <c r="H467" t="s">
        <v>23</v>
      </c>
      <c r="I467" t="s">
        <v>18</v>
      </c>
      <c r="J467">
        <v>4</v>
      </c>
      <c r="K467" t="s">
        <v>19</v>
      </c>
      <c r="L467" t="s">
        <v>115</v>
      </c>
      <c r="M467">
        <f>orders[[#This Row],[Ship Date]]-orders[[#This Row],[Order Date]]</f>
        <v>1</v>
      </c>
      <c r="N467">
        <f>WEEKNUM(orders[[#This Row],[Order Date]])</f>
        <v>4</v>
      </c>
      <c r="O467" t="str">
        <f>_xlfn.IFS(orders[[#This Row],[Customer Gender]]="M","Male", orders[[#This Row],[Customer Gender]]="F","Female", orders[[#This Row],[Customer Gender]]="O","Other", TRUE,"Unknown")</f>
        <v>Male</v>
      </c>
    </row>
    <row r="468" spans="1:15">
      <c r="A468" t="s">
        <v>555</v>
      </c>
      <c r="B468" t="s">
        <v>39</v>
      </c>
      <c r="C468">
        <v>1</v>
      </c>
      <c r="D468">
        <v>48.5</v>
      </c>
      <c r="E468">
        <v>48.5</v>
      </c>
      <c r="F468" s="1">
        <v>45678</v>
      </c>
      <c r="G468" s="1">
        <v>45679</v>
      </c>
      <c r="H468" t="s">
        <v>27</v>
      </c>
      <c r="I468" t="s">
        <v>18</v>
      </c>
      <c r="J468">
        <v>3</v>
      </c>
      <c r="K468" t="s">
        <v>19</v>
      </c>
      <c r="L468" t="s">
        <v>115</v>
      </c>
      <c r="M468">
        <f>orders[[#This Row],[Ship Date]]-orders[[#This Row],[Order Date]]</f>
        <v>1</v>
      </c>
      <c r="N468">
        <f>WEEKNUM(orders[[#This Row],[Order Date]])</f>
        <v>4</v>
      </c>
      <c r="O468" t="str">
        <f>_xlfn.IFS(orders[[#This Row],[Customer Gender]]="M","Male", orders[[#This Row],[Customer Gender]]="F","Female", orders[[#This Row],[Customer Gender]]="O","Other", TRUE,"Unknown")</f>
        <v>Female</v>
      </c>
    </row>
    <row r="469" spans="1:15">
      <c r="A469" t="s">
        <v>556</v>
      </c>
      <c r="B469" t="s">
        <v>39</v>
      </c>
      <c r="C469">
        <v>1</v>
      </c>
      <c r="D469">
        <v>42.6</v>
      </c>
      <c r="E469">
        <v>42.6</v>
      </c>
      <c r="F469" s="1">
        <v>45678</v>
      </c>
      <c r="G469" s="1">
        <v>45682</v>
      </c>
      <c r="H469" t="s">
        <v>27</v>
      </c>
      <c r="I469" t="s">
        <v>51</v>
      </c>
      <c r="J469">
        <v>4</v>
      </c>
      <c r="K469" t="s">
        <v>19</v>
      </c>
      <c r="L469" t="s">
        <v>24</v>
      </c>
      <c r="M469">
        <f>orders[[#This Row],[Ship Date]]-orders[[#This Row],[Order Date]]</f>
        <v>4</v>
      </c>
      <c r="N469">
        <f>WEEKNUM(orders[[#This Row],[Order Date]])</f>
        <v>4</v>
      </c>
      <c r="O469" t="str">
        <f>_xlfn.IFS(orders[[#This Row],[Customer Gender]]="M","Male", orders[[#This Row],[Customer Gender]]="F","Female", orders[[#This Row],[Customer Gender]]="O","Other", TRUE,"Unknown")</f>
        <v>Female</v>
      </c>
    </row>
    <row r="470" spans="1:15">
      <c r="A470" t="s">
        <v>557</v>
      </c>
      <c r="B470" t="s">
        <v>37</v>
      </c>
      <c r="C470">
        <v>5</v>
      </c>
      <c r="D470">
        <v>49</v>
      </c>
      <c r="E470">
        <v>245</v>
      </c>
      <c r="F470" s="1">
        <v>45678</v>
      </c>
      <c r="G470" s="1">
        <v>45679</v>
      </c>
      <c r="H470" t="s">
        <v>23</v>
      </c>
      <c r="I470" t="s">
        <v>18</v>
      </c>
      <c r="J470">
        <v>4</v>
      </c>
      <c r="K470" t="s">
        <v>19</v>
      </c>
      <c r="L470" t="s">
        <v>147</v>
      </c>
      <c r="M470">
        <f>orders[[#This Row],[Ship Date]]-orders[[#This Row],[Order Date]]</f>
        <v>1</v>
      </c>
      <c r="N470">
        <f>WEEKNUM(orders[[#This Row],[Order Date]])</f>
        <v>4</v>
      </c>
      <c r="O470" t="str">
        <f>_xlfn.IFS(orders[[#This Row],[Customer Gender]]="M","Male", orders[[#This Row],[Customer Gender]]="F","Female", orders[[#This Row],[Customer Gender]]="O","Other", TRUE,"Unknown")</f>
        <v>Male</v>
      </c>
    </row>
    <row r="471" spans="1:15">
      <c r="A471" t="s">
        <v>558</v>
      </c>
      <c r="B471" t="s">
        <v>44</v>
      </c>
      <c r="C471">
        <v>3</v>
      </c>
      <c r="D471">
        <v>31.3</v>
      </c>
      <c r="E471">
        <v>93.9</v>
      </c>
      <c r="F471" s="1">
        <v>45678</v>
      </c>
      <c r="G471" s="1">
        <v>45679</v>
      </c>
      <c r="H471" t="s">
        <v>23</v>
      </c>
      <c r="I471" t="s">
        <v>40</v>
      </c>
      <c r="J471">
        <v>3</v>
      </c>
      <c r="K471" t="s">
        <v>19</v>
      </c>
      <c r="L471" t="s">
        <v>33</v>
      </c>
      <c r="M471">
        <f>orders[[#This Row],[Ship Date]]-orders[[#This Row],[Order Date]]</f>
        <v>1</v>
      </c>
      <c r="N471">
        <f>WEEKNUM(orders[[#This Row],[Order Date]])</f>
        <v>4</v>
      </c>
      <c r="O471" t="str">
        <f>_xlfn.IFS(orders[[#This Row],[Customer Gender]]="M","Male", orders[[#This Row],[Customer Gender]]="F","Female", orders[[#This Row],[Customer Gender]]="O","Other", TRUE,"Unknown")</f>
        <v>Male</v>
      </c>
    </row>
    <row r="472" spans="1:15">
      <c r="A472" t="s">
        <v>559</v>
      </c>
      <c r="B472" t="s">
        <v>26</v>
      </c>
      <c r="C472">
        <v>2</v>
      </c>
      <c r="D472">
        <v>85.4</v>
      </c>
      <c r="E472">
        <v>170.8</v>
      </c>
      <c r="F472" s="1">
        <v>45678</v>
      </c>
      <c r="G472" s="1">
        <v>45679</v>
      </c>
      <c r="H472" t="s">
        <v>27</v>
      </c>
      <c r="I472" t="s">
        <v>40</v>
      </c>
      <c r="J472">
        <v>4</v>
      </c>
      <c r="K472" t="s">
        <v>19</v>
      </c>
      <c r="L472" t="s">
        <v>33</v>
      </c>
      <c r="M472">
        <f>orders[[#This Row],[Ship Date]]-orders[[#This Row],[Order Date]]</f>
        <v>1</v>
      </c>
      <c r="N472">
        <f>WEEKNUM(orders[[#This Row],[Order Date]])</f>
        <v>4</v>
      </c>
      <c r="O472" t="str">
        <f>_xlfn.IFS(orders[[#This Row],[Customer Gender]]="M","Male", orders[[#This Row],[Customer Gender]]="F","Female", orders[[#This Row],[Customer Gender]]="O","Other", TRUE,"Unknown")</f>
        <v>Female</v>
      </c>
    </row>
    <row r="473" spans="1:15">
      <c r="A473" t="s">
        <v>560</v>
      </c>
      <c r="B473" t="s">
        <v>44</v>
      </c>
      <c r="C473">
        <v>4</v>
      </c>
      <c r="D473">
        <v>40</v>
      </c>
      <c r="E473">
        <v>160</v>
      </c>
      <c r="F473" s="1">
        <v>45678</v>
      </c>
      <c r="G473" s="1">
        <v>45679</v>
      </c>
      <c r="H473" t="s">
        <v>89</v>
      </c>
      <c r="I473" t="s">
        <v>18</v>
      </c>
      <c r="J473">
        <v>5</v>
      </c>
      <c r="K473" t="s">
        <v>19</v>
      </c>
      <c r="L473" t="s">
        <v>33</v>
      </c>
      <c r="M473">
        <f>orders[[#This Row],[Ship Date]]-orders[[#This Row],[Order Date]]</f>
        <v>1</v>
      </c>
      <c r="N473">
        <f>WEEKNUM(orders[[#This Row],[Order Date]])</f>
        <v>4</v>
      </c>
      <c r="O473" t="str">
        <f>_xlfn.IFS(orders[[#This Row],[Customer Gender]]="M","Male", orders[[#This Row],[Customer Gender]]="F","Female", orders[[#This Row],[Customer Gender]]="O","Other", TRUE,"Unknown")</f>
        <v>Other</v>
      </c>
    </row>
    <row r="474" spans="1:15">
      <c r="A474" t="s">
        <v>561</v>
      </c>
      <c r="B474" t="s">
        <v>37</v>
      </c>
      <c r="C474">
        <v>2</v>
      </c>
      <c r="D474">
        <v>38.5</v>
      </c>
      <c r="E474">
        <v>77</v>
      </c>
      <c r="F474" s="1">
        <v>45678</v>
      </c>
      <c r="G474" s="1">
        <v>45681</v>
      </c>
      <c r="H474" t="s">
        <v>23</v>
      </c>
      <c r="I474" t="s">
        <v>35</v>
      </c>
      <c r="J474">
        <v>5</v>
      </c>
      <c r="K474" t="s">
        <v>19</v>
      </c>
      <c r="L474" t="s">
        <v>33</v>
      </c>
      <c r="M474">
        <f>orders[[#This Row],[Ship Date]]-orders[[#This Row],[Order Date]]</f>
        <v>3</v>
      </c>
      <c r="N474">
        <f>WEEKNUM(orders[[#This Row],[Order Date]])</f>
        <v>4</v>
      </c>
      <c r="O474" t="str">
        <f>_xlfn.IFS(orders[[#This Row],[Customer Gender]]="M","Male", orders[[#This Row],[Customer Gender]]="F","Female", orders[[#This Row],[Customer Gender]]="O","Other", TRUE,"Unknown")</f>
        <v>Male</v>
      </c>
    </row>
    <row r="475" spans="1:15">
      <c r="A475" t="s">
        <v>562</v>
      </c>
      <c r="B475" t="s">
        <v>26</v>
      </c>
      <c r="C475">
        <v>2</v>
      </c>
      <c r="D475">
        <v>57.8</v>
      </c>
      <c r="E475">
        <v>115.6</v>
      </c>
      <c r="F475" s="1">
        <v>45678</v>
      </c>
      <c r="G475" s="1">
        <v>45679</v>
      </c>
      <c r="H475" t="s">
        <v>17</v>
      </c>
      <c r="I475" t="s">
        <v>18</v>
      </c>
      <c r="J475">
        <v>4</v>
      </c>
      <c r="K475" t="s">
        <v>19</v>
      </c>
      <c r="L475" t="s">
        <v>33</v>
      </c>
      <c r="M475">
        <f>orders[[#This Row],[Ship Date]]-orders[[#This Row],[Order Date]]</f>
        <v>1</v>
      </c>
      <c r="N475">
        <f>WEEKNUM(orders[[#This Row],[Order Date]])</f>
        <v>4</v>
      </c>
      <c r="O475" t="str">
        <f>_xlfn.IFS(orders[[#This Row],[Customer Gender]]="M","Male", orders[[#This Row],[Customer Gender]]="F","Female", orders[[#This Row],[Customer Gender]]="O","Other", TRUE,"Unknown")</f>
        <v>Unknown</v>
      </c>
    </row>
    <row r="476" spans="1:15">
      <c r="A476" t="s">
        <v>563</v>
      </c>
      <c r="B476" t="s">
        <v>44</v>
      </c>
      <c r="C476">
        <v>1</v>
      </c>
      <c r="D476">
        <v>19.2</v>
      </c>
      <c r="E476">
        <v>19.2</v>
      </c>
      <c r="F476" s="1">
        <v>45678</v>
      </c>
      <c r="G476" s="1">
        <v>45679</v>
      </c>
      <c r="H476" t="s">
        <v>27</v>
      </c>
      <c r="I476" t="s">
        <v>18</v>
      </c>
      <c r="J476">
        <v>2</v>
      </c>
      <c r="K476" t="s">
        <v>19</v>
      </c>
      <c r="L476" t="s">
        <v>33</v>
      </c>
      <c r="M476">
        <f>orders[[#This Row],[Ship Date]]-orders[[#This Row],[Order Date]]</f>
        <v>1</v>
      </c>
      <c r="N476">
        <f>WEEKNUM(orders[[#This Row],[Order Date]])</f>
        <v>4</v>
      </c>
      <c r="O476" t="str">
        <f>_xlfn.IFS(orders[[#This Row],[Customer Gender]]="M","Male", orders[[#This Row],[Customer Gender]]="F","Female", orders[[#This Row],[Customer Gender]]="O","Other", TRUE,"Unknown")</f>
        <v>Female</v>
      </c>
    </row>
    <row r="477" spans="1:15">
      <c r="A477" t="s">
        <v>564</v>
      </c>
      <c r="B477" t="s">
        <v>39</v>
      </c>
      <c r="C477">
        <v>6</v>
      </c>
      <c r="D477">
        <v>114.8</v>
      </c>
      <c r="E477">
        <v>688.8</v>
      </c>
      <c r="F477" s="1">
        <v>45678</v>
      </c>
      <c r="G477" s="1">
        <v>45681</v>
      </c>
      <c r="H477" t="s">
        <v>23</v>
      </c>
      <c r="I477" t="s">
        <v>35</v>
      </c>
      <c r="J477">
        <v>3</v>
      </c>
      <c r="K477" t="s">
        <v>19</v>
      </c>
      <c r="L477" t="s">
        <v>33</v>
      </c>
      <c r="M477">
        <f>orders[[#This Row],[Ship Date]]-orders[[#This Row],[Order Date]]</f>
        <v>3</v>
      </c>
      <c r="N477">
        <f>WEEKNUM(orders[[#This Row],[Order Date]])</f>
        <v>4</v>
      </c>
      <c r="O477" t="str">
        <f>_xlfn.IFS(orders[[#This Row],[Customer Gender]]="M","Male", orders[[#This Row],[Customer Gender]]="F","Female", orders[[#This Row],[Customer Gender]]="O","Other", TRUE,"Unknown")</f>
        <v>Male</v>
      </c>
    </row>
    <row r="478" spans="1:15">
      <c r="A478" t="s">
        <v>565</v>
      </c>
      <c r="B478" t="s">
        <v>54</v>
      </c>
      <c r="C478">
        <v>7</v>
      </c>
      <c r="D478">
        <v>48.4</v>
      </c>
      <c r="E478">
        <v>338.8</v>
      </c>
      <c r="F478" s="1">
        <v>45678</v>
      </c>
      <c r="G478" s="1">
        <v>45681</v>
      </c>
      <c r="H478" t="s">
        <v>27</v>
      </c>
      <c r="I478" t="s">
        <v>51</v>
      </c>
      <c r="J478">
        <v>3</v>
      </c>
      <c r="K478" t="s">
        <v>19</v>
      </c>
      <c r="L478" t="s">
        <v>33</v>
      </c>
      <c r="M478">
        <f>orders[[#This Row],[Ship Date]]-orders[[#This Row],[Order Date]]</f>
        <v>3</v>
      </c>
      <c r="N478">
        <f>WEEKNUM(orders[[#This Row],[Order Date]])</f>
        <v>4</v>
      </c>
      <c r="O478" t="str">
        <f>_xlfn.IFS(orders[[#This Row],[Customer Gender]]="M","Male", orders[[#This Row],[Customer Gender]]="F","Female", orders[[#This Row],[Customer Gender]]="O","Other", TRUE,"Unknown")</f>
        <v>Female</v>
      </c>
    </row>
    <row r="479" spans="1:15">
      <c r="A479" t="s">
        <v>566</v>
      </c>
      <c r="B479" t="s">
        <v>46</v>
      </c>
      <c r="C479">
        <v>5</v>
      </c>
      <c r="D479">
        <v>73.2</v>
      </c>
      <c r="E479">
        <v>366</v>
      </c>
      <c r="F479" s="1">
        <v>45678</v>
      </c>
      <c r="G479" s="1">
        <v>45679</v>
      </c>
      <c r="H479" t="s">
        <v>27</v>
      </c>
      <c r="I479" t="s">
        <v>35</v>
      </c>
      <c r="J479">
        <v>2</v>
      </c>
      <c r="K479" t="s">
        <v>19</v>
      </c>
      <c r="L479" t="s">
        <v>33</v>
      </c>
      <c r="M479">
        <f>orders[[#This Row],[Ship Date]]-orders[[#This Row],[Order Date]]</f>
        <v>1</v>
      </c>
      <c r="N479">
        <f>WEEKNUM(orders[[#This Row],[Order Date]])</f>
        <v>4</v>
      </c>
      <c r="O479" t="str">
        <f>_xlfn.IFS(orders[[#This Row],[Customer Gender]]="M","Male", orders[[#This Row],[Customer Gender]]="F","Female", orders[[#This Row],[Customer Gender]]="O","Other", TRUE,"Unknown")</f>
        <v>Female</v>
      </c>
    </row>
    <row r="480" spans="1:15">
      <c r="A480" t="s">
        <v>567</v>
      </c>
      <c r="B480" t="s">
        <v>123</v>
      </c>
      <c r="C480">
        <v>2</v>
      </c>
      <c r="D480">
        <v>48.6</v>
      </c>
      <c r="E480">
        <v>97.2</v>
      </c>
      <c r="F480" s="1">
        <v>45678</v>
      </c>
      <c r="G480" s="1">
        <v>45682</v>
      </c>
      <c r="H480" t="s">
        <v>27</v>
      </c>
      <c r="I480" t="s">
        <v>51</v>
      </c>
      <c r="J480">
        <v>4</v>
      </c>
      <c r="K480" t="s">
        <v>19</v>
      </c>
      <c r="L480" t="s">
        <v>33</v>
      </c>
      <c r="M480">
        <f>orders[[#This Row],[Ship Date]]-orders[[#This Row],[Order Date]]</f>
        <v>4</v>
      </c>
      <c r="N480">
        <f>WEEKNUM(orders[[#This Row],[Order Date]])</f>
        <v>4</v>
      </c>
      <c r="O480" t="str">
        <f>_xlfn.IFS(orders[[#This Row],[Customer Gender]]="M","Male", orders[[#This Row],[Customer Gender]]="F","Female", orders[[#This Row],[Customer Gender]]="O","Other", TRUE,"Unknown")</f>
        <v>Female</v>
      </c>
    </row>
    <row r="481" spans="1:15">
      <c r="A481" t="s">
        <v>568</v>
      </c>
      <c r="B481" t="s">
        <v>16</v>
      </c>
      <c r="C481">
        <v>6</v>
      </c>
      <c r="D481">
        <v>48.7</v>
      </c>
      <c r="E481">
        <v>292.20000000000005</v>
      </c>
      <c r="F481" s="1">
        <v>45678</v>
      </c>
      <c r="G481" s="1">
        <v>45679</v>
      </c>
      <c r="H481" t="s">
        <v>23</v>
      </c>
      <c r="I481" t="s">
        <v>18</v>
      </c>
      <c r="J481">
        <v>4</v>
      </c>
      <c r="K481" t="s">
        <v>19</v>
      </c>
      <c r="L481" t="s">
        <v>33</v>
      </c>
      <c r="M481">
        <f>orders[[#This Row],[Ship Date]]-orders[[#This Row],[Order Date]]</f>
        <v>1</v>
      </c>
      <c r="N481">
        <f>WEEKNUM(orders[[#This Row],[Order Date]])</f>
        <v>4</v>
      </c>
      <c r="O481" t="str">
        <f>_xlfn.IFS(orders[[#This Row],[Customer Gender]]="M","Male", orders[[#This Row],[Customer Gender]]="F","Female", orders[[#This Row],[Customer Gender]]="O","Other", TRUE,"Unknown")</f>
        <v>Male</v>
      </c>
    </row>
    <row r="482" spans="1:15">
      <c r="A482" t="s">
        <v>569</v>
      </c>
      <c r="B482" t="s">
        <v>32</v>
      </c>
      <c r="C482">
        <v>2</v>
      </c>
      <c r="D482">
        <v>32.200000000000003</v>
      </c>
      <c r="E482">
        <v>64.400000000000006</v>
      </c>
      <c r="F482" s="1">
        <v>45678</v>
      </c>
      <c r="G482" s="1">
        <v>45681</v>
      </c>
      <c r="H482" t="s">
        <v>23</v>
      </c>
      <c r="I482" t="s">
        <v>40</v>
      </c>
      <c r="J482">
        <v>5</v>
      </c>
      <c r="K482" t="s">
        <v>19</v>
      </c>
      <c r="L482" t="s">
        <v>33</v>
      </c>
      <c r="M482">
        <f>orders[[#This Row],[Ship Date]]-orders[[#This Row],[Order Date]]</f>
        <v>3</v>
      </c>
      <c r="N482">
        <f>WEEKNUM(orders[[#This Row],[Order Date]])</f>
        <v>4</v>
      </c>
      <c r="O482" t="str">
        <f>_xlfn.IFS(orders[[#This Row],[Customer Gender]]="M","Male", orders[[#This Row],[Customer Gender]]="F","Female", orders[[#This Row],[Customer Gender]]="O","Other", TRUE,"Unknown")</f>
        <v>Male</v>
      </c>
    </row>
    <row r="483" spans="1:15">
      <c r="A483" t="s">
        <v>570</v>
      </c>
      <c r="B483" t="s">
        <v>123</v>
      </c>
      <c r="C483">
        <v>8</v>
      </c>
      <c r="D483">
        <v>25.8</v>
      </c>
      <c r="E483">
        <v>206.4</v>
      </c>
      <c r="F483" s="1">
        <v>45678</v>
      </c>
      <c r="G483" s="1">
        <v>45679</v>
      </c>
      <c r="H483" t="s">
        <v>23</v>
      </c>
      <c r="I483" t="s">
        <v>18</v>
      </c>
      <c r="J483">
        <v>4</v>
      </c>
      <c r="K483" t="s">
        <v>19</v>
      </c>
      <c r="L483" t="s">
        <v>364</v>
      </c>
      <c r="M483">
        <f>orders[[#This Row],[Ship Date]]-orders[[#This Row],[Order Date]]</f>
        <v>1</v>
      </c>
      <c r="N483">
        <f>WEEKNUM(orders[[#This Row],[Order Date]])</f>
        <v>4</v>
      </c>
      <c r="O483" t="str">
        <f>_xlfn.IFS(orders[[#This Row],[Customer Gender]]="M","Male", orders[[#This Row],[Customer Gender]]="F","Female", orders[[#This Row],[Customer Gender]]="O","Other", TRUE,"Unknown")</f>
        <v>Male</v>
      </c>
    </row>
    <row r="484" spans="1:15">
      <c r="A484" t="s">
        <v>571</v>
      </c>
      <c r="B484" t="s">
        <v>39</v>
      </c>
      <c r="C484">
        <v>2</v>
      </c>
      <c r="D484">
        <v>94.8</v>
      </c>
      <c r="E484">
        <v>189.6</v>
      </c>
      <c r="F484" s="1">
        <v>45679</v>
      </c>
      <c r="G484" s="1">
        <v>45682</v>
      </c>
      <c r="H484" t="s">
        <v>27</v>
      </c>
      <c r="I484" t="s">
        <v>35</v>
      </c>
      <c r="J484">
        <v>3</v>
      </c>
      <c r="K484" t="s">
        <v>19</v>
      </c>
      <c r="L484" t="s">
        <v>188</v>
      </c>
      <c r="M484">
        <f>orders[[#This Row],[Ship Date]]-orders[[#This Row],[Order Date]]</f>
        <v>3</v>
      </c>
      <c r="N484">
        <f>WEEKNUM(orders[[#This Row],[Order Date]])</f>
        <v>4</v>
      </c>
      <c r="O484" t="str">
        <f>_xlfn.IFS(orders[[#This Row],[Customer Gender]]="M","Male", orders[[#This Row],[Customer Gender]]="F","Female", orders[[#This Row],[Customer Gender]]="O","Other", TRUE,"Unknown")</f>
        <v>Female</v>
      </c>
    </row>
    <row r="485" spans="1:15">
      <c r="A485" t="s">
        <v>572</v>
      </c>
      <c r="B485" t="s">
        <v>123</v>
      </c>
      <c r="C485">
        <v>25</v>
      </c>
      <c r="D485">
        <v>56.8</v>
      </c>
      <c r="E485">
        <v>1420</v>
      </c>
      <c r="F485" s="1">
        <v>45679</v>
      </c>
      <c r="G485" s="1">
        <v>45682</v>
      </c>
      <c r="H485" t="s">
        <v>23</v>
      </c>
      <c r="I485" t="s">
        <v>18</v>
      </c>
      <c r="J485">
        <v>4</v>
      </c>
      <c r="K485" t="s">
        <v>19</v>
      </c>
      <c r="L485" t="s">
        <v>188</v>
      </c>
      <c r="M485">
        <f>orders[[#This Row],[Ship Date]]-orders[[#This Row],[Order Date]]</f>
        <v>3</v>
      </c>
      <c r="N485">
        <f>WEEKNUM(orders[[#This Row],[Order Date]])</f>
        <v>4</v>
      </c>
      <c r="O485" t="str">
        <f>_xlfn.IFS(orders[[#This Row],[Customer Gender]]="M","Male", orders[[#This Row],[Customer Gender]]="F","Female", orders[[#This Row],[Customer Gender]]="O","Other", TRUE,"Unknown")</f>
        <v>Male</v>
      </c>
    </row>
    <row r="486" spans="1:15">
      <c r="A486" t="s">
        <v>573</v>
      </c>
      <c r="B486" t="s">
        <v>44</v>
      </c>
      <c r="C486">
        <v>16</v>
      </c>
      <c r="D486">
        <v>18.3</v>
      </c>
      <c r="E486">
        <v>292.8</v>
      </c>
      <c r="F486" s="1">
        <v>45679</v>
      </c>
      <c r="G486" s="1">
        <v>45686</v>
      </c>
      <c r="H486" t="s">
        <v>27</v>
      </c>
      <c r="I486" t="s">
        <v>40</v>
      </c>
      <c r="J486">
        <v>5</v>
      </c>
      <c r="K486" t="s">
        <v>19</v>
      </c>
      <c r="L486" t="s">
        <v>158</v>
      </c>
      <c r="M486">
        <f>orders[[#This Row],[Ship Date]]-orders[[#This Row],[Order Date]]</f>
        <v>7</v>
      </c>
      <c r="N486">
        <f>WEEKNUM(orders[[#This Row],[Order Date]])</f>
        <v>4</v>
      </c>
      <c r="O486" t="str">
        <f>_xlfn.IFS(orders[[#This Row],[Customer Gender]]="M","Male", orders[[#This Row],[Customer Gender]]="F","Female", orders[[#This Row],[Customer Gender]]="O","Other", TRUE,"Unknown")</f>
        <v>Female</v>
      </c>
    </row>
    <row r="487" spans="1:15">
      <c r="A487" t="s">
        <v>574</v>
      </c>
      <c r="B487" t="s">
        <v>16</v>
      </c>
      <c r="C487">
        <v>3</v>
      </c>
      <c r="D487">
        <v>16.8</v>
      </c>
      <c r="E487">
        <v>50.400000000000006</v>
      </c>
      <c r="F487" s="1">
        <v>45679</v>
      </c>
      <c r="G487" s="1">
        <v>45684</v>
      </c>
      <c r="H487" t="s">
        <v>27</v>
      </c>
      <c r="I487" t="s">
        <v>40</v>
      </c>
      <c r="J487">
        <v>5</v>
      </c>
      <c r="K487" t="s">
        <v>19</v>
      </c>
      <c r="L487" t="s">
        <v>62</v>
      </c>
      <c r="M487">
        <f>orders[[#This Row],[Ship Date]]-orders[[#This Row],[Order Date]]</f>
        <v>5</v>
      </c>
      <c r="N487">
        <f>WEEKNUM(orders[[#This Row],[Order Date]])</f>
        <v>4</v>
      </c>
      <c r="O487" t="str">
        <f>_xlfn.IFS(orders[[#This Row],[Customer Gender]]="M","Male", orders[[#This Row],[Customer Gender]]="F","Female", orders[[#This Row],[Customer Gender]]="O","Other", TRUE,"Unknown")</f>
        <v>Female</v>
      </c>
    </row>
    <row r="488" spans="1:15">
      <c r="A488" t="s">
        <v>575</v>
      </c>
      <c r="B488" t="s">
        <v>37</v>
      </c>
      <c r="C488">
        <v>11</v>
      </c>
      <c r="D488">
        <v>35.799999999999997</v>
      </c>
      <c r="E488">
        <v>393.79999999999995</v>
      </c>
      <c r="F488" s="1">
        <v>45679</v>
      </c>
      <c r="G488" s="1">
        <v>45680</v>
      </c>
      <c r="H488" t="s">
        <v>23</v>
      </c>
      <c r="I488" t="s">
        <v>35</v>
      </c>
      <c r="J488">
        <v>4</v>
      </c>
      <c r="K488" t="s">
        <v>19</v>
      </c>
      <c r="L488" t="s">
        <v>103</v>
      </c>
      <c r="M488">
        <f>orders[[#This Row],[Ship Date]]-orders[[#This Row],[Order Date]]</f>
        <v>1</v>
      </c>
      <c r="N488">
        <f>WEEKNUM(orders[[#This Row],[Order Date]])</f>
        <v>4</v>
      </c>
      <c r="O488" t="str">
        <f>_xlfn.IFS(orders[[#This Row],[Customer Gender]]="M","Male", orders[[#This Row],[Customer Gender]]="F","Female", orders[[#This Row],[Customer Gender]]="O","Other", TRUE,"Unknown")</f>
        <v>Male</v>
      </c>
    </row>
    <row r="489" spans="1:15">
      <c r="A489" t="s">
        <v>576</v>
      </c>
      <c r="B489" t="s">
        <v>146</v>
      </c>
      <c r="C489">
        <v>1</v>
      </c>
      <c r="D489">
        <v>64.900000000000006</v>
      </c>
      <c r="E489">
        <v>64.900000000000006</v>
      </c>
      <c r="F489" s="1">
        <v>45679</v>
      </c>
      <c r="G489" s="1">
        <v>45680</v>
      </c>
      <c r="H489" t="s">
        <v>23</v>
      </c>
      <c r="I489" t="s">
        <v>18</v>
      </c>
      <c r="J489">
        <v>3</v>
      </c>
      <c r="K489" t="s">
        <v>19</v>
      </c>
      <c r="L489" t="s">
        <v>103</v>
      </c>
      <c r="M489">
        <f>orders[[#This Row],[Ship Date]]-orders[[#This Row],[Order Date]]</f>
        <v>1</v>
      </c>
      <c r="N489">
        <f>WEEKNUM(orders[[#This Row],[Order Date]])</f>
        <v>4</v>
      </c>
      <c r="O489" t="str">
        <f>_xlfn.IFS(orders[[#This Row],[Customer Gender]]="M","Male", orders[[#This Row],[Customer Gender]]="F","Female", orders[[#This Row],[Customer Gender]]="O","Other", TRUE,"Unknown")</f>
        <v>Male</v>
      </c>
    </row>
    <row r="490" spans="1:15">
      <c r="A490" t="s">
        <v>577</v>
      </c>
      <c r="B490" t="s">
        <v>146</v>
      </c>
      <c r="C490">
        <v>1</v>
      </c>
      <c r="D490">
        <v>28.5</v>
      </c>
      <c r="E490">
        <v>28.5</v>
      </c>
      <c r="F490" s="1">
        <v>45679</v>
      </c>
      <c r="G490" s="1">
        <v>45681</v>
      </c>
      <c r="H490" t="s">
        <v>17</v>
      </c>
      <c r="I490" t="s">
        <v>35</v>
      </c>
      <c r="J490">
        <v>4</v>
      </c>
      <c r="K490" t="s">
        <v>19</v>
      </c>
      <c r="L490" t="s">
        <v>72</v>
      </c>
      <c r="M490">
        <f>orders[[#This Row],[Ship Date]]-orders[[#This Row],[Order Date]]</f>
        <v>2</v>
      </c>
      <c r="N490">
        <f>WEEKNUM(orders[[#This Row],[Order Date]])</f>
        <v>4</v>
      </c>
      <c r="O490" t="str">
        <f>_xlfn.IFS(orders[[#This Row],[Customer Gender]]="M","Male", orders[[#This Row],[Customer Gender]]="F","Female", orders[[#This Row],[Customer Gender]]="O","Other", TRUE,"Unknown")</f>
        <v>Unknown</v>
      </c>
    </row>
    <row r="491" spans="1:15">
      <c r="A491" t="s">
        <v>578</v>
      </c>
      <c r="B491" t="s">
        <v>146</v>
      </c>
      <c r="C491">
        <v>2</v>
      </c>
      <c r="D491">
        <v>103.5</v>
      </c>
      <c r="E491">
        <v>207</v>
      </c>
      <c r="F491" s="1">
        <v>45679</v>
      </c>
      <c r="G491" s="1">
        <v>45681</v>
      </c>
      <c r="H491" t="s">
        <v>27</v>
      </c>
      <c r="I491" t="s">
        <v>35</v>
      </c>
      <c r="J491">
        <v>4</v>
      </c>
      <c r="K491" t="s">
        <v>19</v>
      </c>
      <c r="L491" t="s">
        <v>74</v>
      </c>
      <c r="M491">
        <f>orders[[#This Row],[Ship Date]]-orders[[#This Row],[Order Date]]</f>
        <v>2</v>
      </c>
      <c r="N491">
        <f>WEEKNUM(orders[[#This Row],[Order Date]])</f>
        <v>4</v>
      </c>
      <c r="O491" t="str">
        <f>_xlfn.IFS(orders[[#This Row],[Customer Gender]]="M","Male", orders[[#This Row],[Customer Gender]]="F","Female", orders[[#This Row],[Customer Gender]]="O","Other", TRUE,"Unknown")</f>
        <v>Female</v>
      </c>
    </row>
    <row r="492" spans="1:15">
      <c r="A492" t="s">
        <v>579</v>
      </c>
      <c r="B492" t="s">
        <v>32</v>
      </c>
      <c r="C492">
        <v>2</v>
      </c>
      <c r="D492">
        <v>41.2</v>
      </c>
      <c r="E492">
        <v>82.4</v>
      </c>
      <c r="F492" s="1">
        <v>45679</v>
      </c>
      <c r="G492" s="1">
        <v>45680</v>
      </c>
      <c r="H492" t="s">
        <v>27</v>
      </c>
      <c r="I492" t="s">
        <v>35</v>
      </c>
      <c r="J492">
        <v>4</v>
      </c>
      <c r="K492" t="s">
        <v>19</v>
      </c>
      <c r="L492" t="s">
        <v>74</v>
      </c>
      <c r="M492">
        <f>orders[[#This Row],[Ship Date]]-orders[[#This Row],[Order Date]]</f>
        <v>1</v>
      </c>
      <c r="N492">
        <f>WEEKNUM(orders[[#This Row],[Order Date]])</f>
        <v>4</v>
      </c>
      <c r="O492" t="str">
        <f>_xlfn.IFS(orders[[#This Row],[Customer Gender]]="M","Male", orders[[#This Row],[Customer Gender]]="F","Female", orders[[#This Row],[Customer Gender]]="O","Other", TRUE,"Unknown")</f>
        <v>Female</v>
      </c>
    </row>
    <row r="493" spans="1:15">
      <c r="A493" t="s">
        <v>580</v>
      </c>
      <c r="B493" t="s">
        <v>46</v>
      </c>
      <c r="C493">
        <v>1</v>
      </c>
      <c r="D493">
        <v>37.799999999999997</v>
      </c>
      <c r="E493">
        <v>37.799999999999997</v>
      </c>
      <c r="F493" s="1">
        <v>45679</v>
      </c>
      <c r="G493" s="1">
        <v>45681</v>
      </c>
      <c r="H493" t="s">
        <v>27</v>
      </c>
      <c r="I493" t="s">
        <v>51</v>
      </c>
      <c r="J493">
        <v>1</v>
      </c>
      <c r="K493" t="s">
        <v>19</v>
      </c>
      <c r="L493" t="s">
        <v>77</v>
      </c>
      <c r="M493">
        <f>orders[[#This Row],[Ship Date]]-orders[[#This Row],[Order Date]]</f>
        <v>2</v>
      </c>
      <c r="N493">
        <f>WEEKNUM(orders[[#This Row],[Order Date]])</f>
        <v>4</v>
      </c>
      <c r="O493" t="str">
        <f>_xlfn.IFS(orders[[#This Row],[Customer Gender]]="M","Male", orders[[#This Row],[Customer Gender]]="F","Female", orders[[#This Row],[Customer Gender]]="O","Other", TRUE,"Unknown")</f>
        <v>Female</v>
      </c>
    </row>
    <row r="494" spans="1:15">
      <c r="A494" t="s">
        <v>581</v>
      </c>
      <c r="B494" t="s">
        <v>44</v>
      </c>
      <c r="C494">
        <v>2</v>
      </c>
      <c r="D494">
        <v>42.6</v>
      </c>
      <c r="E494">
        <v>85.2</v>
      </c>
      <c r="F494" s="1">
        <v>45679</v>
      </c>
      <c r="G494" s="1">
        <v>45681</v>
      </c>
      <c r="H494" t="s">
        <v>27</v>
      </c>
      <c r="I494" t="s">
        <v>70</v>
      </c>
      <c r="J494">
        <v>4</v>
      </c>
      <c r="K494" t="s">
        <v>19</v>
      </c>
      <c r="L494" t="s">
        <v>77</v>
      </c>
      <c r="M494">
        <f>orders[[#This Row],[Ship Date]]-orders[[#This Row],[Order Date]]</f>
        <v>2</v>
      </c>
      <c r="N494">
        <f>WEEKNUM(orders[[#This Row],[Order Date]])</f>
        <v>4</v>
      </c>
      <c r="O494" t="str">
        <f>_xlfn.IFS(orders[[#This Row],[Customer Gender]]="M","Male", orders[[#This Row],[Customer Gender]]="F","Female", orders[[#This Row],[Customer Gender]]="O","Other", TRUE,"Unknown")</f>
        <v>Female</v>
      </c>
    </row>
    <row r="495" spans="1:15">
      <c r="A495" t="s">
        <v>582</v>
      </c>
      <c r="B495" t="s">
        <v>44</v>
      </c>
      <c r="C495">
        <v>10</v>
      </c>
      <c r="D495">
        <v>15.2</v>
      </c>
      <c r="E495">
        <v>152</v>
      </c>
      <c r="F495" s="1">
        <v>45679</v>
      </c>
      <c r="G495" s="1">
        <v>45681</v>
      </c>
      <c r="H495" t="s">
        <v>27</v>
      </c>
      <c r="I495" t="s">
        <v>40</v>
      </c>
      <c r="J495">
        <v>4</v>
      </c>
      <c r="K495" t="s">
        <v>19</v>
      </c>
      <c r="L495" t="s">
        <v>77</v>
      </c>
      <c r="M495">
        <f>orders[[#This Row],[Ship Date]]-orders[[#This Row],[Order Date]]</f>
        <v>2</v>
      </c>
      <c r="N495">
        <f>WEEKNUM(orders[[#This Row],[Order Date]])</f>
        <v>4</v>
      </c>
      <c r="O495" t="str">
        <f>_xlfn.IFS(orders[[#This Row],[Customer Gender]]="M","Male", orders[[#This Row],[Customer Gender]]="F","Female", orders[[#This Row],[Customer Gender]]="O","Other", TRUE,"Unknown")</f>
        <v>Female</v>
      </c>
    </row>
    <row r="496" spans="1:15">
      <c r="A496" t="s">
        <v>583</v>
      </c>
      <c r="B496" t="s">
        <v>42</v>
      </c>
      <c r="C496">
        <v>4</v>
      </c>
      <c r="D496">
        <v>83.4</v>
      </c>
      <c r="E496">
        <v>333.6</v>
      </c>
      <c r="F496" s="1">
        <v>45679</v>
      </c>
      <c r="G496" s="1">
        <v>45680</v>
      </c>
      <c r="H496" t="s">
        <v>27</v>
      </c>
      <c r="I496" t="s">
        <v>40</v>
      </c>
      <c r="J496">
        <v>3</v>
      </c>
      <c r="K496" t="s">
        <v>19</v>
      </c>
      <c r="L496" t="s">
        <v>108</v>
      </c>
      <c r="M496">
        <f>orders[[#This Row],[Ship Date]]-orders[[#This Row],[Order Date]]</f>
        <v>1</v>
      </c>
      <c r="N496">
        <f>WEEKNUM(orders[[#This Row],[Order Date]])</f>
        <v>4</v>
      </c>
      <c r="O496" t="str">
        <f>_xlfn.IFS(orders[[#This Row],[Customer Gender]]="M","Male", orders[[#This Row],[Customer Gender]]="F","Female", orders[[#This Row],[Customer Gender]]="O","Other", TRUE,"Unknown")</f>
        <v>Female</v>
      </c>
    </row>
    <row r="497" spans="1:15">
      <c r="A497" t="s">
        <v>584</v>
      </c>
      <c r="B497" t="s">
        <v>171</v>
      </c>
      <c r="C497">
        <v>2</v>
      </c>
      <c r="D497">
        <v>27.7</v>
      </c>
      <c r="E497">
        <v>55.4</v>
      </c>
      <c r="F497" s="1">
        <v>45679</v>
      </c>
      <c r="G497" s="1">
        <v>45680</v>
      </c>
      <c r="H497" t="s">
        <v>27</v>
      </c>
      <c r="I497" t="s">
        <v>18</v>
      </c>
      <c r="J497">
        <v>3</v>
      </c>
      <c r="K497" t="s">
        <v>19</v>
      </c>
      <c r="L497" t="s">
        <v>82</v>
      </c>
      <c r="M497">
        <f>orders[[#This Row],[Ship Date]]-orders[[#This Row],[Order Date]]</f>
        <v>1</v>
      </c>
      <c r="N497">
        <f>WEEKNUM(orders[[#This Row],[Order Date]])</f>
        <v>4</v>
      </c>
      <c r="O497" t="str">
        <f>_xlfn.IFS(orders[[#This Row],[Customer Gender]]="M","Male", orders[[#This Row],[Customer Gender]]="F","Female", orders[[#This Row],[Customer Gender]]="O","Other", TRUE,"Unknown")</f>
        <v>Female</v>
      </c>
    </row>
    <row r="498" spans="1:15">
      <c r="A498" t="s">
        <v>585</v>
      </c>
      <c r="B498" t="s">
        <v>54</v>
      </c>
      <c r="C498">
        <v>12</v>
      </c>
      <c r="D498">
        <v>20.8</v>
      </c>
      <c r="E498">
        <v>249.60000000000002</v>
      </c>
      <c r="F498" s="1">
        <v>45679</v>
      </c>
      <c r="G498" s="1">
        <v>45680</v>
      </c>
      <c r="H498" t="s">
        <v>23</v>
      </c>
      <c r="I498" t="s">
        <v>51</v>
      </c>
      <c r="J498">
        <v>4</v>
      </c>
      <c r="K498" t="s">
        <v>19</v>
      </c>
      <c r="L498" t="s">
        <v>82</v>
      </c>
      <c r="M498">
        <f>orders[[#This Row],[Ship Date]]-orders[[#This Row],[Order Date]]</f>
        <v>1</v>
      </c>
      <c r="N498">
        <f>WEEKNUM(orders[[#This Row],[Order Date]])</f>
        <v>4</v>
      </c>
      <c r="O498" t="str">
        <f>_xlfn.IFS(orders[[#This Row],[Customer Gender]]="M","Male", orders[[#This Row],[Customer Gender]]="F","Female", orders[[#This Row],[Customer Gender]]="O","Other", TRUE,"Unknown")</f>
        <v>Male</v>
      </c>
    </row>
    <row r="499" spans="1:15">
      <c r="A499" t="s">
        <v>586</v>
      </c>
      <c r="B499" t="s">
        <v>67</v>
      </c>
      <c r="C499">
        <v>2</v>
      </c>
      <c r="D499">
        <v>72.7</v>
      </c>
      <c r="E499">
        <v>145.4</v>
      </c>
      <c r="F499" s="1">
        <v>45679</v>
      </c>
      <c r="G499" s="1">
        <v>45683</v>
      </c>
      <c r="H499" t="s">
        <v>27</v>
      </c>
      <c r="I499" t="s">
        <v>70</v>
      </c>
      <c r="J499">
        <v>5</v>
      </c>
      <c r="K499" t="s">
        <v>19</v>
      </c>
      <c r="L499" t="s">
        <v>587</v>
      </c>
      <c r="M499">
        <f>orders[[#This Row],[Ship Date]]-orders[[#This Row],[Order Date]]</f>
        <v>4</v>
      </c>
      <c r="N499">
        <f>WEEKNUM(orders[[#This Row],[Order Date]])</f>
        <v>4</v>
      </c>
      <c r="O499" t="str">
        <f>_xlfn.IFS(orders[[#This Row],[Customer Gender]]="M","Male", orders[[#This Row],[Customer Gender]]="F","Female", orders[[#This Row],[Customer Gender]]="O","Other", TRUE,"Unknown")</f>
        <v>Female</v>
      </c>
    </row>
    <row r="500" spans="1:15">
      <c r="A500" t="s">
        <v>588</v>
      </c>
      <c r="B500" t="s">
        <v>54</v>
      </c>
      <c r="C500">
        <v>4</v>
      </c>
      <c r="D500">
        <v>38.6</v>
      </c>
      <c r="E500">
        <v>154.4</v>
      </c>
      <c r="F500" s="1">
        <v>45679</v>
      </c>
      <c r="G500" s="1">
        <v>45680</v>
      </c>
      <c r="H500" t="s">
        <v>23</v>
      </c>
      <c r="I500" t="s">
        <v>18</v>
      </c>
      <c r="J500">
        <v>5</v>
      </c>
      <c r="K500" t="s">
        <v>19</v>
      </c>
      <c r="L500" t="s">
        <v>147</v>
      </c>
      <c r="M500">
        <f>orders[[#This Row],[Ship Date]]-orders[[#This Row],[Order Date]]</f>
        <v>1</v>
      </c>
      <c r="N500">
        <f>WEEKNUM(orders[[#This Row],[Order Date]])</f>
        <v>4</v>
      </c>
      <c r="O500" t="str">
        <f>_xlfn.IFS(orders[[#This Row],[Customer Gender]]="M","Male", orders[[#This Row],[Customer Gender]]="F","Female", orders[[#This Row],[Customer Gender]]="O","Other", TRUE,"Unknown")</f>
        <v>Male</v>
      </c>
    </row>
    <row r="501" spans="1:15">
      <c r="A501" t="s">
        <v>589</v>
      </c>
      <c r="B501" t="s">
        <v>44</v>
      </c>
      <c r="C501">
        <v>7</v>
      </c>
      <c r="D501">
        <v>33.1</v>
      </c>
      <c r="E501">
        <v>231.70000000000002</v>
      </c>
      <c r="F501" s="1">
        <v>45679</v>
      </c>
      <c r="G501" s="1">
        <v>45680</v>
      </c>
      <c r="H501" t="s">
        <v>89</v>
      </c>
      <c r="I501" t="s">
        <v>70</v>
      </c>
      <c r="J501">
        <v>1</v>
      </c>
      <c r="K501" t="s">
        <v>19</v>
      </c>
      <c r="L501" t="s">
        <v>33</v>
      </c>
      <c r="M501">
        <f>orders[[#This Row],[Ship Date]]-orders[[#This Row],[Order Date]]</f>
        <v>1</v>
      </c>
      <c r="N501">
        <f>WEEKNUM(orders[[#This Row],[Order Date]])</f>
        <v>4</v>
      </c>
      <c r="O501" t="str">
        <f>_xlfn.IFS(orders[[#This Row],[Customer Gender]]="M","Male", orders[[#This Row],[Customer Gender]]="F","Female", orders[[#This Row],[Customer Gender]]="O","Other", TRUE,"Unknown")</f>
        <v>Other</v>
      </c>
    </row>
    <row r="502" spans="1:15">
      <c r="A502" t="s">
        <v>590</v>
      </c>
      <c r="B502" t="s">
        <v>54</v>
      </c>
      <c r="C502">
        <v>2</v>
      </c>
      <c r="D502">
        <v>30.5</v>
      </c>
      <c r="E502">
        <v>61</v>
      </c>
      <c r="F502" s="1">
        <v>45679</v>
      </c>
      <c r="G502" s="1">
        <v>45679</v>
      </c>
      <c r="H502" t="s">
        <v>17</v>
      </c>
      <c r="I502" t="s">
        <v>35</v>
      </c>
      <c r="J502">
        <v>3</v>
      </c>
      <c r="K502" t="s">
        <v>19</v>
      </c>
      <c r="L502" t="s">
        <v>33</v>
      </c>
      <c r="M502">
        <f>orders[[#This Row],[Ship Date]]-orders[[#This Row],[Order Date]]</f>
        <v>0</v>
      </c>
      <c r="N502">
        <f>WEEKNUM(orders[[#This Row],[Order Date]])</f>
        <v>4</v>
      </c>
      <c r="O502" t="str">
        <f>_xlfn.IFS(orders[[#This Row],[Customer Gender]]="M","Male", orders[[#This Row],[Customer Gender]]="F","Female", orders[[#This Row],[Customer Gender]]="O","Other", TRUE,"Unknown")</f>
        <v>Unknown</v>
      </c>
    </row>
    <row r="503" spans="1:15">
      <c r="A503" t="s">
        <v>591</v>
      </c>
      <c r="B503" t="s">
        <v>46</v>
      </c>
      <c r="C503">
        <v>2</v>
      </c>
      <c r="D503">
        <v>69.599999999999994</v>
      </c>
      <c r="E503">
        <v>139.19999999999999</v>
      </c>
      <c r="F503" s="1">
        <v>45679</v>
      </c>
      <c r="G503" s="1">
        <v>45680</v>
      </c>
      <c r="H503" t="s">
        <v>23</v>
      </c>
      <c r="I503" t="s">
        <v>18</v>
      </c>
      <c r="J503">
        <v>3</v>
      </c>
      <c r="K503" t="s">
        <v>19</v>
      </c>
      <c r="L503" t="s">
        <v>33</v>
      </c>
      <c r="M503">
        <f>orders[[#This Row],[Ship Date]]-orders[[#This Row],[Order Date]]</f>
        <v>1</v>
      </c>
      <c r="N503">
        <f>WEEKNUM(orders[[#This Row],[Order Date]])</f>
        <v>4</v>
      </c>
      <c r="O503" t="str">
        <f>_xlfn.IFS(orders[[#This Row],[Customer Gender]]="M","Male", orders[[#This Row],[Customer Gender]]="F","Female", orders[[#This Row],[Customer Gender]]="O","Other", TRUE,"Unknown")</f>
        <v>Male</v>
      </c>
    </row>
    <row r="504" spans="1:15">
      <c r="A504" t="s">
        <v>592</v>
      </c>
      <c r="B504" t="s">
        <v>67</v>
      </c>
      <c r="C504">
        <v>1</v>
      </c>
      <c r="D504">
        <v>42.4</v>
      </c>
      <c r="E504">
        <v>42.4</v>
      </c>
      <c r="F504" s="1">
        <v>45679</v>
      </c>
      <c r="G504" s="1">
        <v>45683</v>
      </c>
      <c r="H504" t="s">
        <v>27</v>
      </c>
      <c r="I504" t="s">
        <v>35</v>
      </c>
      <c r="J504">
        <v>4</v>
      </c>
      <c r="K504" t="s">
        <v>19</v>
      </c>
      <c r="L504" t="s">
        <v>33</v>
      </c>
      <c r="M504">
        <f>orders[[#This Row],[Ship Date]]-orders[[#This Row],[Order Date]]</f>
        <v>4</v>
      </c>
      <c r="N504">
        <f>WEEKNUM(orders[[#This Row],[Order Date]])</f>
        <v>4</v>
      </c>
      <c r="O504" t="str">
        <f>_xlfn.IFS(orders[[#This Row],[Customer Gender]]="M","Male", orders[[#This Row],[Customer Gender]]="F","Female", orders[[#This Row],[Customer Gender]]="O","Other", TRUE,"Unknown")</f>
        <v>Female</v>
      </c>
    </row>
    <row r="505" spans="1:15">
      <c r="A505" t="s">
        <v>593</v>
      </c>
      <c r="B505" t="s">
        <v>135</v>
      </c>
      <c r="C505">
        <v>1</v>
      </c>
      <c r="D505">
        <v>32.200000000000003</v>
      </c>
      <c r="E505">
        <v>32.200000000000003</v>
      </c>
      <c r="F505" s="1">
        <v>45679</v>
      </c>
      <c r="G505" s="1">
        <v>45682</v>
      </c>
      <c r="H505" t="s">
        <v>27</v>
      </c>
      <c r="I505" t="s">
        <v>40</v>
      </c>
      <c r="J505">
        <v>3</v>
      </c>
      <c r="K505" t="s">
        <v>19</v>
      </c>
      <c r="L505" t="s">
        <v>33</v>
      </c>
      <c r="M505">
        <f>orders[[#This Row],[Ship Date]]-orders[[#This Row],[Order Date]]</f>
        <v>3</v>
      </c>
      <c r="N505">
        <f>WEEKNUM(orders[[#This Row],[Order Date]])</f>
        <v>4</v>
      </c>
      <c r="O505" t="str">
        <f>_xlfn.IFS(orders[[#This Row],[Customer Gender]]="M","Male", orders[[#This Row],[Customer Gender]]="F","Female", orders[[#This Row],[Customer Gender]]="O","Other", TRUE,"Unknown")</f>
        <v>Female</v>
      </c>
    </row>
    <row r="506" spans="1:15">
      <c r="A506" t="s">
        <v>594</v>
      </c>
      <c r="B506" t="s">
        <v>39</v>
      </c>
      <c r="C506">
        <v>2</v>
      </c>
      <c r="D506">
        <v>41.5</v>
      </c>
      <c r="E506">
        <v>83</v>
      </c>
      <c r="F506" s="1">
        <v>45679</v>
      </c>
      <c r="G506" s="1">
        <v>45682</v>
      </c>
      <c r="H506" t="s">
        <v>27</v>
      </c>
      <c r="I506" t="s">
        <v>18</v>
      </c>
      <c r="J506">
        <v>5</v>
      </c>
      <c r="K506" t="s">
        <v>19</v>
      </c>
      <c r="L506" t="s">
        <v>33</v>
      </c>
      <c r="M506">
        <f>orders[[#This Row],[Ship Date]]-orders[[#This Row],[Order Date]]</f>
        <v>3</v>
      </c>
      <c r="N506">
        <f>WEEKNUM(orders[[#This Row],[Order Date]])</f>
        <v>4</v>
      </c>
      <c r="O506" t="str">
        <f>_xlfn.IFS(orders[[#This Row],[Customer Gender]]="M","Male", orders[[#This Row],[Customer Gender]]="F","Female", orders[[#This Row],[Customer Gender]]="O","Other", TRUE,"Unknown")</f>
        <v>Female</v>
      </c>
    </row>
    <row r="507" spans="1:15">
      <c r="A507" t="s">
        <v>595</v>
      </c>
      <c r="B507" t="s">
        <v>128</v>
      </c>
      <c r="C507">
        <v>9</v>
      </c>
      <c r="D507">
        <v>58.9</v>
      </c>
      <c r="E507">
        <v>530.1</v>
      </c>
      <c r="F507" s="1">
        <v>45679</v>
      </c>
      <c r="G507" s="1">
        <v>45683</v>
      </c>
      <c r="H507" t="s">
        <v>27</v>
      </c>
      <c r="I507" t="s">
        <v>51</v>
      </c>
      <c r="J507">
        <v>4</v>
      </c>
      <c r="K507" t="s">
        <v>19</v>
      </c>
      <c r="L507" t="s">
        <v>33</v>
      </c>
      <c r="M507">
        <f>orders[[#This Row],[Ship Date]]-orders[[#This Row],[Order Date]]</f>
        <v>4</v>
      </c>
      <c r="N507">
        <f>WEEKNUM(orders[[#This Row],[Order Date]])</f>
        <v>4</v>
      </c>
      <c r="O507" t="str">
        <f>_xlfn.IFS(orders[[#This Row],[Customer Gender]]="M","Male", orders[[#This Row],[Customer Gender]]="F","Female", orders[[#This Row],[Customer Gender]]="O","Other", TRUE,"Unknown")</f>
        <v>Female</v>
      </c>
    </row>
    <row r="508" spans="1:15">
      <c r="A508" t="s">
        <v>596</v>
      </c>
      <c r="B508" t="s">
        <v>26</v>
      </c>
      <c r="C508">
        <v>1</v>
      </c>
      <c r="D508">
        <v>57.1</v>
      </c>
      <c r="E508">
        <v>57.1</v>
      </c>
      <c r="F508" s="1">
        <v>45679</v>
      </c>
      <c r="G508" s="1">
        <v>45682</v>
      </c>
      <c r="H508" t="s">
        <v>27</v>
      </c>
      <c r="I508" t="s">
        <v>35</v>
      </c>
      <c r="J508">
        <v>4</v>
      </c>
      <c r="K508" t="s">
        <v>19</v>
      </c>
      <c r="L508" t="s">
        <v>33</v>
      </c>
      <c r="M508">
        <f>orders[[#This Row],[Ship Date]]-orders[[#This Row],[Order Date]]</f>
        <v>3</v>
      </c>
      <c r="N508">
        <f>WEEKNUM(orders[[#This Row],[Order Date]])</f>
        <v>4</v>
      </c>
      <c r="O508" t="str">
        <f>_xlfn.IFS(orders[[#This Row],[Customer Gender]]="M","Male", orders[[#This Row],[Customer Gender]]="F","Female", orders[[#This Row],[Customer Gender]]="O","Other", TRUE,"Unknown")</f>
        <v>Female</v>
      </c>
    </row>
    <row r="509" spans="1:15">
      <c r="A509" t="s">
        <v>597</v>
      </c>
      <c r="B509" t="s">
        <v>39</v>
      </c>
      <c r="C509">
        <v>1</v>
      </c>
      <c r="D509">
        <v>57.2</v>
      </c>
      <c r="E509">
        <v>57.2</v>
      </c>
      <c r="F509" s="1">
        <v>45679</v>
      </c>
      <c r="G509" s="1">
        <v>45681</v>
      </c>
      <c r="H509" t="s">
        <v>23</v>
      </c>
      <c r="I509" t="s">
        <v>35</v>
      </c>
      <c r="J509">
        <v>4</v>
      </c>
      <c r="K509" t="s">
        <v>19</v>
      </c>
      <c r="L509" t="s">
        <v>33</v>
      </c>
      <c r="M509">
        <f>orders[[#This Row],[Ship Date]]-orders[[#This Row],[Order Date]]</f>
        <v>2</v>
      </c>
      <c r="N509">
        <f>WEEKNUM(orders[[#This Row],[Order Date]])</f>
        <v>4</v>
      </c>
      <c r="O509" t="str">
        <f>_xlfn.IFS(orders[[#This Row],[Customer Gender]]="M","Male", orders[[#This Row],[Customer Gender]]="F","Female", orders[[#This Row],[Customer Gender]]="O","Other", TRUE,"Unknown")</f>
        <v>Male</v>
      </c>
    </row>
    <row r="510" spans="1:15">
      <c r="A510" t="s">
        <v>598</v>
      </c>
      <c r="B510" t="s">
        <v>44</v>
      </c>
      <c r="C510">
        <v>2</v>
      </c>
      <c r="D510">
        <v>35.1</v>
      </c>
      <c r="E510">
        <v>70.2</v>
      </c>
      <c r="F510" s="1">
        <v>45679</v>
      </c>
      <c r="G510" s="1">
        <v>45680</v>
      </c>
      <c r="H510" t="s">
        <v>23</v>
      </c>
      <c r="I510" t="s">
        <v>35</v>
      </c>
      <c r="J510">
        <v>4</v>
      </c>
      <c r="K510" t="s">
        <v>19</v>
      </c>
      <c r="L510" t="s">
        <v>55</v>
      </c>
      <c r="M510">
        <f>orders[[#This Row],[Ship Date]]-orders[[#This Row],[Order Date]]</f>
        <v>1</v>
      </c>
      <c r="N510">
        <f>WEEKNUM(orders[[#This Row],[Order Date]])</f>
        <v>4</v>
      </c>
      <c r="O510" t="str">
        <f>_xlfn.IFS(orders[[#This Row],[Customer Gender]]="M","Male", orders[[#This Row],[Customer Gender]]="F","Female", orders[[#This Row],[Customer Gender]]="O","Other", TRUE,"Unknown")</f>
        <v>Male</v>
      </c>
    </row>
    <row r="511" spans="1:15">
      <c r="A511" t="s">
        <v>599</v>
      </c>
      <c r="B511" t="s">
        <v>22</v>
      </c>
      <c r="C511">
        <v>1</v>
      </c>
      <c r="D511">
        <v>52.1</v>
      </c>
      <c r="E511">
        <v>52.1</v>
      </c>
      <c r="F511" s="1">
        <v>45679</v>
      </c>
      <c r="G511" s="1">
        <v>45681</v>
      </c>
      <c r="H511" t="s">
        <v>27</v>
      </c>
      <c r="I511" t="s">
        <v>70</v>
      </c>
      <c r="J511">
        <v>3</v>
      </c>
      <c r="K511" t="s">
        <v>19</v>
      </c>
      <c r="L511" t="s">
        <v>62</v>
      </c>
      <c r="M511">
        <f>orders[[#This Row],[Ship Date]]-orders[[#This Row],[Order Date]]</f>
        <v>2</v>
      </c>
      <c r="N511">
        <f>WEEKNUM(orders[[#This Row],[Order Date]])</f>
        <v>4</v>
      </c>
      <c r="O511" t="str">
        <f>_xlfn.IFS(orders[[#This Row],[Customer Gender]]="M","Male", orders[[#This Row],[Customer Gender]]="F","Female", orders[[#This Row],[Customer Gender]]="O","Other", TRUE,"Unknown")</f>
        <v>Female</v>
      </c>
    </row>
    <row r="512" spans="1:15">
      <c r="A512" t="s">
        <v>600</v>
      </c>
      <c r="B512" t="s">
        <v>76</v>
      </c>
      <c r="C512">
        <v>3</v>
      </c>
      <c r="D512">
        <v>59.8</v>
      </c>
      <c r="E512">
        <v>179.39999999999998</v>
      </c>
      <c r="F512" s="1">
        <v>45679</v>
      </c>
      <c r="G512" s="1">
        <v>45681</v>
      </c>
      <c r="H512" t="s">
        <v>27</v>
      </c>
      <c r="I512" t="s">
        <v>70</v>
      </c>
      <c r="J512">
        <v>3</v>
      </c>
      <c r="K512" t="s">
        <v>19</v>
      </c>
      <c r="L512" t="s">
        <v>62</v>
      </c>
      <c r="M512">
        <f>orders[[#This Row],[Ship Date]]-orders[[#This Row],[Order Date]]</f>
        <v>2</v>
      </c>
      <c r="N512">
        <f>WEEKNUM(orders[[#This Row],[Order Date]])</f>
        <v>4</v>
      </c>
      <c r="O512" t="str">
        <f>_xlfn.IFS(orders[[#This Row],[Customer Gender]]="M","Male", orders[[#This Row],[Customer Gender]]="F","Female", orders[[#This Row],[Customer Gender]]="O","Other", TRUE,"Unknown")</f>
        <v>Female</v>
      </c>
    </row>
    <row r="513" spans="1:15">
      <c r="A513" t="s">
        <v>601</v>
      </c>
      <c r="B513" t="s">
        <v>30</v>
      </c>
      <c r="C513">
        <v>4</v>
      </c>
      <c r="D513">
        <v>83.3</v>
      </c>
      <c r="E513">
        <v>333.2</v>
      </c>
      <c r="F513" s="1">
        <v>45679</v>
      </c>
      <c r="G513" s="1">
        <v>45679</v>
      </c>
      <c r="H513" t="s">
        <v>17</v>
      </c>
      <c r="I513" t="s">
        <v>40</v>
      </c>
      <c r="J513">
        <v>4</v>
      </c>
      <c r="K513" t="s">
        <v>19</v>
      </c>
      <c r="L513" t="s">
        <v>62</v>
      </c>
      <c r="M513">
        <f>orders[[#This Row],[Ship Date]]-orders[[#This Row],[Order Date]]</f>
        <v>0</v>
      </c>
      <c r="N513">
        <f>WEEKNUM(orders[[#This Row],[Order Date]])</f>
        <v>4</v>
      </c>
      <c r="O513" t="str">
        <f>_xlfn.IFS(orders[[#This Row],[Customer Gender]]="M","Male", orders[[#This Row],[Customer Gender]]="F","Female", orders[[#This Row],[Customer Gender]]="O","Other", TRUE,"Unknown")</f>
        <v>Unknown</v>
      </c>
    </row>
    <row r="514" spans="1:15">
      <c r="A514" t="s">
        <v>602</v>
      </c>
      <c r="B514" t="s">
        <v>123</v>
      </c>
      <c r="C514">
        <v>12</v>
      </c>
      <c r="D514">
        <v>41.3</v>
      </c>
      <c r="E514">
        <v>495.59999999999997</v>
      </c>
      <c r="F514" s="1">
        <v>45679</v>
      </c>
      <c r="G514" s="1">
        <v>45680</v>
      </c>
      <c r="H514" t="s">
        <v>27</v>
      </c>
      <c r="I514" t="s">
        <v>35</v>
      </c>
      <c r="J514">
        <v>4</v>
      </c>
      <c r="K514" t="s">
        <v>19</v>
      </c>
      <c r="L514" t="s">
        <v>62</v>
      </c>
      <c r="M514">
        <f>orders[[#This Row],[Ship Date]]-orders[[#This Row],[Order Date]]</f>
        <v>1</v>
      </c>
      <c r="N514">
        <f>WEEKNUM(orders[[#This Row],[Order Date]])</f>
        <v>4</v>
      </c>
      <c r="O514" t="str">
        <f>_xlfn.IFS(orders[[#This Row],[Customer Gender]]="M","Male", orders[[#This Row],[Customer Gender]]="F","Female", orders[[#This Row],[Customer Gender]]="O","Other", TRUE,"Unknown")</f>
        <v>Female</v>
      </c>
    </row>
    <row r="515" spans="1:15">
      <c r="A515" t="s">
        <v>603</v>
      </c>
      <c r="B515" t="s">
        <v>44</v>
      </c>
      <c r="C515">
        <v>5</v>
      </c>
      <c r="D515">
        <v>16</v>
      </c>
      <c r="E515">
        <v>80</v>
      </c>
      <c r="F515" s="1">
        <v>45679</v>
      </c>
      <c r="G515" s="1">
        <v>45681</v>
      </c>
      <c r="H515" t="s">
        <v>23</v>
      </c>
      <c r="I515" t="s">
        <v>70</v>
      </c>
      <c r="J515">
        <v>3</v>
      </c>
      <c r="K515" t="s">
        <v>19</v>
      </c>
      <c r="L515" t="s">
        <v>72</v>
      </c>
      <c r="M515">
        <f>orders[[#This Row],[Ship Date]]-orders[[#This Row],[Order Date]]</f>
        <v>2</v>
      </c>
      <c r="N515">
        <f>WEEKNUM(orders[[#This Row],[Order Date]])</f>
        <v>4</v>
      </c>
      <c r="O515" t="str">
        <f>_xlfn.IFS(orders[[#This Row],[Customer Gender]]="M","Male", orders[[#This Row],[Customer Gender]]="F","Female", orders[[#This Row],[Customer Gender]]="O","Other", TRUE,"Unknown")</f>
        <v>Male</v>
      </c>
    </row>
    <row r="516" spans="1:15">
      <c r="A516" t="s">
        <v>604</v>
      </c>
      <c r="B516" t="s">
        <v>54</v>
      </c>
      <c r="C516">
        <v>2</v>
      </c>
      <c r="D516">
        <v>20.8</v>
      </c>
      <c r="E516">
        <v>41.6</v>
      </c>
      <c r="F516" s="1">
        <v>45680</v>
      </c>
      <c r="G516" s="1">
        <v>45682</v>
      </c>
      <c r="H516" t="s">
        <v>23</v>
      </c>
      <c r="I516" t="s">
        <v>18</v>
      </c>
      <c r="J516">
        <v>5</v>
      </c>
      <c r="K516" t="s">
        <v>19</v>
      </c>
      <c r="L516" t="s">
        <v>77</v>
      </c>
      <c r="M516">
        <f>orders[[#This Row],[Ship Date]]-orders[[#This Row],[Order Date]]</f>
        <v>2</v>
      </c>
      <c r="N516">
        <f>WEEKNUM(orders[[#This Row],[Order Date]])</f>
        <v>4</v>
      </c>
      <c r="O516" t="str">
        <f>_xlfn.IFS(orders[[#This Row],[Customer Gender]]="M","Male", orders[[#This Row],[Customer Gender]]="F","Female", orders[[#This Row],[Customer Gender]]="O","Other", TRUE,"Unknown")</f>
        <v>Male</v>
      </c>
    </row>
    <row r="517" spans="1:15">
      <c r="A517" t="s">
        <v>605</v>
      </c>
      <c r="B517" t="s">
        <v>44</v>
      </c>
      <c r="C517">
        <v>28</v>
      </c>
      <c r="D517">
        <v>27.1</v>
      </c>
      <c r="E517">
        <v>758.80000000000007</v>
      </c>
      <c r="F517" s="1">
        <v>45680</v>
      </c>
      <c r="G517" s="1">
        <v>45681</v>
      </c>
      <c r="H517" t="s">
        <v>17</v>
      </c>
      <c r="I517" t="s">
        <v>51</v>
      </c>
      <c r="J517">
        <v>5</v>
      </c>
      <c r="K517" t="s">
        <v>19</v>
      </c>
      <c r="L517" t="s">
        <v>77</v>
      </c>
      <c r="M517">
        <f>orders[[#This Row],[Ship Date]]-orders[[#This Row],[Order Date]]</f>
        <v>1</v>
      </c>
      <c r="N517">
        <f>WEEKNUM(orders[[#This Row],[Order Date]])</f>
        <v>4</v>
      </c>
      <c r="O517" t="str">
        <f>_xlfn.IFS(orders[[#This Row],[Customer Gender]]="M","Male", orders[[#This Row],[Customer Gender]]="F","Female", orders[[#This Row],[Customer Gender]]="O","Other", TRUE,"Unknown")</f>
        <v>Unknown</v>
      </c>
    </row>
    <row r="518" spans="1:15">
      <c r="A518" t="s">
        <v>606</v>
      </c>
      <c r="B518" t="s">
        <v>54</v>
      </c>
      <c r="C518">
        <v>2</v>
      </c>
      <c r="D518">
        <v>38.9</v>
      </c>
      <c r="E518">
        <v>77.8</v>
      </c>
      <c r="F518" s="1">
        <v>45680</v>
      </c>
      <c r="G518" s="1">
        <v>45682</v>
      </c>
      <c r="H518" t="s">
        <v>27</v>
      </c>
      <c r="I518" t="s">
        <v>18</v>
      </c>
      <c r="J518">
        <v>4</v>
      </c>
      <c r="K518" t="s">
        <v>19</v>
      </c>
      <c r="L518" t="s">
        <v>108</v>
      </c>
      <c r="M518">
        <f>orders[[#This Row],[Ship Date]]-orders[[#This Row],[Order Date]]</f>
        <v>2</v>
      </c>
      <c r="N518">
        <f>WEEKNUM(orders[[#This Row],[Order Date]])</f>
        <v>4</v>
      </c>
      <c r="O518" t="str">
        <f>_xlfn.IFS(orders[[#This Row],[Customer Gender]]="M","Male", orders[[#This Row],[Customer Gender]]="F","Female", orders[[#This Row],[Customer Gender]]="O","Other", TRUE,"Unknown")</f>
        <v>Female</v>
      </c>
    </row>
    <row r="519" spans="1:15">
      <c r="A519" t="s">
        <v>607</v>
      </c>
      <c r="B519" t="s">
        <v>16</v>
      </c>
      <c r="C519">
        <v>2</v>
      </c>
      <c r="D519">
        <v>10.8</v>
      </c>
      <c r="E519">
        <v>21.6</v>
      </c>
      <c r="F519" s="1">
        <v>45680</v>
      </c>
      <c r="G519" s="1">
        <v>45683</v>
      </c>
      <c r="H519" t="s">
        <v>27</v>
      </c>
      <c r="I519" t="s">
        <v>35</v>
      </c>
      <c r="J519">
        <v>5</v>
      </c>
      <c r="K519" t="s">
        <v>19</v>
      </c>
      <c r="L519" t="s">
        <v>608</v>
      </c>
      <c r="M519">
        <f>orders[[#This Row],[Ship Date]]-orders[[#This Row],[Order Date]]</f>
        <v>3</v>
      </c>
      <c r="N519">
        <f>WEEKNUM(orders[[#This Row],[Order Date]])</f>
        <v>4</v>
      </c>
      <c r="O519" t="str">
        <f>_xlfn.IFS(orders[[#This Row],[Customer Gender]]="M","Male", orders[[#This Row],[Customer Gender]]="F","Female", orders[[#This Row],[Customer Gender]]="O","Other", TRUE,"Unknown")</f>
        <v>Female</v>
      </c>
    </row>
    <row r="520" spans="1:15">
      <c r="A520" t="s">
        <v>609</v>
      </c>
      <c r="B520" t="s">
        <v>32</v>
      </c>
      <c r="C520">
        <v>13</v>
      </c>
      <c r="D520">
        <v>48.4</v>
      </c>
      <c r="E520">
        <v>629.19999999999993</v>
      </c>
      <c r="F520" s="1">
        <v>45680</v>
      </c>
      <c r="G520" s="1">
        <v>45684</v>
      </c>
      <c r="H520" t="s">
        <v>27</v>
      </c>
      <c r="I520" t="s">
        <v>18</v>
      </c>
      <c r="J520">
        <v>4</v>
      </c>
      <c r="K520" t="s">
        <v>19</v>
      </c>
      <c r="L520" t="s">
        <v>115</v>
      </c>
      <c r="M520">
        <f>orders[[#This Row],[Ship Date]]-orders[[#This Row],[Order Date]]</f>
        <v>4</v>
      </c>
      <c r="N520">
        <f>WEEKNUM(orders[[#This Row],[Order Date]])</f>
        <v>4</v>
      </c>
      <c r="O520" t="str">
        <f>_xlfn.IFS(orders[[#This Row],[Customer Gender]]="M","Male", orders[[#This Row],[Customer Gender]]="F","Female", orders[[#This Row],[Customer Gender]]="O","Other", TRUE,"Unknown")</f>
        <v>Female</v>
      </c>
    </row>
    <row r="521" spans="1:15">
      <c r="A521" t="s">
        <v>610</v>
      </c>
      <c r="B521" t="s">
        <v>32</v>
      </c>
      <c r="C521">
        <v>3</v>
      </c>
      <c r="D521">
        <v>29.2</v>
      </c>
      <c r="E521">
        <v>87.6</v>
      </c>
      <c r="F521" s="1">
        <v>45680</v>
      </c>
      <c r="G521" s="1">
        <v>45683</v>
      </c>
      <c r="H521" t="s">
        <v>27</v>
      </c>
      <c r="I521" t="s">
        <v>35</v>
      </c>
      <c r="J521">
        <v>3</v>
      </c>
      <c r="K521" t="s">
        <v>19</v>
      </c>
      <c r="L521" t="s">
        <v>28</v>
      </c>
      <c r="M521">
        <f>orders[[#This Row],[Ship Date]]-orders[[#This Row],[Order Date]]</f>
        <v>3</v>
      </c>
      <c r="N521">
        <f>WEEKNUM(orders[[#This Row],[Order Date]])</f>
        <v>4</v>
      </c>
      <c r="O521" t="str">
        <f>_xlfn.IFS(orders[[#This Row],[Customer Gender]]="M","Male", orders[[#This Row],[Customer Gender]]="F","Female", orders[[#This Row],[Customer Gender]]="O","Other", TRUE,"Unknown")</f>
        <v>Female</v>
      </c>
    </row>
    <row r="522" spans="1:15">
      <c r="A522" t="s">
        <v>611</v>
      </c>
      <c r="B522" t="s">
        <v>32</v>
      </c>
      <c r="C522">
        <v>2</v>
      </c>
      <c r="D522">
        <v>25.1</v>
      </c>
      <c r="E522">
        <v>50.2</v>
      </c>
      <c r="F522" s="1">
        <v>45680</v>
      </c>
      <c r="G522" s="1">
        <v>45681</v>
      </c>
      <c r="H522" t="s">
        <v>23</v>
      </c>
      <c r="I522" t="s">
        <v>18</v>
      </c>
      <c r="J522">
        <v>3</v>
      </c>
      <c r="K522" t="s">
        <v>19</v>
      </c>
      <c r="L522" t="s">
        <v>28</v>
      </c>
      <c r="M522">
        <f>orders[[#This Row],[Ship Date]]-orders[[#This Row],[Order Date]]</f>
        <v>1</v>
      </c>
      <c r="N522">
        <f>WEEKNUM(orders[[#This Row],[Order Date]])</f>
        <v>4</v>
      </c>
      <c r="O522" t="str">
        <f>_xlfn.IFS(orders[[#This Row],[Customer Gender]]="M","Male", orders[[#This Row],[Customer Gender]]="F","Female", orders[[#This Row],[Customer Gender]]="O","Other", TRUE,"Unknown")</f>
        <v>Male</v>
      </c>
    </row>
    <row r="523" spans="1:15">
      <c r="A523" t="s">
        <v>612</v>
      </c>
      <c r="B523" t="s">
        <v>42</v>
      </c>
      <c r="C523">
        <v>3</v>
      </c>
      <c r="D523">
        <v>65.599999999999994</v>
      </c>
      <c r="E523">
        <v>196.79999999999998</v>
      </c>
      <c r="F523" s="1">
        <v>45680</v>
      </c>
      <c r="G523" s="1">
        <v>45680</v>
      </c>
      <c r="H523" t="s">
        <v>27</v>
      </c>
      <c r="I523" t="s">
        <v>40</v>
      </c>
      <c r="J523">
        <v>3</v>
      </c>
      <c r="K523" t="s">
        <v>19</v>
      </c>
      <c r="L523" t="s">
        <v>33</v>
      </c>
      <c r="M523">
        <f>orders[[#This Row],[Ship Date]]-orders[[#This Row],[Order Date]]</f>
        <v>0</v>
      </c>
      <c r="N523">
        <f>WEEKNUM(orders[[#This Row],[Order Date]])</f>
        <v>4</v>
      </c>
      <c r="O523" t="str">
        <f>_xlfn.IFS(orders[[#This Row],[Customer Gender]]="M","Male", orders[[#This Row],[Customer Gender]]="F","Female", orders[[#This Row],[Customer Gender]]="O","Other", TRUE,"Unknown")</f>
        <v>Female</v>
      </c>
    </row>
    <row r="524" spans="1:15">
      <c r="A524" t="s">
        <v>613</v>
      </c>
      <c r="B524" t="s">
        <v>26</v>
      </c>
      <c r="C524">
        <v>2</v>
      </c>
      <c r="D524">
        <v>57.3</v>
      </c>
      <c r="E524">
        <v>114.6</v>
      </c>
      <c r="F524" s="1">
        <v>45680</v>
      </c>
      <c r="G524" s="1">
        <v>45680</v>
      </c>
      <c r="H524" t="s">
        <v>17</v>
      </c>
      <c r="I524" t="s">
        <v>18</v>
      </c>
      <c r="J524">
        <v>4</v>
      </c>
      <c r="K524" t="s">
        <v>19</v>
      </c>
      <c r="L524" t="s">
        <v>33</v>
      </c>
      <c r="M524">
        <f>orders[[#This Row],[Ship Date]]-orders[[#This Row],[Order Date]]</f>
        <v>0</v>
      </c>
      <c r="N524">
        <f>WEEKNUM(orders[[#This Row],[Order Date]])</f>
        <v>4</v>
      </c>
      <c r="O524" t="str">
        <f>_xlfn.IFS(orders[[#This Row],[Customer Gender]]="M","Male", orders[[#This Row],[Customer Gender]]="F","Female", orders[[#This Row],[Customer Gender]]="O","Other", TRUE,"Unknown")</f>
        <v>Unknown</v>
      </c>
    </row>
    <row r="525" spans="1:15">
      <c r="A525" t="s">
        <v>614</v>
      </c>
      <c r="B525" t="s">
        <v>46</v>
      </c>
      <c r="C525">
        <v>4</v>
      </c>
      <c r="D525">
        <v>22.4</v>
      </c>
      <c r="E525">
        <v>89.6</v>
      </c>
      <c r="F525" s="1">
        <v>45680</v>
      </c>
      <c r="G525" s="1">
        <v>45681</v>
      </c>
      <c r="H525" t="s">
        <v>27</v>
      </c>
      <c r="I525" t="s">
        <v>40</v>
      </c>
      <c r="J525">
        <v>5</v>
      </c>
      <c r="K525" t="s">
        <v>19</v>
      </c>
      <c r="L525" t="s">
        <v>33</v>
      </c>
      <c r="M525">
        <f>orders[[#This Row],[Ship Date]]-orders[[#This Row],[Order Date]]</f>
        <v>1</v>
      </c>
      <c r="N525">
        <f>WEEKNUM(orders[[#This Row],[Order Date]])</f>
        <v>4</v>
      </c>
      <c r="O525" t="str">
        <f>_xlfn.IFS(orders[[#This Row],[Customer Gender]]="M","Male", orders[[#This Row],[Customer Gender]]="F","Female", orders[[#This Row],[Customer Gender]]="O","Other", TRUE,"Unknown")</f>
        <v>Female</v>
      </c>
    </row>
    <row r="526" spans="1:15">
      <c r="A526" t="s">
        <v>615</v>
      </c>
      <c r="B526" t="s">
        <v>69</v>
      </c>
      <c r="C526">
        <v>9</v>
      </c>
      <c r="D526">
        <v>45.7</v>
      </c>
      <c r="E526">
        <v>411.3</v>
      </c>
      <c r="F526" s="1">
        <v>45680</v>
      </c>
      <c r="G526" s="1">
        <v>45681</v>
      </c>
      <c r="H526" t="s">
        <v>27</v>
      </c>
      <c r="I526" t="s">
        <v>18</v>
      </c>
      <c r="J526">
        <v>4</v>
      </c>
      <c r="K526" t="s">
        <v>19</v>
      </c>
      <c r="L526" t="s">
        <v>33</v>
      </c>
      <c r="M526">
        <f>orders[[#This Row],[Ship Date]]-orders[[#This Row],[Order Date]]</f>
        <v>1</v>
      </c>
      <c r="N526">
        <f>WEEKNUM(orders[[#This Row],[Order Date]])</f>
        <v>4</v>
      </c>
      <c r="O526" t="str">
        <f>_xlfn.IFS(orders[[#This Row],[Customer Gender]]="M","Male", orders[[#This Row],[Customer Gender]]="F","Female", orders[[#This Row],[Customer Gender]]="O","Other", TRUE,"Unknown")</f>
        <v>Female</v>
      </c>
    </row>
    <row r="527" spans="1:15">
      <c r="A527" t="s">
        <v>616</v>
      </c>
      <c r="B527" t="s">
        <v>44</v>
      </c>
      <c r="C527">
        <v>2</v>
      </c>
      <c r="D527">
        <v>29.3</v>
      </c>
      <c r="E527">
        <v>58.6</v>
      </c>
      <c r="F527" s="1">
        <v>45680</v>
      </c>
      <c r="G527" s="1">
        <v>45681</v>
      </c>
      <c r="H527" t="s">
        <v>23</v>
      </c>
      <c r="I527" t="s">
        <v>35</v>
      </c>
      <c r="J527">
        <v>4</v>
      </c>
      <c r="K527" t="s">
        <v>19</v>
      </c>
      <c r="L527" t="s">
        <v>33</v>
      </c>
      <c r="M527">
        <f>orders[[#This Row],[Ship Date]]-orders[[#This Row],[Order Date]]</f>
        <v>1</v>
      </c>
      <c r="N527">
        <f>WEEKNUM(orders[[#This Row],[Order Date]])</f>
        <v>4</v>
      </c>
      <c r="O527" t="str">
        <f>_xlfn.IFS(orders[[#This Row],[Customer Gender]]="M","Male", orders[[#This Row],[Customer Gender]]="F","Female", orders[[#This Row],[Customer Gender]]="O","Other", TRUE,"Unknown")</f>
        <v>Male</v>
      </c>
    </row>
    <row r="528" spans="1:15">
      <c r="A528" t="s">
        <v>617</v>
      </c>
      <c r="B528" t="s">
        <v>146</v>
      </c>
      <c r="C528">
        <v>22</v>
      </c>
      <c r="D528">
        <v>74</v>
      </c>
      <c r="E528">
        <v>1628</v>
      </c>
      <c r="F528" s="1">
        <v>45680</v>
      </c>
      <c r="G528" s="1">
        <v>45681</v>
      </c>
      <c r="H528" t="s">
        <v>23</v>
      </c>
      <c r="I528" t="s">
        <v>18</v>
      </c>
      <c r="J528">
        <v>5</v>
      </c>
      <c r="K528" t="s">
        <v>19</v>
      </c>
      <c r="L528" t="s">
        <v>33</v>
      </c>
      <c r="M528">
        <f>orders[[#This Row],[Ship Date]]-orders[[#This Row],[Order Date]]</f>
        <v>1</v>
      </c>
      <c r="N528">
        <f>WEEKNUM(orders[[#This Row],[Order Date]])</f>
        <v>4</v>
      </c>
      <c r="O528" t="str">
        <f>_xlfn.IFS(orders[[#This Row],[Customer Gender]]="M","Male", orders[[#This Row],[Customer Gender]]="F","Female", orders[[#This Row],[Customer Gender]]="O","Other", TRUE,"Unknown")</f>
        <v>Male</v>
      </c>
    </row>
    <row r="529" spans="1:15">
      <c r="A529" t="s">
        <v>618</v>
      </c>
      <c r="B529" t="s">
        <v>81</v>
      </c>
      <c r="C529">
        <v>2</v>
      </c>
      <c r="D529">
        <v>39.200000000000003</v>
      </c>
      <c r="E529">
        <v>78.400000000000006</v>
      </c>
      <c r="F529" s="1">
        <v>45680</v>
      </c>
      <c r="G529" s="1">
        <v>45682</v>
      </c>
      <c r="H529" t="s">
        <v>27</v>
      </c>
      <c r="I529" t="s">
        <v>35</v>
      </c>
      <c r="J529">
        <v>4</v>
      </c>
      <c r="K529" t="s">
        <v>19</v>
      </c>
      <c r="L529" t="s">
        <v>33</v>
      </c>
      <c r="M529">
        <f>orders[[#This Row],[Ship Date]]-orders[[#This Row],[Order Date]]</f>
        <v>2</v>
      </c>
      <c r="N529">
        <f>WEEKNUM(orders[[#This Row],[Order Date]])</f>
        <v>4</v>
      </c>
      <c r="O529" t="str">
        <f>_xlfn.IFS(orders[[#This Row],[Customer Gender]]="M","Male", orders[[#This Row],[Customer Gender]]="F","Female", orders[[#This Row],[Customer Gender]]="O","Other", TRUE,"Unknown")</f>
        <v>Female</v>
      </c>
    </row>
    <row r="530" spans="1:15">
      <c r="A530" t="s">
        <v>619</v>
      </c>
      <c r="B530" t="s">
        <v>32</v>
      </c>
      <c r="C530">
        <v>17</v>
      </c>
      <c r="D530">
        <v>62.7</v>
      </c>
      <c r="E530">
        <v>1065.9000000000001</v>
      </c>
      <c r="F530" s="1">
        <v>45680</v>
      </c>
      <c r="G530" s="1">
        <v>45681</v>
      </c>
      <c r="H530" t="s">
        <v>27</v>
      </c>
      <c r="I530" t="s">
        <v>40</v>
      </c>
      <c r="J530">
        <v>3</v>
      </c>
      <c r="K530" t="s">
        <v>19</v>
      </c>
      <c r="L530" t="s">
        <v>33</v>
      </c>
      <c r="M530">
        <f>orders[[#This Row],[Ship Date]]-orders[[#This Row],[Order Date]]</f>
        <v>1</v>
      </c>
      <c r="N530">
        <f>WEEKNUM(orders[[#This Row],[Order Date]])</f>
        <v>4</v>
      </c>
      <c r="O530" t="str">
        <f>_xlfn.IFS(orders[[#This Row],[Customer Gender]]="M","Male", orders[[#This Row],[Customer Gender]]="F","Female", orders[[#This Row],[Customer Gender]]="O","Other", TRUE,"Unknown")</f>
        <v>Female</v>
      </c>
    </row>
    <row r="531" spans="1:15">
      <c r="A531" t="s">
        <v>620</v>
      </c>
      <c r="B531" t="s">
        <v>54</v>
      </c>
      <c r="C531">
        <v>2</v>
      </c>
      <c r="D531">
        <v>60.1</v>
      </c>
      <c r="E531">
        <v>120.2</v>
      </c>
      <c r="F531" s="1">
        <v>45680</v>
      </c>
      <c r="G531" s="1">
        <v>45681</v>
      </c>
      <c r="H531" t="s">
        <v>27</v>
      </c>
      <c r="I531" t="s">
        <v>51</v>
      </c>
      <c r="J531">
        <v>4</v>
      </c>
      <c r="K531" t="s">
        <v>19</v>
      </c>
      <c r="L531" t="s">
        <v>33</v>
      </c>
      <c r="M531">
        <f>orders[[#This Row],[Ship Date]]-orders[[#This Row],[Order Date]]</f>
        <v>1</v>
      </c>
      <c r="N531">
        <f>WEEKNUM(orders[[#This Row],[Order Date]])</f>
        <v>4</v>
      </c>
      <c r="O531" t="str">
        <f>_xlfn.IFS(orders[[#This Row],[Customer Gender]]="M","Male", orders[[#This Row],[Customer Gender]]="F","Female", orders[[#This Row],[Customer Gender]]="O","Other", TRUE,"Unknown")</f>
        <v>Female</v>
      </c>
    </row>
    <row r="532" spans="1:15">
      <c r="A532" t="s">
        <v>621</v>
      </c>
      <c r="B532" t="s">
        <v>16</v>
      </c>
      <c r="C532">
        <v>4</v>
      </c>
      <c r="D532">
        <v>11.2</v>
      </c>
      <c r="E532">
        <v>44.8</v>
      </c>
      <c r="F532" s="1">
        <v>45680</v>
      </c>
      <c r="G532" s="1">
        <v>45681</v>
      </c>
      <c r="H532" t="s">
        <v>27</v>
      </c>
      <c r="I532" t="s">
        <v>51</v>
      </c>
      <c r="J532">
        <v>3</v>
      </c>
      <c r="K532" t="s">
        <v>19</v>
      </c>
      <c r="L532" t="s">
        <v>33</v>
      </c>
      <c r="M532">
        <f>orders[[#This Row],[Ship Date]]-orders[[#This Row],[Order Date]]</f>
        <v>1</v>
      </c>
      <c r="N532">
        <f>WEEKNUM(orders[[#This Row],[Order Date]])</f>
        <v>4</v>
      </c>
      <c r="O532" t="str">
        <f>_xlfn.IFS(orders[[#This Row],[Customer Gender]]="M","Male", orders[[#This Row],[Customer Gender]]="F","Female", orders[[#This Row],[Customer Gender]]="O","Other", TRUE,"Unknown")</f>
        <v>Female</v>
      </c>
    </row>
    <row r="533" spans="1:15">
      <c r="A533" t="s">
        <v>622</v>
      </c>
      <c r="B533" t="s">
        <v>44</v>
      </c>
      <c r="C533">
        <v>2</v>
      </c>
      <c r="D533">
        <v>22.9</v>
      </c>
      <c r="E533">
        <v>45.8</v>
      </c>
      <c r="F533" s="1">
        <v>45680</v>
      </c>
      <c r="G533" s="1">
        <v>45681</v>
      </c>
      <c r="H533" t="s">
        <v>27</v>
      </c>
      <c r="I533" t="s">
        <v>18</v>
      </c>
      <c r="J533">
        <v>4</v>
      </c>
      <c r="K533" t="s">
        <v>19</v>
      </c>
      <c r="L533" t="s">
        <v>55</v>
      </c>
      <c r="M533">
        <f>orders[[#This Row],[Ship Date]]-orders[[#This Row],[Order Date]]</f>
        <v>1</v>
      </c>
      <c r="N533">
        <f>WEEKNUM(orders[[#This Row],[Order Date]])</f>
        <v>4</v>
      </c>
      <c r="O533" t="str">
        <f>_xlfn.IFS(orders[[#This Row],[Customer Gender]]="M","Male", orders[[#This Row],[Customer Gender]]="F","Female", orders[[#This Row],[Customer Gender]]="O","Other", TRUE,"Unknown")</f>
        <v>Female</v>
      </c>
    </row>
    <row r="534" spans="1:15">
      <c r="A534" t="s">
        <v>623</v>
      </c>
      <c r="B534" t="s">
        <v>22</v>
      </c>
      <c r="C534">
        <v>2</v>
      </c>
      <c r="D534">
        <v>37.6</v>
      </c>
      <c r="E534">
        <v>75.2</v>
      </c>
      <c r="F534" s="1">
        <v>45680</v>
      </c>
      <c r="G534" s="1">
        <v>45683</v>
      </c>
      <c r="H534" t="s">
        <v>27</v>
      </c>
      <c r="I534" t="s">
        <v>18</v>
      </c>
      <c r="J534">
        <v>4</v>
      </c>
      <c r="K534" t="s">
        <v>19</v>
      </c>
      <c r="L534" t="s">
        <v>55</v>
      </c>
      <c r="M534">
        <f>orders[[#This Row],[Ship Date]]-orders[[#This Row],[Order Date]]</f>
        <v>3</v>
      </c>
      <c r="N534">
        <f>WEEKNUM(orders[[#This Row],[Order Date]])</f>
        <v>4</v>
      </c>
      <c r="O534" t="str">
        <f>_xlfn.IFS(orders[[#This Row],[Customer Gender]]="M","Male", orders[[#This Row],[Customer Gender]]="F","Female", orders[[#This Row],[Customer Gender]]="O","Other", TRUE,"Unknown")</f>
        <v>Female</v>
      </c>
    </row>
    <row r="535" spans="1:15">
      <c r="A535" t="s">
        <v>624</v>
      </c>
      <c r="B535" t="s">
        <v>39</v>
      </c>
      <c r="C535">
        <v>1</v>
      </c>
      <c r="D535">
        <v>42.4</v>
      </c>
      <c r="E535">
        <v>42.4</v>
      </c>
      <c r="F535" s="1">
        <v>45680</v>
      </c>
      <c r="G535" s="1">
        <v>45681</v>
      </c>
      <c r="H535" t="s">
        <v>27</v>
      </c>
      <c r="I535" t="s">
        <v>51</v>
      </c>
      <c r="J535">
        <v>5</v>
      </c>
      <c r="K535" t="s">
        <v>19</v>
      </c>
      <c r="L535" t="s">
        <v>55</v>
      </c>
      <c r="M535">
        <f>orders[[#This Row],[Ship Date]]-orders[[#This Row],[Order Date]]</f>
        <v>1</v>
      </c>
      <c r="N535">
        <f>WEEKNUM(orders[[#This Row],[Order Date]])</f>
        <v>4</v>
      </c>
      <c r="O535" t="str">
        <f>_xlfn.IFS(orders[[#This Row],[Customer Gender]]="M","Male", orders[[#This Row],[Customer Gender]]="F","Female", orders[[#This Row],[Customer Gender]]="O","Other", TRUE,"Unknown")</f>
        <v>Female</v>
      </c>
    </row>
    <row r="536" spans="1:15">
      <c r="A536" t="s">
        <v>625</v>
      </c>
      <c r="B536" t="s">
        <v>44</v>
      </c>
      <c r="C536">
        <v>2</v>
      </c>
      <c r="D536">
        <v>19.600000000000001</v>
      </c>
      <c r="E536">
        <v>39.200000000000003</v>
      </c>
      <c r="F536" s="1">
        <v>45680</v>
      </c>
      <c r="G536" s="1">
        <v>45684</v>
      </c>
      <c r="H536" t="s">
        <v>27</v>
      </c>
      <c r="I536" t="s">
        <v>40</v>
      </c>
      <c r="J536">
        <v>4</v>
      </c>
      <c r="K536" t="s">
        <v>19</v>
      </c>
      <c r="L536" t="s">
        <v>59</v>
      </c>
      <c r="M536">
        <f>orders[[#This Row],[Ship Date]]-orders[[#This Row],[Order Date]]</f>
        <v>4</v>
      </c>
      <c r="N536">
        <f>WEEKNUM(orders[[#This Row],[Order Date]])</f>
        <v>4</v>
      </c>
      <c r="O536" t="str">
        <f>_xlfn.IFS(orders[[#This Row],[Customer Gender]]="M","Male", orders[[#This Row],[Customer Gender]]="F","Female", orders[[#This Row],[Customer Gender]]="O","Other", TRUE,"Unknown")</f>
        <v>Female</v>
      </c>
    </row>
    <row r="537" spans="1:15">
      <c r="A537" t="s">
        <v>626</v>
      </c>
      <c r="B537" t="s">
        <v>46</v>
      </c>
      <c r="C537">
        <v>1</v>
      </c>
      <c r="D537">
        <v>90.5</v>
      </c>
      <c r="E537">
        <v>90.5</v>
      </c>
      <c r="F537" s="1">
        <v>45680</v>
      </c>
      <c r="G537" s="1">
        <v>45683</v>
      </c>
      <c r="H537" t="s">
        <v>27</v>
      </c>
      <c r="I537" t="s">
        <v>40</v>
      </c>
      <c r="J537">
        <v>4</v>
      </c>
      <c r="K537" t="s">
        <v>19</v>
      </c>
      <c r="L537" t="s">
        <v>59</v>
      </c>
      <c r="M537">
        <f>orders[[#This Row],[Ship Date]]-orders[[#This Row],[Order Date]]</f>
        <v>3</v>
      </c>
      <c r="N537">
        <f>WEEKNUM(orders[[#This Row],[Order Date]])</f>
        <v>4</v>
      </c>
      <c r="O537" t="str">
        <f>_xlfn.IFS(orders[[#This Row],[Customer Gender]]="M","Male", orders[[#This Row],[Customer Gender]]="F","Female", orders[[#This Row],[Customer Gender]]="O","Other", TRUE,"Unknown")</f>
        <v>Female</v>
      </c>
    </row>
    <row r="538" spans="1:15">
      <c r="A538" t="s">
        <v>627</v>
      </c>
      <c r="B538" t="s">
        <v>128</v>
      </c>
      <c r="C538">
        <v>11</v>
      </c>
      <c r="D538">
        <v>33.9</v>
      </c>
      <c r="E538">
        <v>372.9</v>
      </c>
      <c r="F538" s="1">
        <v>45680</v>
      </c>
      <c r="G538" s="1">
        <v>45681</v>
      </c>
      <c r="H538" t="s">
        <v>23</v>
      </c>
      <c r="I538" t="s">
        <v>40</v>
      </c>
      <c r="J538">
        <v>3</v>
      </c>
      <c r="K538" t="s">
        <v>19</v>
      </c>
      <c r="L538" t="s">
        <v>59</v>
      </c>
      <c r="M538">
        <f>orders[[#This Row],[Ship Date]]-orders[[#This Row],[Order Date]]</f>
        <v>1</v>
      </c>
      <c r="N538">
        <f>WEEKNUM(orders[[#This Row],[Order Date]])</f>
        <v>4</v>
      </c>
      <c r="O538" t="str">
        <f>_xlfn.IFS(orders[[#This Row],[Customer Gender]]="M","Male", orders[[#This Row],[Customer Gender]]="F","Female", orders[[#This Row],[Customer Gender]]="O","Other", TRUE,"Unknown")</f>
        <v>Male</v>
      </c>
    </row>
    <row r="539" spans="1:15">
      <c r="A539" t="s">
        <v>628</v>
      </c>
      <c r="B539" t="s">
        <v>16</v>
      </c>
      <c r="C539">
        <v>2</v>
      </c>
      <c r="D539">
        <v>32.799999999999997</v>
      </c>
      <c r="E539">
        <v>65.599999999999994</v>
      </c>
      <c r="F539" s="1">
        <v>45680</v>
      </c>
      <c r="G539" s="1">
        <v>45682</v>
      </c>
      <c r="H539" t="s">
        <v>27</v>
      </c>
      <c r="I539" t="s">
        <v>70</v>
      </c>
      <c r="J539">
        <v>2</v>
      </c>
      <c r="K539" t="s">
        <v>19</v>
      </c>
      <c r="L539" t="s">
        <v>62</v>
      </c>
      <c r="M539">
        <f>orders[[#This Row],[Ship Date]]-orders[[#This Row],[Order Date]]</f>
        <v>2</v>
      </c>
      <c r="N539">
        <f>WEEKNUM(orders[[#This Row],[Order Date]])</f>
        <v>4</v>
      </c>
      <c r="O539" t="str">
        <f>_xlfn.IFS(orders[[#This Row],[Customer Gender]]="M","Male", orders[[#This Row],[Customer Gender]]="F","Female", orders[[#This Row],[Customer Gender]]="O","Other", TRUE,"Unknown")</f>
        <v>Female</v>
      </c>
    </row>
    <row r="540" spans="1:15">
      <c r="A540" t="s">
        <v>629</v>
      </c>
      <c r="B540" t="s">
        <v>123</v>
      </c>
      <c r="C540">
        <v>1</v>
      </c>
      <c r="D540">
        <v>49.9</v>
      </c>
      <c r="E540">
        <v>49.9</v>
      </c>
      <c r="F540" s="1">
        <v>45680</v>
      </c>
      <c r="G540" s="1">
        <v>45681</v>
      </c>
      <c r="H540" t="s">
        <v>23</v>
      </c>
      <c r="I540" t="s">
        <v>51</v>
      </c>
      <c r="J540">
        <v>3</v>
      </c>
      <c r="K540" t="s">
        <v>19</v>
      </c>
      <c r="L540" t="s">
        <v>62</v>
      </c>
      <c r="M540">
        <f>orders[[#This Row],[Ship Date]]-orders[[#This Row],[Order Date]]</f>
        <v>1</v>
      </c>
      <c r="N540">
        <f>WEEKNUM(orders[[#This Row],[Order Date]])</f>
        <v>4</v>
      </c>
      <c r="O540" t="str">
        <f>_xlfn.IFS(orders[[#This Row],[Customer Gender]]="M","Male", orders[[#This Row],[Customer Gender]]="F","Female", orders[[#This Row],[Customer Gender]]="O","Other", TRUE,"Unknown")</f>
        <v>Male</v>
      </c>
    </row>
    <row r="541" spans="1:15">
      <c r="A541" t="s">
        <v>630</v>
      </c>
      <c r="B541" t="s">
        <v>42</v>
      </c>
      <c r="C541">
        <v>5</v>
      </c>
      <c r="D541">
        <v>79.2</v>
      </c>
      <c r="E541">
        <v>396</v>
      </c>
      <c r="F541" s="1">
        <v>45680</v>
      </c>
      <c r="G541" s="1">
        <v>45681</v>
      </c>
      <c r="H541" t="s">
        <v>27</v>
      </c>
      <c r="I541" t="s">
        <v>70</v>
      </c>
      <c r="J541">
        <v>4</v>
      </c>
      <c r="K541" t="s">
        <v>19</v>
      </c>
      <c r="L541" t="s">
        <v>62</v>
      </c>
      <c r="M541">
        <f>orders[[#This Row],[Ship Date]]-orders[[#This Row],[Order Date]]</f>
        <v>1</v>
      </c>
      <c r="N541">
        <f>WEEKNUM(orders[[#This Row],[Order Date]])</f>
        <v>4</v>
      </c>
      <c r="O541" t="str">
        <f>_xlfn.IFS(orders[[#This Row],[Customer Gender]]="M","Male", orders[[#This Row],[Customer Gender]]="F","Female", orders[[#This Row],[Customer Gender]]="O","Other", TRUE,"Unknown")</f>
        <v>Female</v>
      </c>
    </row>
    <row r="542" spans="1:15">
      <c r="A542" t="s">
        <v>631</v>
      </c>
      <c r="B542" t="s">
        <v>44</v>
      </c>
      <c r="C542">
        <v>16</v>
      </c>
      <c r="D542">
        <v>19.5</v>
      </c>
      <c r="E542">
        <v>312</v>
      </c>
      <c r="F542" s="1">
        <v>45680</v>
      </c>
      <c r="G542" s="1">
        <v>45682</v>
      </c>
      <c r="H542" t="s">
        <v>23</v>
      </c>
      <c r="I542" t="s">
        <v>51</v>
      </c>
      <c r="J542">
        <v>5</v>
      </c>
      <c r="K542" t="s">
        <v>19</v>
      </c>
      <c r="L542" t="s">
        <v>62</v>
      </c>
      <c r="M542">
        <f>orders[[#This Row],[Ship Date]]-orders[[#This Row],[Order Date]]</f>
        <v>2</v>
      </c>
      <c r="N542">
        <f>WEEKNUM(orders[[#This Row],[Order Date]])</f>
        <v>4</v>
      </c>
      <c r="O542" t="str">
        <f>_xlfn.IFS(orders[[#This Row],[Customer Gender]]="M","Male", orders[[#This Row],[Customer Gender]]="F","Female", orders[[#This Row],[Customer Gender]]="O","Other", TRUE,"Unknown")</f>
        <v>Male</v>
      </c>
    </row>
    <row r="543" spans="1:15">
      <c r="A543" t="s">
        <v>632</v>
      </c>
      <c r="B543" t="s">
        <v>44</v>
      </c>
      <c r="C543">
        <v>4</v>
      </c>
      <c r="D543">
        <v>18</v>
      </c>
      <c r="E543">
        <v>72</v>
      </c>
      <c r="F543" s="1">
        <v>45680</v>
      </c>
      <c r="G543" s="1">
        <v>45681</v>
      </c>
      <c r="H543" t="s">
        <v>23</v>
      </c>
      <c r="I543" t="s">
        <v>35</v>
      </c>
      <c r="J543">
        <v>4</v>
      </c>
      <c r="K543" t="s">
        <v>19</v>
      </c>
      <c r="L543" t="s">
        <v>74</v>
      </c>
      <c r="M543">
        <f>orders[[#This Row],[Ship Date]]-orders[[#This Row],[Order Date]]</f>
        <v>1</v>
      </c>
      <c r="N543">
        <f>WEEKNUM(orders[[#This Row],[Order Date]])</f>
        <v>4</v>
      </c>
      <c r="O543" t="str">
        <f>_xlfn.IFS(orders[[#This Row],[Customer Gender]]="M","Male", orders[[#This Row],[Customer Gender]]="F","Female", orders[[#This Row],[Customer Gender]]="O","Other", TRUE,"Unknown")</f>
        <v>Male</v>
      </c>
    </row>
    <row r="544" spans="1:15">
      <c r="A544" t="s">
        <v>633</v>
      </c>
      <c r="B544" t="s">
        <v>46</v>
      </c>
      <c r="C544">
        <v>3</v>
      </c>
      <c r="D544">
        <v>45.9</v>
      </c>
      <c r="E544">
        <v>137.69999999999999</v>
      </c>
      <c r="F544" s="1">
        <v>45680</v>
      </c>
      <c r="G544" s="1">
        <v>45682</v>
      </c>
      <c r="H544" t="s">
        <v>27</v>
      </c>
      <c r="I544" t="s">
        <v>35</v>
      </c>
      <c r="J544">
        <v>3</v>
      </c>
      <c r="K544" t="s">
        <v>19</v>
      </c>
      <c r="L544" t="s">
        <v>74</v>
      </c>
      <c r="M544">
        <f>orders[[#This Row],[Ship Date]]-orders[[#This Row],[Order Date]]</f>
        <v>2</v>
      </c>
      <c r="N544">
        <f>WEEKNUM(orders[[#This Row],[Order Date]])</f>
        <v>4</v>
      </c>
      <c r="O544" t="str">
        <f>_xlfn.IFS(orders[[#This Row],[Customer Gender]]="M","Male", orders[[#This Row],[Customer Gender]]="F","Female", orders[[#This Row],[Customer Gender]]="O","Other", TRUE,"Unknown")</f>
        <v>Female</v>
      </c>
    </row>
    <row r="545" spans="1:15">
      <c r="A545" t="s">
        <v>634</v>
      </c>
      <c r="B545" t="s">
        <v>67</v>
      </c>
      <c r="C545">
        <v>1</v>
      </c>
      <c r="D545">
        <v>41.2</v>
      </c>
      <c r="E545">
        <v>41.2</v>
      </c>
      <c r="F545" s="1">
        <v>45680</v>
      </c>
      <c r="G545" s="1">
        <v>45682</v>
      </c>
      <c r="H545" t="s">
        <v>27</v>
      </c>
      <c r="I545" t="s">
        <v>35</v>
      </c>
      <c r="J545">
        <v>5</v>
      </c>
      <c r="K545" t="s">
        <v>19</v>
      </c>
      <c r="L545" t="s">
        <v>77</v>
      </c>
      <c r="M545">
        <f>orders[[#This Row],[Ship Date]]-orders[[#This Row],[Order Date]]</f>
        <v>2</v>
      </c>
      <c r="N545">
        <f>WEEKNUM(orders[[#This Row],[Order Date]])</f>
        <v>4</v>
      </c>
      <c r="O545" t="str">
        <f>_xlfn.IFS(orders[[#This Row],[Customer Gender]]="M","Male", orders[[#This Row],[Customer Gender]]="F","Female", orders[[#This Row],[Customer Gender]]="O","Other", TRUE,"Unknown")</f>
        <v>Female</v>
      </c>
    </row>
    <row r="546" spans="1:15">
      <c r="A546" t="s">
        <v>635</v>
      </c>
      <c r="B546" t="s">
        <v>26</v>
      </c>
      <c r="C546">
        <v>10</v>
      </c>
      <c r="D546">
        <v>167.2</v>
      </c>
      <c r="E546">
        <v>1672</v>
      </c>
      <c r="F546" s="1">
        <v>45680</v>
      </c>
      <c r="G546" s="1">
        <v>45682</v>
      </c>
      <c r="H546" t="s">
        <v>27</v>
      </c>
      <c r="I546" t="s">
        <v>40</v>
      </c>
      <c r="J546">
        <v>5</v>
      </c>
      <c r="K546" t="s">
        <v>19</v>
      </c>
      <c r="L546" t="s">
        <v>309</v>
      </c>
      <c r="M546">
        <f>orders[[#This Row],[Ship Date]]-orders[[#This Row],[Order Date]]</f>
        <v>2</v>
      </c>
      <c r="N546">
        <f>WEEKNUM(orders[[#This Row],[Order Date]])</f>
        <v>4</v>
      </c>
      <c r="O546" t="str">
        <f>_xlfn.IFS(orders[[#This Row],[Customer Gender]]="M","Male", orders[[#This Row],[Customer Gender]]="F","Female", orders[[#This Row],[Customer Gender]]="O","Other", TRUE,"Unknown")</f>
        <v>Female</v>
      </c>
    </row>
    <row r="547" spans="1:15">
      <c r="A547" t="s">
        <v>636</v>
      </c>
      <c r="B547" t="s">
        <v>39</v>
      </c>
      <c r="C547">
        <v>30</v>
      </c>
      <c r="D547">
        <v>74.5</v>
      </c>
      <c r="E547">
        <v>2235</v>
      </c>
      <c r="F547" s="1">
        <v>45681</v>
      </c>
      <c r="G547" s="1">
        <v>45684</v>
      </c>
      <c r="H547" t="s">
        <v>27</v>
      </c>
      <c r="I547" t="s">
        <v>35</v>
      </c>
      <c r="J547">
        <v>5</v>
      </c>
      <c r="K547" t="s">
        <v>19</v>
      </c>
      <c r="L547" t="s">
        <v>377</v>
      </c>
      <c r="M547">
        <f>orders[[#This Row],[Ship Date]]-orders[[#This Row],[Order Date]]</f>
        <v>3</v>
      </c>
      <c r="N547">
        <f>WEEKNUM(orders[[#This Row],[Order Date]])</f>
        <v>4</v>
      </c>
      <c r="O547" t="str">
        <f>_xlfn.IFS(orders[[#This Row],[Customer Gender]]="M","Male", orders[[#This Row],[Customer Gender]]="F","Female", orders[[#This Row],[Customer Gender]]="O","Other", TRUE,"Unknown")</f>
        <v>Female</v>
      </c>
    </row>
    <row r="548" spans="1:15">
      <c r="A548" t="s">
        <v>637</v>
      </c>
      <c r="B548" t="s">
        <v>42</v>
      </c>
      <c r="C548">
        <v>4</v>
      </c>
      <c r="D548">
        <v>39.299999999999997</v>
      </c>
      <c r="E548">
        <v>157.19999999999999</v>
      </c>
      <c r="F548" s="1">
        <v>45681</v>
      </c>
      <c r="G548" s="1">
        <v>45682</v>
      </c>
      <c r="H548" t="s">
        <v>17</v>
      </c>
      <c r="I548" t="s">
        <v>40</v>
      </c>
      <c r="J548">
        <v>4</v>
      </c>
      <c r="K548" t="s">
        <v>19</v>
      </c>
      <c r="L548" t="s">
        <v>110</v>
      </c>
      <c r="M548">
        <f>orders[[#This Row],[Ship Date]]-orders[[#This Row],[Order Date]]</f>
        <v>1</v>
      </c>
      <c r="N548">
        <f>WEEKNUM(orders[[#This Row],[Order Date]])</f>
        <v>4</v>
      </c>
      <c r="O548" t="str">
        <f>_xlfn.IFS(orders[[#This Row],[Customer Gender]]="M","Male", orders[[#This Row],[Customer Gender]]="F","Female", orders[[#This Row],[Customer Gender]]="O","Other", TRUE,"Unknown")</f>
        <v>Unknown</v>
      </c>
    </row>
    <row r="549" spans="1:15">
      <c r="A549" t="s">
        <v>638</v>
      </c>
      <c r="B549" t="s">
        <v>46</v>
      </c>
      <c r="C549">
        <v>1</v>
      </c>
      <c r="D549">
        <v>68.5</v>
      </c>
      <c r="E549">
        <v>68.5</v>
      </c>
      <c r="F549" s="1">
        <v>45681</v>
      </c>
      <c r="G549" s="1">
        <v>45684</v>
      </c>
      <c r="H549" t="s">
        <v>23</v>
      </c>
      <c r="I549" t="s">
        <v>35</v>
      </c>
      <c r="J549">
        <v>5</v>
      </c>
      <c r="K549" t="s">
        <v>19</v>
      </c>
      <c r="L549" t="s">
        <v>79</v>
      </c>
      <c r="M549">
        <f>orders[[#This Row],[Ship Date]]-orders[[#This Row],[Order Date]]</f>
        <v>3</v>
      </c>
      <c r="N549">
        <f>WEEKNUM(orders[[#This Row],[Order Date]])</f>
        <v>4</v>
      </c>
      <c r="O549" t="str">
        <f>_xlfn.IFS(orders[[#This Row],[Customer Gender]]="M","Male", orders[[#This Row],[Customer Gender]]="F","Female", orders[[#This Row],[Customer Gender]]="O","Other", TRUE,"Unknown")</f>
        <v>Male</v>
      </c>
    </row>
    <row r="550" spans="1:15">
      <c r="A550" t="s">
        <v>639</v>
      </c>
      <c r="B550" t="s">
        <v>16</v>
      </c>
      <c r="C550">
        <v>3</v>
      </c>
      <c r="D550">
        <v>22.5</v>
      </c>
      <c r="E550">
        <v>67.5</v>
      </c>
      <c r="F550" s="1">
        <v>45681</v>
      </c>
      <c r="G550" s="1">
        <v>45681</v>
      </c>
      <c r="H550" t="s">
        <v>27</v>
      </c>
      <c r="I550" t="s">
        <v>70</v>
      </c>
      <c r="J550">
        <v>4</v>
      </c>
      <c r="K550" t="s">
        <v>19</v>
      </c>
      <c r="L550" t="s">
        <v>82</v>
      </c>
      <c r="M550">
        <f>orders[[#This Row],[Ship Date]]-orders[[#This Row],[Order Date]]</f>
        <v>0</v>
      </c>
      <c r="N550">
        <f>WEEKNUM(orders[[#This Row],[Order Date]])</f>
        <v>4</v>
      </c>
      <c r="O550" t="str">
        <f>_xlfn.IFS(orders[[#This Row],[Customer Gender]]="M","Male", orders[[#This Row],[Customer Gender]]="F","Female", orders[[#This Row],[Customer Gender]]="O","Other", TRUE,"Unknown")</f>
        <v>Female</v>
      </c>
    </row>
    <row r="551" spans="1:15">
      <c r="A551" t="s">
        <v>640</v>
      </c>
      <c r="B551" t="s">
        <v>22</v>
      </c>
      <c r="C551">
        <v>1</v>
      </c>
      <c r="D551">
        <v>48</v>
      </c>
      <c r="E551">
        <v>48</v>
      </c>
      <c r="F551" s="1">
        <v>45681</v>
      </c>
      <c r="G551" s="1">
        <v>45682</v>
      </c>
      <c r="H551" t="s">
        <v>89</v>
      </c>
      <c r="I551" t="s">
        <v>70</v>
      </c>
      <c r="J551">
        <v>3</v>
      </c>
      <c r="K551" t="s">
        <v>19</v>
      </c>
      <c r="L551" t="s">
        <v>641</v>
      </c>
      <c r="M551">
        <f>orders[[#This Row],[Ship Date]]-orders[[#This Row],[Order Date]]</f>
        <v>1</v>
      </c>
      <c r="N551">
        <f>WEEKNUM(orders[[#This Row],[Order Date]])</f>
        <v>4</v>
      </c>
      <c r="O551" t="str">
        <f>_xlfn.IFS(orders[[#This Row],[Customer Gender]]="M","Male", orders[[#This Row],[Customer Gender]]="F","Female", orders[[#This Row],[Customer Gender]]="O","Other", TRUE,"Unknown")</f>
        <v>Other</v>
      </c>
    </row>
    <row r="552" spans="1:15">
      <c r="A552" t="s">
        <v>642</v>
      </c>
      <c r="B552" t="s">
        <v>39</v>
      </c>
      <c r="C552">
        <v>1</v>
      </c>
      <c r="D552">
        <v>94</v>
      </c>
      <c r="E552">
        <v>94</v>
      </c>
      <c r="F552" s="1">
        <v>45681</v>
      </c>
      <c r="G552" s="1">
        <v>45682</v>
      </c>
      <c r="H552" t="s">
        <v>23</v>
      </c>
      <c r="I552" t="s">
        <v>51</v>
      </c>
      <c r="J552">
        <v>3</v>
      </c>
      <c r="K552" t="s">
        <v>19</v>
      </c>
      <c r="L552" t="s">
        <v>24</v>
      </c>
      <c r="M552">
        <f>orders[[#This Row],[Ship Date]]-orders[[#This Row],[Order Date]]</f>
        <v>1</v>
      </c>
      <c r="N552">
        <f>WEEKNUM(orders[[#This Row],[Order Date]])</f>
        <v>4</v>
      </c>
      <c r="O552" t="str">
        <f>_xlfn.IFS(orders[[#This Row],[Customer Gender]]="M","Male", orders[[#This Row],[Customer Gender]]="F","Female", orders[[#This Row],[Customer Gender]]="O","Other", TRUE,"Unknown")</f>
        <v>Male</v>
      </c>
    </row>
    <row r="553" spans="1:15">
      <c r="A553" t="s">
        <v>643</v>
      </c>
      <c r="B553" t="s">
        <v>44</v>
      </c>
      <c r="C553">
        <v>3</v>
      </c>
      <c r="D553">
        <v>21.9</v>
      </c>
      <c r="E553">
        <v>65.699999999999989</v>
      </c>
      <c r="F553" s="1">
        <v>45681</v>
      </c>
      <c r="G553" s="1">
        <v>45682</v>
      </c>
      <c r="H553" t="s">
        <v>27</v>
      </c>
      <c r="I553" t="s">
        <v>18</v>
      </c>
      <c r="J553">
        <v>4</v>
      </c>
      <c r="K553" t="s">
        <v>19</v>
      </c>
      <c r="L553" t="s">
        <v>587</v>
      </c>
      <c r="M553">
        <f>orders[[#This Row],[Ship Date]]-orders[[#This Row],[Order Date]]</f>
        <v>1</v>
      </c>
      <c r="N553">
        <f>WEEKNUM(orders[[#This Row],[Order Date]])</f>
        <v>4</v>
      </c>
      <c r="O553" t="str">
        <f>_xlfn.IFS(orders[[#This Row],[Customer Gender]]="M","Male", orders[[#This Row],[Customer Gender]]="F","Female", orders[[#This Row],[Customer Gender]]="O","Other", TRUE,"Unknown")</f>
        <v>Female</v>
      </c>
    </row>
    <row r="554" spans="1:15">
      <c r="A554" t="s">
        <v>644</v>
      </c>
      <c r="B554" t="s">
        <v>39</v>
      </c>
      <c r="C554">
        <v>7</v>
      </c>
      <c r="D554">
        <v>64.900000000000006</v>
      </c>
      <c r="E554">
        <v>454.30000000000007</v>
      </c>
      <c r="F554" s="1">
        <v>45681</v>
      </c>
      <c r="G554" s="1">
        <v>45682</v>
      </c>
      <c r="H554" t="s">
        <v>27</v>
      </c>
      <c r="I554" t="s">
        <v>18</v>
      </c>
      <c r="J554">
        <v>4</v>
      </c>
      <c r="K554" t="s">
        <v>19</v>
      </c>
      <c r="L554" t="s">
        <v>33</v>
      </c>
      <c r="M554">
        <f>orders[[#This Row],[Ship Date]]-orders[[#This Row],[Order Date]]</f>
        <v>1</v>
      </c>
      <c r="N554">
        <f>WEEKNUM(orders[[#This Row],[Order Date]])</f>
        <v>4</v>
      </c>
      <c r="O554" t="str">
        <f>_xlfn.IFS(orders[[#This Row],[Customer Gender]]="M","Male", orders[[#This Row],[Customer Gender]]="F","Female", orders[[#This Row],[Customer Gender]]="O","Other", TRUE,"Unknown")</f>
        <v>Female</v>
      </c>
    </row>
    <row r="555" spans="1:15">
      <c r="A555" t="s">
        <v>645</v>
      </c>
      <c r="B555" t="s">
        <v>69</v>
      </c>
      <c r="C555">
        <v>1</v>
      </c>
      <c r="D555">
        <v>52.9</v>
      </c>
      <c r="E555">
        <v>52.9</v>
      </c>
      <c r="F555" s="1">
        <v>45681</v>
      </c>
      <c r="G555" s="1">
        <v>45681</v>
      </c>
      <c r="H555" t="s">
        <v>27</v>
      </c>
      <c r="I555" t="s">
        <v>35</v>
      </c>
      <c r="J555">
        <v>3</v>
      </c>
      <c r="K555" t="s">
        <v>19</v>
      </c>
      <c r="L555" t="s">
        <v>33</v>
      </c>
      <c r="M555">
        <f>orders[[#This Row],[Ship Date]]-orders[[#This Row],[Order Date]]</f>
        <v>0</v>
      </c>
      <c r="N555">
        <f>WEEKNUM(orders[[#This Row],[Order Date]])</f>
        <v>4</v>
      </c>
      <c r="O555" t="str">
        <f>_xlfn.IFS(orders[[#This Row],[Customer Gender]]="M","Male", orders[[#This Row],[Customer Gender]]="F","Female", orders[[#This Row],[Customer Gender]]="O","Other", TRUE,"Unknown")</f>
        <v>Female</v>
      </c>
    </row>
    <row r="556" spans="1:15">
      <c r="A556" t="s">
        <v>646</v>
      </c>
      <c r="B556" t="s">
        <v>44</v>
      </c>
      <c r="C556">
        <v>3</v>
      </c>
      <c r="D556">
        <v>25.5</v>
      </c>
      <c r="E556">
        <v>76.5</v>
      </c>
      <c r="F556" s="1">
        <v>45681</v>
      </c>
      <c r="G556" s="1">
        <v>45682</v>
      </c>
      <c r="H556" t="s">
        <v>27</v>
      </c>
      <c r="I556" t="s">
        <v>35</v>
      </c>
      <c r="J556">
        <v>5</v>
      </c>
      <c r="K556" t="s">
        <v>19</v>
      </c>
      <c r="L556" t="s">
        <v>33</v>
      </c>
      <c r="M556">
        <f>orders[[#This Row],[Ship Date]]-orders[[#This Row],[Order Date]]</f>
        <v>1</v>
      </c>
      <c r="N556">
        <f>WEEKNUM(orders[[#This Row],[Order Date]])</f>
        <v>4</v>
      </c>
      <c r="O556" t="str">
        <f>_xlfn.IFS(orders[[#This Row],[Customer Gender]]="M","Male", orders[[#This Row],[Customer Gender]]="F","Female", orders[[#This Row],[Customer Gender]]="O","Other", TRUE,"Unknown")</f>
        <v>Female</v>
      </c>
    </row>
    <row r="557" spans="1:15">
      <c r="A557" t="s">
        <v>647</v>
      </c>
      <c r="B557" t="s">
        <v>39</v>
      </c>
      <c r="C557">
        <v>3</v>
      </c>
      <c r="D557">
        <v>51.9</v>
      </c>
      <c r="E557">
        <v>155.69999999999999</v>
      </c>
      <c r="F557" s="1">
        <v>45681</v>
      </c>
      <c r="G557" s="1">
        <v>45682</v>
      </c>
      <c r="H557" t="s">
        <v>27</v>
      </c>
      <c r="I557" t="s">
        <v>51</v>
      </c>
      <c r="J557">
        <v>4</v>
      </c>
      <c r="K557" t="s">
        <v>19</v>
      </c>
      <c r="L557" t="s">
        <v>33</v>
      </c>
      <c r="M557">
        <f>orders[[#This Row],[Ship Date]]-orders[[#This Row],[Order Date]]</f>
        <v>1</v>
      </c>
      <c r="N557">
        <f>WEEKNUM(orders[[#This Row],[Order Date]])</f>
        <v>4</v>
      </c>
      <c r="O557" t="str">
        <f>_xlfn.IFS(orders[[#This Row],[Customer Gender]]="M","Male", orders[[#This Row],[Customer Gender]]="F","Female", orders[[#This Row],[Customer Gender]]="O","Other", TRUE,"Unknown")</f>
        <v>Female</v>
      </c>
    </row>
    <row r="558" spans="1:15">
      <c r="A558" t="s">
        <v>648</v>
      </c>
      <c r="B558" t="s">
        <v>37</v>
      </c>
      <c r="C558">
        <v>1</v>
      </c>
      <c r="D558">
        <v>46.3</v>
      </c>
      <c r="E558">
        <v>46.3</v>
      </c>
      <c r="F558" s="1">
        <v>45681</v>
      </c>
      <c r="G558" s="1">
        <v>45684</v>
      </c>
      <c r="H558" t="s">
        <v>27</v>
      </c>
      <c r="I558" t="s">
        <v>70</v>
      </c>
      <c r="J558">
        <v>4</v>
      </c>
      <c r="K558" t="s">
        <v>19</v>
      </c>
      <c r="L558" t="s">
        <v>33</v>
      </c>
      <c r="M558">
        <f>orders[[#This Row],[Ship Date]]-orders[[#This Row],[Order Date]]</f>
        <v>3</v>
      </c>
      <c r="N558">
        <f>WEEKNUM(orders[[#This Row],[Order Date]])</f>
        <v>4</v>
      </c>
      <c r="O558" t="str">
        <f>_xlfn.IFS(orders[[#This Row],[Customer Gender]]="M","Male", orders[[#This Row],[Customer Gender]]="F","Female", orders[[#This Row],[Customer Gender]]="O","Other", TRUE,"Unknown")</f>
        <v>Female</v>
      </c>
    </row>
    <row r="559" spans="1:15">
      <c r="A559" t="s">
        <v>649</v>
      </c>
      <c r="B559" t="s">
        <v>39</v>
      </c>
      <c r="C559">
        <v>2</v>
      </c>
      <c r="D559">
        <v>68.2</v>
      </c>
      <c r="E559">
        <v>136.4</v>
      </c>
      <c r="F559" s="1">
        <v>45681</v>
      </c>
      <c r="G559" s="1">
        <v>45683</v>
      </c>
      <c r="H559" t="s">
        <v>27</v>
      </c>
      <c r="I559" t="s">
        <v>51</v>
      </c>
      <c r="J559">
        <v>4</v>
      </c>
      <c r="K559" t="s">
        <v>19</v>
      </c>
      <c r="L559" t="s">
        <v>33</v>
      </c>
      <c r="M559">
        <f>orders[[#This Row],[Ship Date]]-orders[[#This Row],[Order Date]]</f>
        <v>2</v>
      </c>
      <c r="N559">
        <f>WEEKNUM(orders[[#This Row],[Order Date]])</f>
        <v>4</v>
      </c>
      <c r="O559" t="str">
        <f>_xlfn.IFS(orders[[#This Row],[Customer Gender]]="M","Male", orders[[#This Row],[Customer Gender]]="F","Female", orders[[#This Row],[Customer Gender]]="O","Other", TRUE,"Unknown")</f>
        <v>Female</v>
      </c>
    </row>
    <row r="560" spans="1:15">
      <c r="A560" t="s">
        <v>650</v>
      </c>
      <c r="B560" t="s">
        <v>22</v>
      </c>
      <c r="C560">
        <v>1</v>
      </c>
      <c r="D560">
        <v>40.299999999999997</v>
      </c>
      <c r="E560">
        <v>40.299999999999997</v>
      </c>
      <c r="F560" s="1">
        <v>45681</v>
      </c>
      <c r="G560" s="1">
        <v>45682</v>
      </c>
      <c r="H560" t="s">
        <v>23</v>
      </c>
      <c r="I560" t="s">
        <v>18</v>
      </c>
      <c r="J560">
        <v>3</v>
      </c>
      <c r="K560" t="s">
        <v>19</v>
      </c>
      <c r="L560" t="s">
        <v>33</v>
      </c>
      <c r="M560">
        <f>orders[[#This Row],[Ship Date]]-orders[[#This Row],[Order Date]]</f>
        <v>1</v>
      </c>
      <c r="N560">
        <f>WEEKNUM(orders[[#This Row],[Order Date]])</f>
        <v>4</v>
      </c>
      <c r="O560" t="str">
        <f>_xlfn.IFS(orders[[#This Row],[Customer Gender]]="M","Male", orders[[#This Row],[Customer Gender]]="F","Female", orders[[#This Row],[Customer Gender]]="O","Other", TRUE,"Unknown")</f>
        <v>Male</v>
      </c>
    </row>
    <row r="561" spans="1:15">
      <c r="A561" t="s">
        <v>651</v>
      </c>
      <c r="B561" t="s">
        <v>26</v>
      </c>
      <c r="C561">
        <v>3</v>
      </c>
      <c r="D561">
        <v>91.3</v>
      </c>
      <c r="E561">
        <v>273.89999999999998</v>
      </c>
      <c r="F561" s="1">
        <v>45681</v>
      </c>
      <c r="G561" s="1">
        <v>45686</v>
      </c>
      <c r="H561" t="s">
        <v>23</v>
      </c>
      <c r="I561" t="s">
        <v>18</v>
      </c>
      <c r="J561">
        <v>5</v>
      </c>
      <c r="K561" t="s">
        <v>19</v>
      </c>
      <c r="L561" t="s">
        <v>55</v>
      </c>
      <c r="M561">
        <f>orders[[#This Row],[Ship Date]]-orders[[#This Row],[Order Date]]</f>
        <v>5</v>
      </c>
      <c r="N561">
        <f>WEEKNUM(orders[[#This Row],[Order Date]])</f>
        <v>4</v>
      </c>
      <c r="O561" t="str">
        <f>_xlfn.IFS(orders[[#This Row],[Customer Gender]]="M","Male", orders[[#This Row],[Customer Gender]]="F","Female", orders[[#This Row],[Customer Gender]]="O","Other", TRUE,"Unknown")</f>
        <v>Male</v>
      </c>
    </row>
    <row r="562" spans="1:15">
      <c r="A562" t="s">
        <v>652</v>
      </c>
      <c r="B562" t="s">
        <v>16</v>
      </c>
      <c r="C562">
        <v>3</v>
      </c>
      <c r="D562">
        <v>11.9</v>
      </c>
      <c r="E562">
        <v>35.700000000000003</v>
      </c>
      <c r="F562" s="1">
        <v>45681</v>
      </c>
      <c r="G562" s="1">
        <v>45682</v>
      </c>
      <c r="H562" t="s">
        <v>27</v>
      </c>
      <c r="I562" t="s">
        <v>18</v>
      </c>
      <c r="J562">
        <v>3</v>
      </c>
      <c r="K562" t="s">
        <v>19</v>
      </c>
      <c r="L562" t="s">
        <v>55</v>
      </c>
      <c r="M562">
        <f>orders[[#This Row],[Ship Date]]-orders[[#This Row],[Order Date]]</f>
        <v>1</v>
      </c>
      <c r="N562">
        <f>WEEKNUM(orders[[#This Row],[Order Date]])</f>
        <v>4</v>
      </c>
      <c r="O562" t="str">
        <f>_xlfn.IFS(orders[[#This Row],[Customer Gender]]="M","Male", orders[[#This Row],[Customer Gender]]="F","Female", orders[[#This Row],[Customer Gender]]="O","Other", TRUE,"Unknown")</f>
        <v>Female</v>
      </c>
    </row>
    <row r="563" spans="1:15">
      <c r="A563" t="s">
        <v>653</v>
      </c>
      <c r="B563" t="s">
        <v>26</v>
      </c>
      <c r="C563">
        <v>2</v>
      </c>
      <c r="D563">
        <v>63.5</v>
      </c>
      <c r="E563">
        <v>127</v>
      </c>
      <c r="F563" s="1">
        <v>45681</v>
      </c>
      <c r="G563" s="1">
        <v>45683</v>
      </c>
      <c r="H563" t="s">
        <v>23</v>
      </c>
      <c r="I563" t="s">
        <v>35</v>
      </c>
      <c r="J563">
        <v>4</v>
      </c>
      <c r="K563" t="s">
        <v>19</v>
      </c>
      <c r="L563" t="s">
        <v>55</v>
      </c>
      <c r="M563">
        <f>orders[[#This Row],[Ship Date]]-orders[[#This Row],[Order Date]]</f>
        <v>2</v>
      </c>
      <c r="N563">
        <f>WEEKNUM(orders[[#This Row],[Order Date]])</f>
        <v>4</v>
      </c>
      <c r="O563" t="str">
        <f>_xlfn.IFS(orders[[#This Row],[Customer Gender]]="M","Male", orders[[#This Row],[Customer Gender]]="F","Female", orders[[#This Row],[Customer Gender]]="O","Other", TRUE,"Unknown")</f>
        <v>Male</v>
      </c>
    </row>
    <row r="564" spans="1:15">
      <c r="A564" t="s">
        <v>654</v>
      </c>
      <c r="B564" t="s">
        <v>32</v>
      </c>
      <c r="C564">
        <v>2</v>
      </c>
      <c r="D564">
        <v>27.1</v>
      </c>
      <c r="E564">
        <v>54.2</v>
      </c>
      <c r="F564" s="1">
        <v>45681</v>
      </c>
      <c r="G564" s="1">
        <v>45684</v>
      </c>
      <c r="H564" t="s">
        <v>23</v>
      </c>
      <c r="I564" t="s">
        <v>40</v>
      </c>
      <c r="J564">
        <v>5</v>
      </c>
      <c r="K564" t="s">
        <v>19</v>
      </c>
      <c r="L564" t="s">
        <v>55</v>
      </c>
      <c r="M564">
        <f>orders[[#This Row],[Ship Date]]-orders[[#This Row],[Order Date]]</f>
        <v>3</v>
      </c>
      <c r="N564">
        <f>WEEKNUM(orders[[#This Row],[Order Date]])</f>
        <v>4</v>
      </c>
      <c r="O564" t="str">
        <f>_xlfn.IFS(orders[[#This Row],[Customer Gender]]="M","Male", orders[[#This Row],[Customer Gender]]="F","Female", orders[[#This Row],[Customer Gender]]="O","Other", TRUE,"Unknown")</f>
        <v>Male</v>
      </c>
    </row>
    <row r="565" spans="1:15">
      <c r="A565" t="s">
        <v>655</v>
      </c>
      <c r="B565" t="s">
        <v>22</v>
      </c>
      <c r="C565">
        <v>2</v>
      </c>
      <c r="D565">
        <v>82.1</v>
      </c>
      <c r="E565">
        <v>164.2</v>
      </c>
      <c r="F565" s="1">
        <v>45682</v>
      </c>
      <c r="G565" s="1">
        <v>45685</v>
      </c>
      <c r="H565" t="s">
        <v>23</v>
      </c>
      <c r="I565" t="s">
        <v>35</v>
      </c>
      <c r="J565">
        <v>3</v>
      </c>
      <c r="K565" t="s">
        <v>19</v>
      </c>
      <c r="L565" t="s">
        <v>59</v>
      </c>
      <c r="M565">
        <f>orders[[#This Row],[Ship Date]]-orders[[#This Row],[Order Date]]</f>
        <v>3</v>
      </c>
      <c r="N565">
        <f>WEEKNUM(orders[[#This Row],[Order Date]])</f>
        <v>4</v>
      </c>
      <c r="O565" t="str">
        <f>_xlfn.IFS(orders[[#This Row],[Customer Gender]]="M","Male", orders[[#This Row],[Customer Gender]]="F","Female", orders[[#This Row],[Customer Gender]]="O","Other", TRUE,"Unknown")</f>
        <v>Male</v>
      </c>
    </row>
    <row r="566" spans="1:15">
      <c r="A566" t="s">
        <v>656</v>
      </c>
      <c r="B566" t="s">
        <v>30</v>
      </c>
      <c r="C566">
        <v>5</v>
      </c>
      <c r="D566">
        <v>42.9</v>
      </c>
      <c r="E566">
        <v>214.5</v>
      </c>
      <c r="F566" s="1">
        <v>45682</v>
      </c>
      <c r="G566" s="1">
        <v>45684</v>
      </c>
      <c r="H566" t="s">
        <v>27</v>
      </c>
      <c r="I566" t="s">
        <v>35</v>
      </c>
      <c r="J566">
        <v>4</v>
      </c>
      <c r="K566" t="s">
        <v>19</v>
      </c>
      <c r="L566" t="s">
        <v>62</v>
      </c>
      <c r="M566">
        <f>orders[[#This Row],[Ship Date]]-orders[[#This Row],[Order Date]]</f>
        <v>2</v>
      </c>
      <c r="N566">
        <f>WEEKNUM(orders[[#This Row],[Order Date]])</f>
        <v>4</v>
      </c>
      <c r="O566" t="str">
        <f>_xlfn.IFS(orders[[#This Row],[Customer Gender]]="M","Male", orders[[#This Row],[Customer Gender]]="F","Female", orders[[#This Row],[Customer Gender]]="O","Other", TRUE,"Unknown")</f>
        <v>Female</v>
      </c>
    </row>
    <row r="567" spans="1:15">
      <c r="A567" t="s">
        <v>657</v>
      </c>
      <c r="B567" t="s">
        <v>44</v>
      </c>
      <c r="C567">
        <v>11</v>
      </c>
      <c r="D567">
        <v>37.9</v>
      </c>
      <c r="E567">
        <v>416.9</v>
      </c>
      <c r="F567" s="1">
        <v>45682</v>
      </c>
      <c r="G567" s="1">
        <v>45689</v>
      </c>
      <c r="H567" t="s">
        <v>23</v>
      </c>
      <c r="I567" t="s">
        <v>18</v>
      </c>
      <c r="J567">
        <v>4</v>
      </c>
      <c r="K567" t="s">
        <v>19</v>
      </c>
      <c r="L567" t="s">
        <v>62</v>
      </c>
      <c r="M567">
        <f>orders[[#This Row],[Ship Date]]-orders[[#This Row],[Order Date]]</f>
        <v>7</v>
      </c>
      <c r="N567">
        <f>WEEKNUM(orders[[#This Row],[Order Date]])</f>
        <v>4</v>
      </c>
      <c r="O567" t="str">
        <f>_xlfn.IFS(orders[[#This Row],[Customer Gender]]="M","Male", orders[[#This Row],[Customer Gender]]="F","Female", orders[[#This Row],[Customer Gender]]="O","Other", TRUE,"Unknown")</f>
        <v>Male</v>
      </c>
    </row>
    <row r="568" spans="1:15">
      <c r="A568" t="s">
        <v>658</v>
      </c>
      <c r="B568" t="s">
        <v>16</v>
      </c>
      <c r="C568">
        <v>1</v>
      </c>
      <c r="D568">
        <v>22.4</v>
      </c>
      <c r="E568">
        <v>22.4</v>
      </c>
      <c r="F568" s="1">
        <v>45682</v>
      </c>
      <c r="G568" s="1">
        <v>45683</v>
      </c>
      <c r="H568" t="s">
        <v>27</v>
      </c>
      <c r="I568" t="s">
        <v>18</v>
      </c>
      <c r="J568">
        <v>3</v>
      </c>
      <c r="K568" t="s">
        <v>19</v>
      </c>
      <c r="L568" t="s">
        <v>103</v>
      </c>
      <c r="M568">
        <f>orders[[#This Row],[Ship Date]]-orders[[#This Row],[Order Date]]</f>
        <v>1</v>
      </c>
      <c r="N568">
        <f>WEEKNUM(orders[[#This Row],[Order Date]])</f>
        <v>4</v>
      </c>
      <c r="O568" t="str">
        <f>_xlfn.IFS(orders[[#This Row],[Customer Gender]]="M","Male", orders[[#This Row],[Customer Gender]]="F","Female", orders[[#This Row],[Customer Gender]]="O","Other", TRUE,"Unknown")</f>
        <v>Female</v>
      </c>
    </row>
    <row r="569" spans="1:15">
      <c r="A569" t="s">
        <v>659</v>
      </c>
      <c r="B569" t="s">
        <v>26</v>
      </c>
      <c r="C569">
        <v>13</v>
      </c>
      <c r="D569">
        <v>79.900000000000006</v>
      </c>
      <c r="E569">
        <v>1038.7</v>
      </c>
      <c r="F569" s="1">
        <v>45682</v>
      </c>
      <c r="G569" s="1">
        <v>45695</v>
      </c>
      <c r="H569" t="s">
        <v>27</v>
      </c>
      <c r="I569" t="s">
        <v>51</v>
      </c>
      <c r="J569">
        <v>3</v>
      </c>
      <c r="K569" t="s">
        <v>19</v>
      </c>
      <c r="L569" t="s">
        <v>77</v>
      </c>
      <c r="M569">
        <f>orders[[#This Row],[Ship Date]]-orders[[#This Row],[Order Date]]</f>
        <v>13</v>
      </c>
      <c r="N569">
        <f>WEEKNUM(orders[[#This Row],[Order Date]])</f>
        <v>4</v>
      </c>
      <c r="O569" t="str">
        <f>_xlfn.IFS(orders[[#This Row],[Customer Gender]]="M","Male", orders[[#This Row],[Customer Gender]]="F","Female", orders[[#This Row],[Customer Gender]]="O","Other", TRUE,"Unknown")</f>
        <v>Female</v>
      </c>
    </row>
    <row r="570" spans="1:15">
      <c r="A570" t="s">
        <v>660</v>
      </c>
      <c r="B570" t="s">
        <v>22</v>
      </c>
      <c r="C570">
        <v>1</v>
      </c>
      <c r="D570">
        <v>70.599999999999994</v>
      </c>
      <c r="E570">
        <v>70.599999999999994</v>
      </c>
      <c r="F570" s="1">
        <v>45682</v>
      </c>
      <c r="G570" s="1">
        <v>45685</v>
      </c>
      <c r="H570" t="s">
        <v>27</v>
      </c>
      <c r="I570" t="s">
        <v>18</v>
      </c>
      <c r="J570">
        <v>3</v>
      </c>
      <c r="K570" t="s">
        <v>19</v>
      </c>
      <c r="L570" t="s">
        <v>77</v>
      </c>
      <c r="M570">
        <f>orders[[#This Row],[Ship Date]]-orders[[#This Row],[Order Date]]</f>
        <v>3</v>
      </c>
      <c r="N570">
        <f>WEEKNUM(orders[[#This Row],[Order Date]])</f>
        <v>4</v>
      </c>
      <c r="O570" t="str">
        <f>_xlfn.IFS(orders[[#This Row],[Customer Gender]]="M","Male", orders[[#This Row],[Customer Gender]]="F","Female", orders[[#This Row],[Customer Gender]]="O","Other", TRUE,"Unknown")</f>
        <v>Female</v>
      </c>
    </row>
    <row r="571" spans="1:15">
      <c r="A571" t="s">
        <v>661</v>
      </c>
      <c r="B571" t="s">
        <v>39</v>
      </c>
      <c r="C571">
        <v>1</v>
      </c>
      <c r="D571">
        <v>49.5</v>
      </c>
      <c r="E571">
        <v>49.5</v>
      </c>
      <c r="F571" s="1">
        <v>45682</v>
      </c>
      <c r="G571" s="1">
        <v>45684</v>
      </c>
      <c r="H571" t="s">
        <v>23</v>
      </c>
      <c r="I571" t="s">
        <v>18</v>
      </c>
      <c r="J571">
        <v>4</v>
      </c>
      <c r="K571" t="s">
        <v>19</v>
      </c>
      <c r="L571" t="s">
        <v>82</v>
      </c>
      <c r="M571">
        <f>orders[[#This Row],[Ship Date]]-orders[[#This Row],[Order Date]]</f>
        <v>2</v>
      </c>
      <c r="N571">
        <f>WEEKNUM(orders[[#This Row],[Order Date]])</f>
        <v>4</v>
      </c>
      <c r="O571" t="str">
        <f>_xlfn.IFS(orders[[#This Row],[Customer Gender]]="M","Male", orders[[#This Row],[Customer Gender]]="F","Female", orders[[#This Row],[Customer Gender]]="O","Other", TRUE,"Unknown")</f>
        <v>Male</v>
      </c>
    </row>
    <row r="572" spans="1:15">
      <c r="A572" t="s">
        <v>662</v>
      </c>
      <c r="B572" t="s">
        <v>26</v>
      </c>
      <c r="C572">
        <v>2</v>
      </c>
      <c r="D572">
        <v>96.6</v>
      </c>
      <c r="E572">
        <v>193.2</v>
      </c>
      <c r="F572" s="1">
        <v>45682</v>
      </c>
      <c r="G572" s="1">
        <v>45684</v>
      </c>
      <c r="H572" t="s">
        <v>23</v>
      </c>
      <c r="I572" t="s">
        <v>18</v>
      </c>
      <c r="J572">
        <v>4</v>
      </c>
      <c r="K572" t="s">
        <v>19</v>
      </c>
      <c r="L572" t="s">
        <v>115</v>
      </c>
      <c r="M572">
        <f>orders[[#This Row],[Ship Date]]-orders[[#This Row],[Order Date]]</f>
        <v>2</v>
      </c>
      <c r="N572">
        <f>WEEKNUM(orders[[#This Row],[Order Date]])</f>
        <v>4</v>
      </c>
      <c r="O572" t="str">
        <f>_xlfn.IFS(orders[[#This Row],[Customer Gender]]="M","Male", orders[[#This Row],[Customer Gender]]="F","Female", orders[[#This Row],[Customer Gender]]="O","Other", TRUE,"Unknown")</f>
        <v>Male</v>
      </c>
    </row>
    <row r="573" spans="1:15">
      <c r="A573" t="s">
        <v>663</v>
      </c>
      <c r="B573" t="s">
        <v>39</v>
      </c>
      <c r="C573">
        <v>2</v>
      </c>
      <c r="D573">
        <v>52.8</v>
      </c>
      <c r="E573">
        <v>105.6</v>
      </c>
      <c r="F573" s="1">
        <v>45682</v>
      </c>
      <c r="G573" s="1">
        <v>45683</v>
      </c>
      <c r="H573" t="s">
        <v>27</v>
      </c>
      <c r="I573" t="s">
        <v>35</v>
      </c>
      <c r="J573">
        <v>3</v>
      </c>
      <c r="K573" t="s">
        <v>19</v>
      </c>
      <c r="L573" t="s">
        <v>115</v>
      </c>
      <c r="M573">
        <f>orders[[#This Row],[Ship Date]]-orders[[#This Row],[Order Date]]</f>
        <v>1</v>
      </c>
      <c r="N573">
        <f>WEEKNUM(orders[[#This Row],[Order Date]])</f>
        <v>4</v>
      </c>
      <c r="O573" t="str">
        <f>_xlfn.IFS(orders[[#This Row],[Customer Gender]]="M","Male", orders[[#This Row],[Customer Gender]]="F","Female", orders[[#This Row],[Customer Gender]]="O","Other", TRUE,"Unknown")</f>
        <v>Female</v>
      </c>
    </row>
    <row r="574" spans="1:15">
      <c r="A574" t="s">
        <v>664</v>
      </c>
      <c r="B574" t="s">
        <v>26</v>
      </c>
      <c r="C574">
        <v>1</v>
      </c>
      <c r="D574">
        <v>101.7</v>
      </c>
      <c r="E574">
        <v>101.7</v>
      </c>
      <c r="F574" s="1">
        <v>45682</v>
      </c>
      <c r="G574" s="1">
        <v>45683</v>
      </c>
      <c r="H574" t="s">
        <v>23</v>
      </c>
      <c r="I574" t="s">
        <v>18</v>
      </c>
      <c r="J574">
        <v>4</v>
      </c>
      <c r="K574" t="s">
        <v>19</v>
      </c>
      <c r="L574" t="s">
        <v>24</v>
      </c>
      <c r="M574">
        <f>orders[[#This Row],[Ship Date]]-orders[[#This Row],[Order Date]]</f>
        <v>1</v>
      </c>
      <c r="N574">
        <f>WEEKNUM(orders[[#This Row],[Order Date]])</f>
        <v>4</v>
      </c>
      <c r="O574" t="str">
        <f>_xlfn.IFS(orders[[#This Row],[Customer Gender]]="M","Male", orders[[#This Row],[Customer Gender]]="F","Female", orders[[#This Row],[Customer Gender]]="O","Other", TRUE,"Unknown")</f>
        <v>Male</v>
      </c>
    </row>
    <row r="575" spans="1:15">
      <c r="A575" t="s">
        <v>665</v>
      </c>
      <c r="B575" t="s">
        <v>32</v>
      </c>
      <c r="C575">
        <v>5</v>
      </c>
      <c r="D575">
        <v>26.9</v>
      </c>
      <c r="E575">
        <v>134.5</v>
      </c>
      <c r="F575" s="1">
        <v>45682</v>
      </c>
      <c r="G575" s="1">
        <v>45687</v>
      </c>
      <c r="H575" t="s">
        <v>27</v>
      </c>
      <c r="I575" t="s">
        <v>35</v>
      </c>
      <c r="J575">
        <v>3</v>
      </c>
      <c r="K575" t="s">
        <v>19</v>
      </c>
      <c r="L575" t="s">
        <v>147</v>
      </c>
      <c r="M575">
        <f>orders[[#This Row],[Ship Date]]-orders[[#This Row],[Order Date]]</f>
        <v>5</v>
      </c>
      <c r="N575">
        <f>WEEKNUM(orders[[#This Row],[Order Date]])</f>
        <v>4</v>
      </c>
      <c r="O575" t="str">
        <f>_xlfn.IFS(orders[[#This Row],[Customer Gender]]="M","Male", orders[[#This Row],[Customer Gender]]="F","Female", orders[[#This Row],[Customer Gender]]="O","Other", TRUE,"Unknown")</f>
        <v>Female</v>
      </c>
    </row>
    <row r="576" spans="1:15">
      <c r="A576" t="s">
        <v>666</v>
      </c>
      <c r="B576" t="s">
        <v>26</v>
      </c>
      <c r="C576">
        <v>4</v>
      </c>
      <c r="D576">
        <v>211</v>
      </c>
      <c r="E576">
        <v>844</v>
      </c>
      <c r="F576" s="1">
        <v>45682</v>
      </c>
      <c r="G576" s="1">
        <v>45682</v>
      </c>
      <c r="H576" t="s">
        <v>27</v>
      </c>
      <c r="I576" t="s">
        <v>35</v>
      </c>
      <c r="J576">
        <v>3</v>
      </c>
      <c r="K576" t="s">
        <v>19</v>
      </c>
      <c r="L576" t="s">
        <v>33</v>
      </c>
      <c r="M576">
        <f>orders[[#This Row],[Ship Date]]-orders[[#This Row],[Order Date]]</f>
        <v>0</v>
      </c>
      <c r="N576">
        <f>WEEKNUM(orders[[#This Row],[Order Date]])</f>
        <v>4</v>
      </c>
      <c r="O576" t="str">
        <f>_xlfn.IFS(orders[[#This Row],[Customer Gender]]="M","Male", orders[[#This Row],[Customer Gender]]="F","Female", orders[[#This Row],[Customer Gender]]="O","Other", TRUE,"Unknown")</f>
        <v>Female</v>
      </c>
    </row>
    <row r="577" spans="1:15">
      <c r="A577" t="s">
        <v>667</v>
      </c>
      <c r="B577" t="s">
        <v>16</v>
      </c>
      <c r="C577">
        <v>4</v>
      </c>
      <c r="D577">
        <v>21.1</v>
      </c>
      <c r="E577">
        <v>84.4</v>
      </c>
      <c r="F577" s="1">
        <v>45682</v>
      </c>
      <c r="G577" s="1">
        <v>45685</v>
      </c>
      <c r="H577" t="s">
        <v>23</v>
      </c>
      <c r="I577" t="s">
        <v>70</v>
      </c>
      <c r="J577">
        <v>4</v>
      </c>
      <c r="K577" t="s">
        <v>19</v>
      </c>
      <c r="L577" t="s">
        <v>33</v>
      </c>
      <c r="M577">
        <f>orders[[#This Row],[Ship Date]]-orders[[#This Row],[Order Date]]</f>
        <v>3</v>
      </c>
      <c r="N577">
        <f>WEEKNUM(orders[[#This Row],[Order Date]])</f>
        <v>4</v>
      </c>
      <c r="O577" t="str">
        <f>_xlfn.IFS(orders[[#This Row],[Customer Gender]]="M","Male", orders[[#This Row],[Customer Gender]]="F","Female", orders[[#This Row],[Customer Gender]]="O","Other", TRUE,"Unknown")</f>
        <v>Male</v>
      </c>
    </row>
    <row r="578" spans="1:15">
      <c r="A578" t="s">
        <v>668</v>
      </c>
      <c r="B578" t="s">
        <v>54</v>
      </c>
      <c r="C578">
        <v>1</v>
      </c>
      <c r="D578">
        <v>26.6</v>
      </c>
      <c r="E578">
        <v>26.6</v>
      </c>
      <c r="F578" s="1">
        <v>45682</v>
      </c>
      <c r="G578" s="1">
        <v>45684</v>
      </c>
      <c r="H578" t="s">
        <v>23</v>
      </c>
      <c r="I578" t="s">
        <v>18</v>
      </c>
      <c r="J578">
        <v>2</v>
      </c>
      <c r="K578" t="s">
        <v>19</v>
      </c>
      <c r="L578" t="s">
        <v>33</v>
      </c>
      <c r="M578">
        <f>orders[[#This Row],[Ship Date]]-orders[[#This Row],[Order Date]]</f>
        <v>2</v>
      </c>
      <c r="N578">
        <f>WEEKNUM(orders[[#This Row],[Order Date]])</f>
        <v>4</v>
      </c>
      <c r="O578" t="str">
        <f>_xlfn.IFS(orders[[#This Row],[Customer Gender]]="M","Male", orders[[#This Row],[Customer Gender]]="F","Female", orders[[#This Row],[Customer Gender]]="O","Other", TRUE,"Unknown")</f>
        <v>Male</v>
      </c>
    </row>
    <row r="579" spans="1:15">
      <c r="A579" t="s">
        <v>669</v>
      </c>
      <c r="B579" t="s">
        <v>69</v>
      </c>
      <c r="C579">
        <v>4</v>
      </c>
      <c r="D579">
        <v>51.2</v>
      </c>
      <c r="E579">
        <v>204.8</v>
      </c>
      <c r="F579" s="1">
        <v>45682</v>
      </c>
      <c r="G579" s="1">
        <v>45683</v>
      </c>
      <c r="H579" t="s">
        <v>27</v>
      </c>
      <c r="I579" t="s">
        <v>51</v>
      </c>
      <c r="J579">
        <v>4</v>
      </c>
      <c r="K579" t="s">
        <v>19</v>
      </c>
      <c r="L579" t="s">
        <v>670</v>
      </c>
      <c r="M579">
        <f>orders[[#This Row],[Ship Date]]-orders[[#This Row],[Order Date]]</f>
        <v>1</v>
      </c>
      <c r="N579">
        <f>WEEKNUM(orders[[#This Row],[Order Date]])</f>
        <v>4</v>
      </c>
      <c r="O579" t="str">
        <f>_xlfn.IFS(orders[[#This Row],[Customer Gender]]="M","Male", orders[[#This Row],[Customer Gender]]="F","Female", orders[[#This Row],[Customer Gender]]="O","Other", TRUE,"Unknown")</f>
        <v>Female</v>
      </c>
    </row>
    <row r="580" spans="1:15">
      <c r="A580" t="s">
        <v>671</v>
      </c>
      <c r="B580" t="s">
        <v>16</v>
      </c>
      <c r="C580">
        <v>5</v>
      </c>
      <c r="D580">
        <v>10.6</v>
      </c>
      <c r="E580">
        <v>53</v>
      </c>
      <c r="F580" s="1">
        <v>45682</v>
      </c>
      <c r="G580" s="1">
        <v>45686</v>
      </c>
      <c r="H580" t="s">
        <v>27</v>
      </c>
      <c r="I580" t="s">
        <v>18</v>
      </c>
      <c r="J580">
        <v>4</v>
      </c>
      <c r="K580" t="s">
        <v>19</v>
      </c>
      <c r="L580" t="s">
        <v>62</v>
      </c>
      <c r="M580">
        <f>orders[[#This Row],[Ship Date]]-orders[[#This Row],[Order Date]]</f>
        <v>4</v>
      </c>
      <c r="N580">
        <f>WEEKNUM(orders[[#This Row],[Order Date]])</f>
        <v>4</v>
      </c>
      <c r="O580" t="str">
        <f>_xlfn.IFS(orders[[#This Row],[Customer Gender]]="M","Male", orders[[#This Row],[Customer Gender]]="F","Female", orders[[#This Row],[Customer Gender]]="O","Other", TRUE,"Unknown")</f>
        <v>Female</v>
      </c>
    </row>
    <row r="581" spans="1:15">
      <c r="A581" t="s">
        <v>672</v>
      </c>
      <c r="B581" t="s">
        <v>39</v>
      </c>
      <c r="C581">
        <v>3</v>
      </c>
      <c r="D581">
        <v>43.4</v>
      </c>
      <c r="E581">
        <v>130.19999999999999</v>
      </c>
      <c r="F581" s="1">
        <v>45682</v>
      </c>
      <c r="G581" s="1">
        <v>45685</v>
      </c>
      <c r="H581" t="s">
        <v>27</v>
      </c>
      <c r="I581" t="s">
        <v>70</v>
      </c>
      <c r="J581">
        <v>4</v>
      </c>
      <c r="K581" t="s">
        <v>19</v>
      </c>
      <c r="L581" t="s">
        <v>62</v>
      </c>
      <c r="M581">
        <f>orders[[#This Row],[Ship Date]]-orders[[#This Row],[Order Date]]</f>
        <v>3</v>
      </c>
      <c r="N581">
        <f>WEEKNUM(orders[[#This Row],[Order Date]])</f>
        <v>4</v>
      </c>
      <c r="O581" t="str">
        <f>_xlfn.IFS(orders[[#This Row],[Customer Gender]]="M","Male", orders[[#This Row],[Customer Gender]]="F","Female", orders[[#This Row],[Customer Gender]]="O","Other", TRUE,"Unknown")</f>
        <v>Female</v>
      </c>
    </row>
    <row r="582" spans="1:15">
      <c r="A582" t="s">
        <v>673</v>
      </c>
      <c r="B582" t="s">
        <v>69</v>
      </c>
      <c r="C582">
        <v>1</v>
      </c>
      <c r="D582">
        <v>80</v>
      </c>
      <c r="E582">
        <v>80</v>
      </c>
      <c r="F582" s="1">
        <v>45682</v>
      </c>
      <c r="G582" s="1">
        <v>45682</v>
      </c>
      <c r="H582" t="s">
        <v>27</v>
      </c>
      <c r="I582" t="s">
        <v>18</v>
      </c>
      <c r="J582">
        <v>5</v>
      </c>
      <c r="K582" t="s">
        <v>19</v>
      </c>
      <c r="L582" t="s">
        <v>62</v>
      </c>
      <c r="M582">
        <f>orders[[#This Row],[Ship Date]]-orders[[#This Row],[Order Date]]</f>
        <v>0</v>
      </c>
      <c r="N582">
        <f>WEEKNUM(orders[[#This Row],[Order Date]])</f>
        <v>4</v>
      </c>
      <c r="O582" t="str">
        <f>_xlfn.IFS(orders[[#This Row],[Customer Gender]]="M","Male", orders[[#This Row],[Customer Gender]]="F","Female", orders[[#This Row],[Customer Gender]]="O","Other", TRUE,"Unknown")</f>
        <v>Female</v>
      </c>
    </row>
    <row r="583" spans="1:15">
      <c r="A583" t="s">
        <v>674</v>
      </c>
      <c r="B583" t="s">
        <v>54</v>
      </c>
      <c r="C583">
        <v>4</v>
      </c>
      <c r="D583">
        <v>64.7</v>
      </c>
      <c r="E583">
        <v>258.8</v>
      </c>
      <c r="F583" s="1">
        <v>45682</v>
      </c>
      <c r="G583" s="1">
        <v>45684</v>
      </c>
      <c r="H583" t="s">
        <v>27</v>
      </c>
      <c r="I583" t="s">
        <v>35</v>
      </c>
      <c r="J583">
        <v>2</v>
      </c>
      <c r="K583" t="s">
        <v>19</v>
      </c>
      <c r="L583" t="s">
        <v>62</v>
      </c>
      <c r="M583">
        <f>orders[[#This Row],[Ship Date]]-orders[[#This Row],[Order Date]]</f>
        <v>2</v>
      </c>
      <c r="N583">
        <f>WEEKNUM(orders[[#This Row],[Order Date]])</f>
        <v>4</v>
      </c>
      <c r="O583" t="str">
        <f>_xlfn.IFS(orders[[#This Row],[Customer Gender]]="M","Male", orders[[#This Row],[Customer Gender]]="F","Female", orders[[#This Row],[Customer Gender]]="O","Other", TRUE,"Unknown")</f>
        <v>Female</v>
      </c>
    </row>
    <row r="584" spans="1:15">
      <c r="A584" t="s">
        <v>675</v>
      </c>
      <c r="B584" t="s">
        <v>44</v>
      </c>
      <c r="C584">
        <v>11</v>
      </c>
      <c r="D584">
        <v>26.3</v>
      </c>
      <c r="E584">
        <v>289.3</v>
      </c>
      <c r="F584" s="1">
        <v>45683</v>
      </c>
      <c r="G584" s="1">
        <v>45683</v>
      </c>
      <c r="H584" t="s">
        <v>27</v>
      </c>
      <c r="I584" t="s">
        <v>70</v>
      </c>
      <c r="J584">
        <v>3</v>
      </c>
      <c r="K584" t="s">
        <v>19</v>
      </c>
      <c r="L584" t="s">
        <v>201</v>
      </c>
      <c r="M584">
        <f>orders[[#This Row],[Ship Date]]-orders[[#This Row],[Order Date]]</f>
        <v>0</v>
      </c>
      <c r="N584">
        <f>WEEKNUM(orders[[#This Row],[Order Date]])</f>
        <v>5</v>
      </c>
      <c r="O584" t="str">
        <f>_xlfn.IFS(orders[[#This Row],[Customer Gender]]="M","Male", orders[[#This Row],[Customer Gender]]="F","Female", orders[[#This Row],[Customer Gender]]="O","Other", TRUE,"Unknown")</f>
        <v>Female</v>
      </c>
    </row>
    <row r="585" spans="1:15">
      <c r="A585" t="s">
        <v>676</v>
      </c>
      <c r="B585" t="s">
        <v>54</v>
      </c>
      <c r="C585">
        <v>1</v>
      </c>
      <c r="D585">
        <v>28.5</v>
      </c>
      <c r="E585">
        <v>28.5</v>
      </c>
      <c r="F585" s="1">
        <v>45683</v>
      </c>
      <c r="G585" s="1">
        <v>45683</v>
      </c>
      <c r="H585" t="s">
        <v>23</v>
      </c>
      <c r="I585" t="s">
        <v>18</v>
      </c>
      <c r="J585">
        <v>3</v>
      </c>
      <c r="K585" t="s">
        <v>19</v>
      </c>
      <c r="L585" t="s">
        <v>72</v>
      </c>
      <c r="M585">
        <f>orders[[#This Row],[Ship Date]]-orders[[#This Row],[Order Date]]</f>
        <v>0</v>
      </c>
      <c r="N585">
        <f>WEEKNUM(orders[[#This Row],[Order Date]])</f>
        <v>5</v>
      </c>
      <c r="O585" t="str">
        <f>_xlfn.IFS(orders[[#This Row],[Customer Gender]]="M","Male", orders[[#This Row],[Customer Gender]]="F","Female", orders[[#This Row],[Customer Gender]]="O","Other", TRUE,"Unknown")</f>
        <v>Male</v>
      </c>
    </row>
    <row r="586" spans="1:15">
      <c r="A586" t="s">
        <v>677</v>
      </c>
      <c r="B586" t="s">
        <v>135</v>
      </c>
      <c r="C586">
        <v>1</v>
      </c>
      <c r="D586">
        <v>47.8</v>
      </c>
      <c r="E586">
        <v>47.8</v>
      </c>
      <c r="F586" s="1">
        <v>45683</v>
      </c>
      <c r="G586" s="1">
        <v>45685</v>
      </c>
      <c r="H586" t="s">
        <v>27</v>
      </c>
      <c r="I586" t="s">
        <v>18</v>
      </c>
      <c r="J586">
        <v>3</v>
      </c>
      <c r="K586" t="s">
        <v>19</v>
      </c>
      <c r="L586" t="s">
        <v>72</v>
      </c>
      <c r="M586">
        <f>orders[[#This Row],[Ship Date]]-orders[[#This Row],[Order Date]]</f>
        <v>2</v>
      </c>
      <c r="N586">
        <f>WEEKNUM(orders[[#This Row],[Order Date]])</f>
        <v>5</v>
      </c>
      <c r="O586" t="str">
        <f>_xlfn.IFS(orders[[#This Row],[Customer Gender]]="M","Male", orders[[#This Row],[Customer Gender]]="F","Female", orders[[#This Row],[Customer Gender]]="O","Other", TRUE,"Unknown")</f>
        <v>Female</v>
      </c>
    </row>
    <row r="587" spans="1:15">
      <c r="A587" t="s">
        <v>678</v>
      </c>
      <c r="B587" t="s">
        <v>54</v>
      </c>
      <c r="C587">
        <v>3</v>
      </c>
      <c r="D587">
        <v>42.8</v>
      </c>
      <c r="E587">
        <v>128.39999999999998</v>
      </c>
      <c r="F587" s="1">
        <v>45683</v>
      </c>
      <c r="G587" s="1">
        <v>45686</v>
      </c>
      <c r="H587" t="s">
        <v>27</v>
      </c>
      <c r="I587" t="s">
        <v>70</v>
      </c>
      <c r="J587">
        <v>3</v>
      </c>
      <c r="K587" t="s">
        <v>19</v>
      </c>
      <c r="L587" t="s">
        <v>77</v>
      </c>
      <c r="M587">
        <f>orders[[#This Row],[Ship Date]]-orders[[#This Row],[Order Date]]</f>
        <v>3</v>
      </c>
      <c r="N587">
        <f>WEEKNUM(orders[[#This Row],[Order Date]])</f>
        <v>5</v>
      </c>
      <c r="O587" t="str">
        <f>_xlfn.IFS(orders[[#This Row],[Customer Gender]]="M","Male", orders[[#This Row],[Customer Gender]]="F","Female", orders[[#This Row],[Customer Gender]]="O","Other", TRUE,"Unknown")</f>
        <v>Female</v>
      </c>
    </row>
    <row r="588" spans="1:15">
      <c r="A588" t="s">
        <v>679</v>
      </c>
      <c r="B588" t="s">
        <v>39</v>
      </c>
      <c r="C588">
        <v>5</v>
      </c>
      <c r="D588">
        <v>46.8</v>
      </c>
      <c r="E588">
        <v>234</v>
      </c>
      <c r="F588" s="1">
        <v>45683</v>
      </c>
      <c r="G588" s="1">
        <v>45688</v>
      </c>
      <c r="H588" t="s">
        <v>27</v>
      </c>
      <c r="I588" t="s">
        <v>35</v>
      </c>
      <c r="J588">
        <v>5</v>
      </c>
      <c r="K588" t="s">
        <v>19</v>
      </c>
      <c r="L588" t="s">
        <v>77</v>
      </c>
      <c r="M588">
        <f>orders[[#This Row],[Ship Date]]-orders[[#This Row],[Order Date]]</f>
        <v>5</v>
      </c>
      <c r="N588">
        <f>WEEKNUM(orders[[#This Row],[Order Date]])</f>
        <v>5</v>
      </c>
      <c r="O588" t="str">
        <f>_xlfn.IFS(orders[[#This Row],[Customer Gender]]="M","Male", orders[[#This Row],[Customer Gender]]="F","Female", orders[[#This Row],[Customer Gender]]="O","Other", TRUE,"Unknown")</f>
        <v>Female</v>
      </c>
    </row>
    <row r="589" spans="1:15">
      <c r="A589" t="s">
        <v>680</v>
      </c>
      <c r="B589" t="s">
        <v>22</v>
      </c>
      <c r="C589">
        <v>10</v>
      </c>
      <c r="D589">
        <v>64.099999999999994</v>
      </c>
      <c r="E589">
        <v>641</v>
      </c>
      <c r="F589" s="1">
        <v>45683</v>
      </c>
      <c r="G589" s="1">
        <v>45684</v>
      </c>
      <c r="H589" t="s">
        <v>23</v>
      </c>
      <c r="I589" t="s">
        <v>35</v>
      </c>
      <c r="J589">
        <v>4</v>
      </c>
      <c r="K589" t="s">
        <v>19</v>
      </c>
      <c r="L589" t="s">
        <v>77</v>
      </c>
      <c r="M589">
        <f>orders[[#This Row],[Ship Date]]-orders[[#This Row],[Order Date]]</f>
        <v>1</v>
      </c>
      <c r="N589">
        <f>WEEKNUM(orders[[#This Row],[Order Date]])</f>
        <v>5</v>
      </c>
      <c r="O589" t="str">
        <f>_xlfn.IFS(orders[[#This Row],[Customer Gender]]="M","Male", orders[[#This Row],[Customer Gender]]="F","Female", orders[[#This Row],[Customer Gender]]="O","Other", TRUE,"Unknown")</f>
        <v>Male</v>
      </c>
    </row>
    <row r="590" spans="1:15">
      <c r="A590" t="s">
        <v>681</v>
      </c>
      <c r="B590" t="s">
        <v>26</v>
      </c>
      <c r="C590">
        <v>1</v>
      </c>
      <c r="D590">
        <v>89.1</v>
      </c>
      <c r="E590">
        <v>89.1</v>
      </c>
      <c r="F590" s="1">
        <v>45683</v>
      </c>
      <c r="G590" s="1">
        <v>45684</v>
      </c>
      <c r="H590" t="s">
        <v>27</v>
      </c>
      <c r="I590" t="s">
        <v>18</v>
      </c>
      <c r="J590">
        <v>3</v>
      </c>
      <c r="K590" t="s">
        <v>19</v>
      </c>
      <c r="L590" t="s">
        <v>113</v>
      </c>
      <c r="M590">
        <f>orders[[#This Row],[Ship Date]]-orders[[#This Row],[Order Date]]</f>
        <v>1</v>
      </c>
      <c r="N590">
        <f>WEEKNUM(orders[[#This Row],[Order Date]])</f>
        <v>5</v>
      </c>
      <c r="O590" t="str">
        <f>_xlfn.IFS(orders[[#This Row],[Customer Gender]]="M","Male", orders[[#This Row],[Customer Gender]]="F","Female", orders[[#This Row],[Customer Gender]]="O","Other", TRUE,"Unknown")</f>
        <v>Female</v>
      </c>
    </row>
    <row r="591" spans="1:15">
      <c r="A591" t="s">
        <v>835</v>
      </c>
      <c r="B591" t="s">
        <v>30</v>
      </c>
      <c r="C591">
        <v>36</v>
      </c>
      <c r="D591">
        <v>30.6</v>
      </c>
      <c r="E591">
        <v>1101.6000000000001</v>
      </c>
      <c r="F591" s="1">
        <v>45689</v>
      </c>
      <c r="G591" s="1">
        <v>45693</v>
      </c>
      <c r="H591" t="s">
        <v>27</v>
      </c>
      <c r="I591" t="s">
        <v>40</v>
      </c>
      <c r="J591">
        <v>5</v>
      </c>
      <c r="K591" t="s">
        <v>19</v>
      </c>
      <c r="L591" t="s">
        <v>77</v>
      </c>
      <c r="M591">
        <f>orders[[#This Row],[Ship Date]]-orders[[#This Row],[Order Date]]</f>
        <v>4</v>
      </c>
      <c r="N591">
        <f>WEEKNUM(orders[[#This Row],[Order Date]])</f>
        <v>5</v>
      </c>
      <c r="O591" t="str">
        <f>_xlfn.IFS(orders[[#This Row],[Customer Gender]]="M","Male", orders[[#This Row],[Customer Gender]]="F","Female", orders[[#This Row],[Customer Gender]]="O","Other", TRUE,"Unknown")</f>
        <v>Female</v>
      </c>
    </row>
    <row r="592" spans="1:15">
      <c r="A592" t="s">
        <v>683</v>
      </c>
      <c r="B592" t="s">
        <v>44</v>
      </c>
      <c r="C592">
        <v>3</v>
      </c>
      <c r="D592">
        <v>40.9</v>
      </c>
      <c r="E592">
        <v>122.69999999999999</v>
      </c>
      <c r="F592" s="1">
        <v>45683</v>
      </c>
      <c r="G592" s="1">
        <v>45684</v>
      </c>
      <c r="H592" t="s">
        <v>23</v>
      </c>
      <c r="I592" t="s">
        <v>18</v>
      </c>
      <c r="J592">
        <v>4</v>
      </c>
      <c r="K592" t="s">
        <v>19</v>
      </c>
      <c r="L592" t="s">
        <v>24</v>
      </c>
      <c r="M592">
        <f>orders[[#This Row],[Ship Date]]-orders[[#This Row],[Order Date]]</f>
        <v>1</v>
      </c>
      <c r="N592">
        <f>WEEKNUM(orders[[#This Row],[Order Date]])</f>
        <v>5</v>
      </c>
      <c r="O592" t="str">
        <f>_xlfn.IFS(orders[[#This Row],[Customer Gender]]="M","Male", orders[[#This Row],[Customer Gender]]="F","Female", orders[[#This Row],[Customer Gender]]="O","Other", TRUE,"Unknown")</f>
        <v>Male</v>
      </c>
    </row>
    <row r="593" spans="1:15">
      <c r="A593" t="s">
        <v>684</v>
      </c>
      <c r="B593" t="s">
        <v>26</v>
      </c>
      <c r="C593">
        <v>2</v>
      </c>
      <c r="D593">
        <v>125.7</v>
      </c>
      <c r="E593">
        <v>251.4</v>
      </c>
      <c r="F593" s="1">
        <v>45683</v>
      </c>
      <c r="G593" s="1">
        <v>45684</v>
      </c>
      <c r="H593" t="s">
        <v>27</v>
      </c>
      <c r="I593" t="s">
        <v>51</v>
      </c>
      <c r="J593">
        <v>4</v>
      </c>
      <c r="K593" t="s">
        <v>19</v>
      </c>
      <c r="L593" t="s">
        <v>28</v>
      </c>
      <c r="M593">
        <f>orders[[#This Row],[Ship Date]]-orders[[#This Row],[Order Date]]</f>
        <v>1</v>
      </c>
      <c r="N593">
        <f>WEEKNUM(orders[[#This Row],[Order Date]])</f>
        <v>5</v>
      </c>
      <c r="O593" t="str">
        <f>_xlfn.IFS(orders[[#This Row],[Customer Gender]]="M","Male", orders[[#This Row],[Customer Gender]]="F","Female", orders[[#This Row],[Customer Gender]]="O","Other", TRUE,"Unknown")</f>
        <v>Female</v>
      </c>
    </row>
    <row r="594" spans="1:15">
      <c r="A594" t="s">
        <v>823</v>
      </c>
      <c r="B594" t="s">
        <v>42</v>
      </c>
      <c r="C594">
        <v>6</v>
      </c>
      <c r="D594">
        <v>142.19999999999999</v>
      </c>
      <c r="E594">
        <v>853.19999999999993</v>
      </c>
      <c r="F594" s="1">
        <v>45688</v>
      </c>
      <c r="G594" s="1">
        <v>45689</v>
      </c>
      <c r="H594" t="s">
        <v>27</v>
      </c>
      <c r="I594" t="s">
        <v>40</v>
      </c>
      <c r="J594">
        <v>2</v>
      </c>
      <c r="K594" t="s">
        <v>19</v>
      </c>
      <c r="L594" t="s">
        <v>33</v>
      </c>
      <c r="M594">
        <f>orders[[#This Row],[Ship Date]]-orders[[#This Row],[Order Date]]</f>
        <v>1</v>
      </c>
      <c r="N594">
        <f>WEEKNUM(orders[[#This Row],[Order Date]])</f>
        <v>5</v>
      </c>
      <c r="O594" t="str">
        <f>_xlfn.IFS(orders[[#This Row],[Customer Gender]]="M","Male", orders[[#This Row],[Customer Gender]]="F","Female", orders[[#This Row],[Customer Gender]]="O","Other", TRUE,"Unknown")</f>
        <v>Female</v>
      </c>
    </row>
    <row r="595" spans="1:15">
      <c r="A595" t="s">
        <v>686</v>
      </c>
      <c r="B595" t="s">
        <v>44</v>
      </c>
      <c r="C595">
        <v>2</v>
      </c>
      <c r="D595">
        <v>18.3</v>
      </c>
      <c r="E595">
        <v>36.6</v>
      </c>
      <c r="F595" s="1">
        <v>45683</v>
      </c>
      <c r="G595" s="1">
        <v>45684</v>
      </c>
      <c r="H595" t="s">
        <v>27</v>
      </c>
      <c r="I595" t="s">
        <v>35</v>
      </c>
      <c r="J595">
        <v>4</v>
      </c>
      <c r="K595" t="s">
        <v>19</v>
      </c>
      <c r="L595" t="s">
        <v>33</v>
      </c>
      <c r="M595">
        <f>orders[[#This Row],[Ship Date]]-orders[[#This Row],[Order Date]]</f>
        <v>1</v>
      </c>
      <c r="N595">
        <f>WEEKNUM(orders[[#This Row],[Order Date]])</f>
        <v>5</v>
      </c>
      <c r="O595" t="str">
        <f>_xlfn.IFS(orders[[#This Row],[Customer Gender]]="M","Male", orders[[#This Row],[Customer Gender]]="F","Female", orders[[#This Row],[Customer Gender]]="O","Other", TRUE,"Unknown")</f>
        <v>Female</v>
      </c>
    </row>
    <row r="596" spans="1:15">
      <c r="A596" t="s">
        <v>732</v>
      </c>
      <c r="B596" t="s">
        <v>22</v>
      </c>
      <c r="C596">
        <v>11</v>
      </c>
      <c r="D596">
        <v>62.4</v>
      </c>
      <c r="E596">
        <v>686.4</v>
      </c>
      <c r="F596" s="1">
        <v>45685</v>
      </c>
      <c r="G596" s="1">
        <v>45687</v>
      </c>
      <c r="H596" t="s">
        <v>27</v>
      </c>
      <c r="I596" t="s">
        <v>40</v>
      </c>
      <c r="J596">
        <v>4</v>
      </c>
      <c r="K596" t="s">
        <v>19</v>
      </c>
      <c r="L596" t="s">
        <v>33</v>
      </c>
      <c r="M596">
        <f>orders[[#This Row],[Ship Date]]-orders[[#This Row],[Order Date]]</f>
        <v>2</v>
      </c>
      <c r="N596">
        <f>WEEKNUM(orders[[#This Row],[Order Date]])</f>
        <v>5</v>
      </c>
      <c r="O596" t="str">
        <f>_xlfn.IFS(orders[[#This Row],[Customer Gender]]="M","Male", orders[[#This Row],[Customer Gender]]="F","Female", orders[[#This Row],[Customer Gender]]="O","Other", TRUE,"Unknown")</f>
        <v>Female</v>
      </c>
    </row>
    <row r="597" spans="1:15">
      <c r="A597" t="s">
        <v>688</v>
      </c>
      <c r="B597" t="s">
        <v>54</v>
      </c>
      <c r="C597">
        <v>7</v>
      </c>
      <c r="D597">
        <v>29.9</v>
      </c>
      <c r="E597">
        <v>209.29999999999998</v>
      </c>
      <c r="F597" s="1">
        <v>45683</v>
      </c>
      <c r="G597" s="1">
        <v>45685</v>
      </c>
      <c r="H597" t="s">
        <v>23</v>
      </c>
      <c r="I597" t="s">
        <v>70</v>
      </c>
      <c r="J597">
        <v>5</v>
      </c>
      <c r="K597" t="s">
        <v>19</v>
      </c>
      <c r="L597" t="s">
        <v>33</v>
      </c>
      <c r="M597">
        <f>orders[[#This Row],[Ship Date]]-orders[[#This Row],[Order Date]]</f>
        <v>2</v>
      </c>
      <c r="N597">
        <f>WEEKNUM(orders[[#This Row],[Order Date]])</f>
        <v>5</v>
      </c>
      <c r="O597" t="str">
        <f>_xlfn.IFS(orders[[#This Row],[Customer Gender]]="M","Male", orders[[#This Row],[Customer Gender]]="F","Female", orders[[#This Row],[Customer Gender]]="O","Other", TRUE,"Unknown")</f>
        <v>Male</v>
      </c>
    </row>
    <row r="598" spans="1:15">
      <c r="A598" t="s">
        <v>803</v>
      </c>
      <c r="B598" t="s">
        <v>44</v>
      </c>
      <c r="C598">
        <v>10</v>
      </c>
      <c r="D598">
        <v>59.7</v>
      </c>
      <c r="E598">
        <v>597</v>
      </c>
      <c r="F598" s="1">
        <v>45688</v>
      </c>
      <c r="G598" s="1">
        <v>45692</v>
      </c>
      <c r="H598" t="s">
        <v>23</v>
      </c>
      <c r="I598" t="s">
        <v>40</v>
      </c>
      <c r="J598">
        <v>4</v>
      </c>
      <c r="K598" t="s">
        <v>19</v>
      </c>
      <c r="L598" t="s">
        <v>188</v>
      </c>
      <c r="M598">
        <f>orders[[#This Row],[Ship Date]]-orders[[#This Row],[Order Date]]</f>
        <v>4</v>
      </c>
      <c r="N598">
        <f>WEEKNUM(orders[[#This Row],[Order Date]])</f>
        <v>5</v>
      </c>
      <c r="O598" t="str">
        <f>_xlfn.IFS(orders[[#This Row],[Customer Gender]]="M","Male", orders[[#This Row],[Customer Gender]]="F","Female", orders[[#This Row],[Customer Gender]]="O","Other", TRUE,"Unknown")</f>
        <v>Male</v>
      </c>
    </row>
    <row r="599" spans="1:15">
      <c r="A599" t="s">
        <v>758</v>
      </c>
      <c r="B599" t="s">
        <v>46</v>
      </c>
      <c r="C599">
        <v>12</v>
      </c>
      <c r="D599">
        <v>37.4</v>
      </c>
      <c r="E599">
        <v>448.79999999999995</v>
      </c>
      <c r="F599" s="1">
        <v>45686</v>
      </c>
      <c r="G599" s="1">
        <v>45688</v>
      </c>
      <c r="H599" t="s">
        <v>23</v>
      </c>
      <c r="I599" t="s">
        <v>40</v>
      </c>
      <c r="J599">
        <v>4</v>
      </c>
      <c r="K599" t="s">
        <v>19</v>
      </c>
      <c r="L599" t="s">
        <v>33</v>
      </c>
      <c r="M599">
        <f>orders[[#This Row],[Ship Date]]-orders[[#This Row],[Order Date]]</f>
        <v>2</v>
      </c>
      <c r="N599">
        <f>WEEKNUM(orders[[#This Row],[Order Date]])</f>
        <v>5</v>
      </c>
      <c r="O599" t="str">
        <f>_xlfn.IFS(orders[[#This Row],[Customer Gender]]="M","Male", orders[[#This Row],[Customer Gender]]="F","Female", orders[[#This Row],[Customer Gender]]="O","Other", TRUE,"Unknown")</f>
        <v>Male</v>
      </c>
    </row>
    <row r="600" spans="1:15">
      <c r="A600" t="s">
        <v>691</v>
      </c>
      <c r="B600" t="s">
        <v>32</v>
      </c>
      <c r="C600">
        <v>16</v>
      </c>
      <c r="D600">
        <v>66.599999999999994</v>
      </c>
      <c r="E600">
        <v>1065.5999999999999</v>
      </c>
      <c r="F600" s="1">
        <v>45683</v>
      </c>
      <c r="G600" s="1">
        <v>45685</v>
      </c>
      <c r="H600" t="s">
        <v>23</v>
      </c>
      <c r="I600" t="s">
        <v>35</v>
      </c>
      <c r="J600">
        <v>4</v>
      </c>
      <c r="K600" t="s">
        <v>19</v>
      </c>
      <c r="L600" t="s">
        <v>33</v>
      </c>
      <c r="M600">
        <f>orders[[#This Row],[Ship Date]]-orders[[#This Row],[Order Date]]</f>
        <v>2</v>
      </c>
      <c r="N600">
        <f>WEEKNUM(orders[[#This Row],[Order Date]])</f>
        <v>5</v>
      </c>
      <c r="O600" t="str">
        <f>_xlfn.IFS(orders[[#This Row],[Customer Gender]]="M","Male", orders[[#This Row],[Customer Gender]]="F","Female", orders[[#This Row],[Customer Gender]]="O","Other", TRUE,"Unknown")</f>
        <v>Male</v>
      </c>
    </row>
    <row r="601" spans="1:15">
      <c r="A601" t="s">
        <v>692</v>
      </c>
      <c r="B601" t="s">
        <v>39</v>
      </c>
      <c r="C601">
        <v>4</v>
      </c>
      <c r="D601">
        <v>70.3</v>
      </c>
      <c r="E601">
        <v>281.2</v>
      </c>
      <c r="F601" s="1">
        <v>45683</v>
      </c>
      <c r="G601" s="1">
        <v>45684</v>
      </c>
      <c r="H601" t="s">
        <v>27</v>
      </c>
      <c r="I601" t="s">
        <v>18</v>
      </c>
      <c r="J601">
        <v>3</v>
      </c>
      <c r="K601" t="s">
        <v>19</v>
      </c>
      <c r="L601" t="s">
        <v>33</v>
      </c>
      <c r="M601">
        <f>orders[[#This Row],[Ship Date]]-orders[[#This Row],[Order Date]]</f>
        <v>1</v>
      </c>
      <c r="N601">
        <f>WEEKNUM(orders[[#This Row],[Order Date]])</f>
        <v>5</v>
      </c>
      <c r="O601" t="str">
        <f>_xlfn.IFS(orders[[#This Row],[Customer Gender]]="M","Male", orders[[#This Row],[Customer Gender]]="F","Female", orders[[#This Row],[Customer Gender]]="O","Other", TRUE,"Unknown")</f>
        <v>Female</v>
      </c>
    </row>
    <row r="602" spans="1:15">
      <c r="A602" t="s">
        <v>693</v>
      </c>
      <c r="B602" t="s">
        <v>44</v>
      </c>
      <c r="C602">
        <v>4</v>
      </c>
      <c r="D602">
        <v>31</v>
      </c>
      <c r="E602">
        <v>124</v>
      </c>
      <c r="F602" s="1">
        <v>45683</v>
      </c>
      <c r="G602" s="1">
        <v>45686</v>
      </c>
      <c r="H602" t="s">
        <v>23</v>
      </c>
      <c r="I602" t="s">
        <v>18</v>
      </c>
      <c r="J602">
        <v>5</v>
      </c>
      <c r="K602" t="s">
        <v>19</v>
      </c>
      <c r="L602" t="s">
        <v>33</v>
      </c>
      <c r="M602">
        <f>orders[[#This Row],[Ship Date]]-orders[[#This Row],[Order Date]]</f>
        <v>3</v>
      </c>
      <c r="N602">
        <f>WEEKNUM(orders[[#This Row],[Order Date]])</f>
        <v>5</v>
      </c>
      <c r="O602" t="str">
        <f>_xlfn.IFS(orders[[#This Row],[Customer Gender]]="M","Male", orders[[#This Row],[Customer Gender]]="F","Female", orders[[#This Row],[Customer Gender]]="O","Other", TRUE,"Unknown")</f>
        <v>Male</v>
      </c>
    </row>
    <row r="603" spans="1:15">
      <c r="A603" t="s">
        <v>694</v>
      </c>
      <c r="B603" t="s">
        <v>42</v>
      </c>
      <c r="C603">
        <v>6</v>
      </c>
      <c r="D603">
        <v>81.599999999999994</v>
      </c>
      <c r="E603">
        <v>489.59999999999997</v>
      </c>
      <c r="F603" s="1">
        <v>45683</v>
      </c>
      <c r="G603" s="1">
        <v>45684</v>
      </c>
      <c r="H603" t="s">
        <v>27</v>
      </c>
      <c r="I603" t="s">
        <v>35</v>
      </c>
      <c r="J603">
        <v>3</v>
      </c>
      <c r="K603" t="s">
        <v>19</v>
      </c>
      <c r="L603" t="s">
        <v>364</v>
      </c>
      <c r="M603">
        <f>orders[[#This Row],[Ship Date]]-orders[[#This Row],[Order Date]]</f>
        <v>1</v>
      </c>
      <c r="N603">
        <f>WEEKNUM(orders[[#This Row],[Order Date]])</f>
        <v>5</v>
      </c>
      <c r="O603" t="str">
        <f>_xlfn.IFS(orders[[#This Row],[Customer Gender]]="M","Male", orders[[#This Row],[Customer Gender]]="F","Female", orders[[#This Row],[Customer Gender]]="O","Other", TRUE,"Unknown")</f>
        <v>Female</v>
      </c>
    </row>
    <row r="604" spans="1:15">
      <c r="A604" t="s">
        <v>695</v>
      </c>
      <c r="B604" t="s">
        <v>22</v>
      </c>
      <c r="C604">
        <v>25</v>
      </c>
      <c r="D604">
        <v>58.3</v>
      </c>
      <c r="E604">
        <v>1457.5</v>
      </c>
      <c r="F604" s="1">
        <v>45683</v>
      </c>
      <c r="G604" s="1">
        <v>45684</v>
      </c>
      <c r="H604" t="s">
        <v>27</v>
      </c>
      <c r="I604" t="s">
        <v>18</v>
      </c>
      <c r="J604">
        <v>4</v>
      </c>
      <c r="K604" t="s">
        <v>19</v>
      </c>
      <c r="L604" t="s">
        <v>98</v>
      </c>
      <c r="M604">
        <f>orders[[#This Row],[Ship Date]]-orders[[#This Row],[Order Date]]</f>
        <v>1</v>
      </c>
      <c r="N604">
        <f>WEEKNUM(orders[[#This Row],[Order Date]])</f>
        <v>5</v>
      </c>
      <c r="O604" t="str">
        <f>_xlfn.IFS(orders[[#This Row],[Customer Gender]]="M","Male", orders[[#This Row],[Customer Gender]]="F","Female", orders[[#This Row],[Customer Gender]]="O","Other", TRUE,"Unknown")</f>
        <v>Female</v>
      </c>
    </row>
    <row r="605" spans="1:15">
      <c r="A605" t="s">
        <v>696</v>
      </c>
      <c r="B605" t="s">
        <v>22</v>
      </c>
      <c r="C605">
        <v>4</v>
      </c>
      <c r="D605">
        <v>35.1</v>
      </c>
      <c r="E605">
        <v>140.4</v>
      </c>
      <c r="F605" s="1">
        <v>45683</v>
      </c>
      <c r="G605" s="1">
        <v>45685</v>
      </c>
      <c r="H605" t="s">
        <v>23</v>
      </c>
      <c r="I605" t="s">
        <v>18</v>
      </c>
      <c r="J605">
        <v>5</v>
      </c>
      <c r="K605" t="s">
        <v>19</v>
      </c>
      <c r="L605" t="s">
        <v>62</v>
      </c>
      <c r="M605">
        <f>orders[[#This Row],[Ship Date]]-orders[[#This Row],[Order Date]]</f>
        <v>2</v>
      </c>
      <c r="N605">
        <f>WEEKNUM(orders[[#This Row],[Order Date]])</f>
        <v>5</v>
      </c>
      <c r="O605" t="str">
        <f>_xlfn.IFS(orders[[#This Row],[Customer Gender]]="M","Male", orders[[#This Row],[Customer Gender]]="F","Female", orders[[#This Row],[Customer Gender]]="O","Other", TRUE,"Unknown")</f>
        <v>Male</v>
      </c>
    </row>
    <row r="606" spans="1:15">
      <c r="A606" t="s">
        <v>697</v>
      </c>
      <c r="B606" t="s">
        <v>26</v>
      </c>
      <c r="C606">
        <v>1</v>
      </c>
      <c r="D606">
        <v>80.2</v>
      </c>
      <c r="E606">
        <v>80.2</v>
      </c>
      <c r="F606" s="1">
        <v>45683</v>
      </c>
      <c r="G606" s="1">
        <v>45684</v>
      </c>
      <c r="H606" t="s">
        <v>23</v>
      </c>
      <c r="I606" t="s">
        <v>51</v>
      </c>
      <c r="J606">
        <v>5</v>
      </c>
      <c r="K606" t="s">
        <v>19</v>
      </c>
      <c r="L606" t="s">
        <v>62</v>
      </c>
      <c r="M606">
        <f>orders[[#This Row],[Ship Date]]-orders[[#This Row],[Order Date]]</f>
        <v>1</v>
      </c>
      <c r="N606">
        <f>WEEKNUM(orders[[#This Row],[Order Date]])</f>
        <v>5</v>
      </c>
      <c r="O606" t="str">
        <f>_xlfn.IFS(orders[[#This Row],[Customer Gender]]="M","Male", orders[[#This Row],[Customer Gender]]="F","Female", orders[[#This Row],[Customer Gender]]="O","Other", TRUE,"Unknown")</f>
        <v>Male</v>
      </c>
    </row>
    <row r="607" spans="1:15">
      <c r="A607" t="s">
        <v>698</v>
      </c>
      <c r="B607" t="s">
        <v>81</v>
      </c>
      <c r="C607">
        <v>3</v>
      </c>
      <c r="D607">
        <v>39.200000000000003</v>
      </c>
      <c r="E607">
        <v>117.60000000000001</v>
      </c>
      <c r="F607" s="1">
        <v>45683</v>
      </c>
      <c r="G607" s="1">
        <v>45685</v>
      </c>
      <c r="H607" t="s">
        <v>27</v>
      </c>
      <c r="I607" t="s">
        <v>35</v>
      </c>
      <c r="J607">
        <v>4</v>
      </c>
      <c r="K607" t="s">
        <v>19</v>
      </c>
      <c r="L607" t="s">
        <v>72</v>
      </c>
      <c r="M607">
        <f>orders[[#This Row],[Ship Date]]-orders[[#This Row],[Order Date]]</f>
        <v>2</v>
      </c>
      <c r="N607">
        <f>WEEKNUM(orders[[#This Row],[Order Date]])</f>
        <v>5</v>
      </c>
      <c r="O607" t="str">
        <f>_xlfn.IFS(orders[[#This Row],[Customer Gender]]="M","Male", orders[[#This Row],[Customer Gender]]="F","Female", orders[[#This Row],[Customer Gender]]="O","Other", TRUE,"Unknown")</f>
        <v>Female</v>
      </c>
    </row>
    <row r="608" spans="1:15">
      <c r="A608" t="s">
        <v>699</v>
      </c>
      <c r="B608" t="s">
        <v>16</v>
      </c>
      <c r="C608">
        <v>2</v>
      </c>
      <c r="D608">
        <v>15.4</v>
      </c>
      <c r="E608">
        <v>30.8</v>
      </c>
      <c r="F608" s="1">
        <v>45683</v>
      </c>
      <c r="G608" s="1">
        <v>45683</v>
      </c>
      <c r="H608" t="s">
        <v>27</v>
      </c>
      <c r="I608" t="s">
        <v>51</v>
      </c>
      <c r="J608">
        <v>4</v>
      </c>
      <c r="K608" t="s">
        <v>19</v>
      </c>
      <c r="L608" t="s">
        <v>700</v>
      </c>
      <c r="M608">
        <f>orders[[#This Row],[Ship Date]]-orders[[#This Row],[Order Date]]</f>
        <v>0</v>
      </c>
      <c r="N608">
        <f>WEEKNUM(orders[[#This Row],[Order Date]])</f>
        <v>5</v>
      </c>
      <c r="O608" t="str">
        <f>_xlfn.IFS(orders[[#This Row],[Customer Gender]]="M","Male", orders[[#This Row],[Customer Gender]]="F","Female", orders[[#This Row],[Customer Gender]]="O","Other", TRUE,"Unknown")</f>
        <v>Female</v>
      </c>
    </row>
    <row r="609" spans="1:15">
      <c r="A609" t="s">
        <v>701</v>
      </c>
      <c r="B609" t="s">
        <v>30</v>
      </c>
      <c r="C609">
        <v>3</v>
      </c>
      <c r="D609">
        <v>65.400000000000006</v>
      </c>
      <c r="E609">
        <v>196.20000000000002</v>
      </c>
      <c r="F609" s="1">
        <v>45683</v>
      </c>
      <c r="G609" s="1">
        <v>45686</v>
      </c>
      <c r="H609" t="s">
        <v>23</v>
      </c>
      <c r="I609" t="s">
        <v>51</v>
      </c>
      <c r="J609">
        <v>4</v>
      </c>
      <c r="K609" t="s">
        <v>19</v>
      </c>
      <c r="L609" t="s">
        <v>108</v>
      </c>
      <c r="M609">
        <f>orders[[#This Row],[Ship Date]]-orders[[#This Row],[Order Date]]</f>
        <v>3</v>
      </c>
      <c r="N609">
        <f>WEEKNUM(orders[[#This Row],[Order Date]])</f>
        <v>5</v>
      </c>
      <c r="O609" t="str">
        <f>_xlfn.IFS(orders[[#This Row],[Customer Gender]]="M","Male", orders[[#This Row],[Customer Gender]]="F","Female", orders[[#This Row],[Customer Gender]]="O","Other", TRUE,"Unknown")</f>
        <v>Male</v>
      </c>
    </row>
    <row r="610" spans="1:15">
      <c r="A610" t="s">
        <v>702</v>
      </c>
      <c r="B610" t="s">
        <v>22</v>
      </c>
      <c r="C610">
        <v>8</v>
      </c>
      <c r="D610">
        <v>63.2</v>
      </c>
      <c r="E610">
        <v>505.6</v>
      </c>
      <c r="F610" s="1">
        <v>45683</v>
      </c>
      <c r="G610" s="1">
        <v>45685</v>
      </c>
      <c r="H610" t="s">
        <v>27</v>
      </c>
      <c r="I610" t="s">
        <v>35</v>
      </c>
      <c r="J610">
        <v>4</v>
      </c>
      <c r="K610" t="s">
        <v>19</v>
      </c>
      <c r="L610" t="s">
        <v>110</v>
      </c>
      <c r="M610">
        <f>orders[[#This Row],[Ship Date]]-orders[[#This Row],[Order Date]]</f>
        <v>2</v>
      </c>
      <c r="N610">
        <f>WEEKNUM(orders[[#This Row],[Order Date]])</f>
        <v>5</v>
      </c>
      <c r="O610" t="str">
        <f>_xlfn.IFS(orders[[#This Row],[Customer Gender]]="M","Male", orders[[#This Row],[Customer Gender]]="F","Female", orders[[#This Row],[Customer Gender]]="O","Other", TRUE,"Unknown")</f>
        <v>Female</v>
      </c>
    </row>
    <row r="611" spans="1:15">
      <c r="A611" t="s">
        <v>703</v>
      </c>
      <c r="B611" t="s">
        <v>22</v>
      </c>
      <c r="C611">
        <v>6</v>
      </c>
      <c r="D611">
        <v>35.700000000000003</v>
      </c>
      <c r="E611">
        <v>214.20000000000002</v>
      </c>
      <c r="F611" s="1">
        <v>45683</v>
      </c>
      <c r="G611" s="1">
        <v>45687</v>
      </c>
      <c r="H611" t="s">
        <v>27</v>
      </c>
      <c r="I611" t="s">
        <v>70</v>
      </c>
      <c r="J611">
        <v>3</v>
      </c>
      <c r="K611" t="s">
        <v>19</v>
      </c>
      <c r="L611" t="s">
        <v>110</v>
      </c>
      <c r="M611">
        <f>orders[[#This Row],[Ship Date]]-orders[[#This Row],[Order Date]]</f>
        <v>4</v>
      </c>
      <c r="N611">
        <f>WEEKNUM(orders[[#This Row],[Order Date]])</f>
        <v>5</v>
      </c>
      <c r="O611" t="str">
        <f>_xlfn.IFS(orders[[#This Row],[Customer Gender]]="M","Male", orders[[#This Row],[Customer Gender]]="F","Female", orders[[#This Row],[Customer Gender]]="O","Other", TRUE,"Unknown")</f>
        <v>Female</v>
      </c>
    </row>
    <row r="612" spans="1:15">
      <c r="A612" t="s">
        <v>704</v>
      </c>
      <c r="B612" t="s">
        <v>16</v>
      </c>
      <c r="C612">
        <v>20</v>
      </c>
      <c r="D612">
        <v>26.2</v>
      </c>
      <c r="E612">
        <v>524</v>
      </c>
      <c r="F612" s="1">
        <v>45683</v>
      </c>
      <c r="G612" s="1">
        <v>45684</v>
      </c>
      <c r="H612" t="s">
        <v>27</v>
      </c>
      <c r="I612" t="s">
        <v>51</v>
      </c>
      <c r="J612">
        <v>4</v>
      </c>
      <c r="K612" t="s">
        <v>19</v>
      </c>
      <c r="L612" t="s">
        <v>115</v>
      </c>
      <c r="M612">
        <f>orders[[#This Row],[Ship Date]]-orders[[#This Row],[Order Date]]</f>
        <v>1</v>
      </c>
      <c r="N612">
        <f>WEEKNUM(orders[[#This Row],[Order Date]])</f>
        <v>5</v>
      </c>
      <c r="O612" t="str">
        <f>_xlfn.IFS(orders[[#This Row],[Customer Gender]]="M","Male", orders[[#This Row],[Customer Gender]]="F","Female", orders[[#This Row],[Customer Gender]]="O","Other", TRUE,"Unknown")</f>
        <v>Female</v>
      </c>
    </row>
    <row r="613" spans="1:15">
      <c r="A613" t="s">
        <v>705</v>
      </c>
      <c r="B613" t="s">
        <v>42</v>
      </c>
      <c r="C613">
        <v>2</v>
      </c>
      <c r="D613">
        <v>31</v>
      </c>
      <c r="E613">
        <v>62</v>
      </c>
      <c r="F613" s="1">
        <v>45683</v>
      </c>
      <c r="G613" s="1">
        <v>45684</v>
      </c>
      <c r="H613" t="s">
        <v>27</v>
      </c>
      <c r="I613" t="s">
        <v>18</v>
      </c>
      <c r="J613">
        <v>5</v>
      </c>
      <c r="K613" t="s">
        <v>19</v>
      </c>
      <c r="L613" t="s">
        <v>24</v>
      </c>
      <c r="M613">
        <f>orders[[#This Row],[Ship Date]]-orders[[#This Row],[Order Date]]</f>
        <v>1</v>
      </c>
      <c r="N613">
        <f>WEEKNUM(orders[[#This Row],[Order Date]])</f>
        <v>5</v>
      </c>
      <c r="O613" t="str">
        <f>_xlfn.IFS(orders[[#This Row],[Customer Gender]]="M","Male", orders[[#This Row],[Customer Gender]]="F","Female", orders[[#This Row],[Customer Gender]]="O","Other", TRUE,"Unknown")</f>
        <v>Female</v>
      </c>
    </row>
    <row r="614" spans="1:15">
      <c r="A614" t="s">
        <v>706</v>
      </c>
      <c r="B614" t="s">
        <v>44</v>
      </c>
      <c r="C614">
        <v>4</v>
      </c>
      <c r="D614">
        <v>37.700000000000003</v>
      </c>
      <c r="E614">
        <v>150.80000000000001</v>
      </c>
      <c r="F614" s="1">
        <v>45683</v>
      </c>
      <c r="G614" s="1">
        <v>45684</v>
      </c>
      <c r="H614" t="s">
        <v>27</v>
      </c>
      <c r="I614" t="s">
        <v>35</v>
      </c>
      <c r="J614">
        <v>4</v>
      </c>
      <c r="K614" t="s">
        <v>19</v>
      </c>
      <c r="L614" t="s">
        <v>147</v>
      </c>
      <c r="M614">
        <f>orders[[#This Row],[Ship Date]]-orders[[#This Row],[Order Date]]</f>
        <v>1</v>
      </c>
      <c r="N614">
        <f>WEEKNUM(orders[[#This Row],[Order Date]])</f>
        <v>5</v>
      </c>
      <c r="O614" t="str">
        <f>_xlfn.IFS(orders[[#This Row],[Customer Gender]]="M","Male", orders[[#This Row],[Customer Gender]]="F","Female", orders[[#This Row],[Customer Gender]]="O","Other", TRUE,"Unknown")</f>
        <v>Female</v>
      </c>
    </row>
    <row r="615" spans="1:15">
      <c r="A615" t="s">
        <v>707</v>
      </c>
      <c r="B615" t="s">
        <v>54</v>
      </c>
      <c r="C615">
        <v>34</v>
      </c>
      <c r="D615">
        <v>43.6</v>
      </c>
      <c r="E615">
        <v>1482.4</v>
      </c>
      <c r="F615" s="1">
        <v>45683</v>
      </c>
      <c r="G615" s="1">
        <v>45685</v>
      </c>
      <c r="H615" t="s">
        <v>27</v>
      </c>
      <c r="I615" t="s">
        <v>70</v>
      </c>
      <c r="J615">
        <v>3</v>
      </c>
      <c r="K615" t="s">
        <v>19</v>
      </c>
      <c r="L615" t="s">
        <v>33</v>
      </c>
      <c r="M615">
        <f>orders[[#This Row],[Ship Date]]-orders[[#This Row],[Order Date]]</f>
        <v>2</v>
      </c>
      <c r="N615">
        <f>WEEKNUM(orders[[#This Row],[Order Date]])</f>
        <v>5</v>
      </c>
      <c r="O615" t="str">
        <f>_xlfn.IFS(orders[[#This Row],[Customer Gender]]="M","Male", orders[[#This Row],[Customer Gender]]="F","Female", orders[[#This Row],[Customer Gender]]="O","Other", TRUE,"Unknown")</f>
        <v>Female</v>
      </c>
    </row>
    <row r="616" spans="1:15">
      <c r="A616" t="s">
        <v>708</v>
      </c>
      <c r="B616" t="s">
        <v>46</v>
      </c>
      <c r="C616">
        <v>4</v>
      </c>
      <c r="D616">
        <v>26.5</v>
      </c>
      <c r="E616">
        <v>106</v>
      </c>
      <c r="F616" s="1">
        <v>45683</v>
      </c>
      <c r="G616" s="1">
        <v>45685</v>
      </c>
      <c r="H616" t="s">
        <v>23</v>
      </c>
      <c r="I616" t="s">
        <v>18</v>
      </c>
      <c r="J616">
        <v>2</v>
      </c>
      <c r="K616" t="s">
        <v>19</v>
      </c>
      <c r="L616" t="s">
        <v>33</v>
      </c>
      <c r="M616">
        <f>orders[[#This Row],[Ship Date]]-orders[[#This Row],[Order Date]]</f>
        <v>2</v>
      </c>
      <c r="N616">
        <f>WEEKNUM(orders[[#This Row],[Order Date]])</f>
        <v>5</v>
      </c>
      <c r="O616" t="str">
        <f>_xlfn.IFS(orders[[#This Row],[Customer Gender]]="M","Male", orders[[#This Row],[Customer Gender]]="F","Female", orders[[#This Row],[Customer Gender]]="O","Other", TRUE,"Unknown")</f>
        <v>Male</v>
      </c>
    </row>
    <row r="617" spans="1:15">
      <c r="A617" t="s">
        <v>709</v>
      </c>
      <c r="B617" t="s">
        <v>16</v>
      </c>
      <c r="C617">
        <v>2</v>
      </c>
      <c r="D617">
        <v>34.6</v>
      </c>
      <c r="E617">
        <v>69.2</v>
      </c>
      <c r="F617" s="1">
        <v>45683</v>
      </c>
      <c r="G617" s="1">
        <v>45684</v>
      </c>
      <c r="H617" t="s">
        <v>23</v>
      </c>
      <c r="I617" t="s">
        <v>70</v>
      </c>
      <c r="J617">
        <v>3</v>
      </c>
      <c r="K617" t="s">
        <v>19</v>
      </c>
      <c r="L617" t="s">
        <v>33</v>
      </c>
      <c r="M617">
        <f>orders[[#This Row],[Ship Date]]-orders[[#This Row],[Order Date]]</f>
        <v>1</v>
      </c>
      <c r="N617">
        <f>WEEKNUM(orders[[#This Row],[Order Date]])</f>
        <v>5</v>
      </c>
      <c r="O617" t="str">
        <f>_xlfn.IFS(orders[[#This Row],[Customer Gender]]="M","Male", orders[[#This Row],[Customer Gender]]="F","Female", orders[[#This Row],[Customer Gender]]="O","Other", TRUE,"Unknown")</f>
        <v>Male</v>
      </c>
    </row>
    <row r="618" spans="1:15">
      <c r="A618" t="s">
        <v>826</v>
      </c>
      <c r="B618" t="s">
        <v>26</v>
      </c>
      <c r="C618">
        <v>3</v>
      </c>
      <c r="D618">
        <v>144.9</v>
      </c>
      <c r="E618">
        <v>434.70000000000005</v>
      </c>
      <c r="F618" s="1">
        <v>45689</v>
      </c>
      <c r="G618" s="1">
        <v>45690</v>
      </c>
      <c r="H618" t="s">
        <v>89</v>
      </c>
      <c r="I618" t="s">
        <v>40</v>
      </c>
      <c r="J618">
        <v>5</v>
      </c>
      <c r="K618" t="s">
        <v>19</v>
      </c>
      <c r="L618" t="s">
        <v>33</v>
      </c>
      <c r="M618">
        <f>orders[[#This Row],[Ship Date]]-orders[[#This Row],[Order Date]]</f>
        <v>1</v>
      </c>
      <c r="N618">
        <f>WEEKNUM(orders[[#This Row],[Order Date]])</f>
        <v>5</v>
      </c>
      <c r="O618" t="str">
        <f>_xlfn.IFS(orders[[#This Row],[Customer Gender]]="M","Male", orders[[#This Row],[Customer Gender]]="F","Female", orders[[#This Row],[Customer Gender]]="O","Other", TRUE,"Unknown")</f>
        <v>Other</v>
      </c>
    </row>
    <row r="619" spans="1:15">
      <c r="A619" t="s">
        <v>719</v>
      </c>
      <c r="B619" t="s">
        <v>54</v>
      </c>
      <c r="C619">
        <v>10</v>
      </c>
      <c r="D619">
        <v>39.6</v>
      </c>
      <c r="E619">
        <v>396</v>
      </c>
      <c r="F619" s="1">
        <v>45684</v>
      </c>
      <c r="G619" s="1">
        <v>45686</v>
      </c>
      <c r="H619" t="s">
        <v>27</v>
      </c>
      <c r="I619" t="s">
        <v>40</v>
      </c>
      <c r="J619">
        <v>5</v>
      </c>
      <c r="K619" t="s">
        <v>19</v>
      </c>
      <c r="L619" t="s">
        <v>108</v>
      </c>
      <c r="M619">
        <f>orders[[#This Row],[Ship Date]]-orders[[#This Row],[Order Date]]</f>
        <v>2</v>
      </c>
      <c r="N619">
        <f>WEEKNUM(orders[[#This Row],[Order Date]])</f>
        <v>5</v>
      </c>
      <c r="O619" t="str">
        <f>_xlfn.IFS(orders[[#This Row],[Customer Gender]]="M","Male", orders[[#This Row],[Customer Gender]]="F","Female", orders[[#This Row],[Customer Gender]]="O","Other", TRUE,"Unknown")</f>
        <v>Female</v>
      </c>
    </row>
    <row r="620" spans="1:15">
      <c r="A620" t="s">
        <v>712</v>
      </c>
      <c r="B620" t="s">
        <v>22</v>
      </c>
      <c r="C620">
        <v>10</v>
      </c>
      <c r="D620">
        <v>53.2</v>
      </c>
      <c r="E620">
        <v>532</v>
      </c>
      <c r="F620" s="1">
        <v>45684</v>
      </c>
      <c r="G620" s="1">
        <v>45685</v>
      </c>
      <c r="H620" t="s">
        <v>23</v>
      </c>
      <c r="I620" t="s">
        <v>18</v>
      </c>
      <c r="J620">
        <v>5</v>
      </c>
      <c r="K620" t="s">
        <v>19</v>
      </c>
      <c r="L620" t="s">
        <v>52</v>
      </c>
      <c r="M620">
        <f>orders[[#This Row],[Ship Date]]-orders[[#This Row],[Order Date]]</f>
        <v>1</v>
      </c>
      <c r="N620">
        <f>WEEKNUM(orders[[#This Row],[Order Date]])</f>
        <v>5</v>
      </c>
      <c r="O620" t="str">
        <f>_xlfn.IFS(orders[[#This Row],[Customer Gender]]="M","Male", orders[[#This Row],[Customer Gender]]="F","Female", orders[[#This Row],[Customer Gender]]="O","Other", TRUE,"Unknown")</f>
        <v>Male</v>
      </c>
    </row>
    <row r="621" spans="1:15">
      <c r="A621" t="s">
        <v>713</v>
      </c>
      <c r="B621" t="s">
        <v>69</v>
      </c>
      <c r="C621">
        <v>6</v>
      </c>
      <c r="D621">
        <v>51.1</v>
      </c>
      <c r="E621">
        <v>306.60000000000002</v>
      </c>
      <c r="F621" s="1">
        <v>45684</v>
      </c>
      <c r="G621" s="1">
        <v>45684</v>
      </c>
      <c r="H621" t="s">
        <v>23</v>
      </c>
      <c r="I621" t="s">
        <v>35</v>
      </c>
      <c r="J621">
        <v>5</v>
      </c>
      <c r="K621" t="s">
        <v>19</v>
      </c>
      <c r="L621" t="s">
        <v>52</v>
      </c>
      <c r="M621">
        <f>orders[[#This Row],[Ship Date]]-orders[[#This Row],[Order Date]]</f>
        <v>0</v>
      </c>
      <c r="N621">
        <f>WEEKNUM(orders[[#This Row],[Order Date]])</f>
        <v>5</v>
      </c>
      <c r="O621" t="str">
        <f>_xlfn.IFS(orders[[#This Row],[Customer Gender]]="M","Male", orders[[#This Row],[Customer Gender]]="F","Female", orders[[#This Row],[Customer Gender]]="O","Other", TRUE,"Unknown")</f>
        <v>Male</v>
      </c>
    </row>
    <row r="622" spans="1:15">
      <c r="A622" t="s">
        <v>714</v>
      </c>
      <c r="B622" t="s">
        <v>22</v>
      </c>
      <c r="C622">
        <v>1</v>
      </c>
      <c r="D622">
        <v>105.4</v>
      </c>
      <c r="E622">
        <v>105.4</v>
      </c>
      <c r="F622" s="1">
        <v>45684</v>
      </c>
      <c r="G622" s="1">
        <v>45688</v>
      </c>
      <c r="H622" t="s">
        <v>27</v>
      </c>
      <c r="I622" t="s">
        <v>35</v>
      </c>
      <c r="J622">
        <v>5</v>
      </c>
      <c r="K622" t="s">
        <v>19</v>
      </c>
      <c r="L622" t="s">
        <v>158</v>
      </c>
      <c r="M622">
        <f>orders[[#This Row],[Ship Date]]-orders[[#This Row],[Order Date]]</f>
        <v>4</v>
      </c>
      <c r="N622">
        <f>WEEKNUM(orders[[#This Row],[Order Date]])</f>
        <v>5</v>
      </c>
      <c r="O622" t="str">
        <f>_xlfn.IFS(orders[[#This Row],[Customer Gender]]="M","Male", orders[[#This Row],[Customer Gender]]="F","Female", orders[[#This Row],[Customer Gender]]="O","Other", TRUE,"Unknown")</f>
        <v>Female</v>
      </c>
    </row>
    <row r="623" spans="1:15">
      <c r="A623" t="s">
        <v>715</v>
      </c>
      <c r="B623" t="s">
        <v>42</v>
      </c>
      <c r="C623">
        <v>1</v>
      </c>
      <c r="D623">
        <v>57.7</v>
      </c>
      <c r="E623">
        <v>57.7</v>
      </c>
      <c r="F623" s="1">
        <v>45684</v>
      </c>
      <c r="G623" s="1">
        <v>45684</v>
      </c>
      <c r="H623" t="s">
        <v>23</v>
      </c>
      <c r="I623" t="s">
        <v>18</v>
      </c>
      <c r="J623">
        <v>2</v>
      </c>
      <c r="K623" t="s">
        <v>19</v>
      </c>
      <c r="L623" t="s">
        <v>62</v>
      </c>
      <c r="M623">
        <f>orders[[#This Row],[Ship Date]]-orders[[#This Row],[Order Date]]</f>
        <v>0</v>
      </c>
      <c r="N623">
        <f>WEEKNUM(orders[[#This Row],[Order Date]])</f>
        <v>5</v>
      </c>
      <c r="O623" t="str">
        <f>_xlfn.IFS(orders[[#This Row],[Customer Gender]]="M","Male", orders[[#This Row],[Customer Gender]]="F","Female", orders[[#This Row],[Customer Gender]]="O","Other", TRUE,"Unknown")</f>
        <v>Male</v>
      </c>
    </row>
    <row r="624" spans="1:15">
      <c r="A624" t="s">
        <v>716</v>
      </c>
      <c r="B624" t="s">
        <v>123</v>
      </c>
      <c r="C624">
        <v>2</v>
      </c>
      <c r="D624">
        <v>72.400000000000006</v>
      </c>
      <c r="E624">
        <v>144.80000000000001</v>
      </c>
      <c r="F624" s="1">
        <v>45684</v>
      </c>
      <c r="G624" s="1">
        <v>45689</v>
      </c>
      <c r="H624" t="s">
        <v>27</v>
      </c>
      <c r="I624" t="s">
        <v>18</v>
      </c>
      <c r="J624">
        <v>4</v>
      </c>
      <c r="K624" t="s">
        <v>19</v>
      </c>
      <c r="L624" t="s">
        <v>103</v>
      </c>
      <c r="M624">
        <f>orders[[#This Row],[Ship Date]]-orders[[#This Row],[Order Date]]</f>
        <v>5</v>
      </c>
      <c r="N624">
        <f>WEEKNUM(orders[[#This Row],[Order Date]])</f>
        <v>5</v>
      </c>
      <c r="O624" t="str">
        <f>_xlfn.IFS(orders[[#This Row],[Customer Gender]]="M","Male", orders[[#This Row],[Customer Gender]]="F","Female", orders[[#This Row],[Customer Gender]]="O","Other", TRUE,"Unknown")</f>
        <v>Female</v>
      </c>
    </row>
    <row r="625" spans="1:15">
      <c r="A625" t="s">
        <v>717</v>
      </c>
      <c r="B625" t="s">
        <v>39</v>
      </c>
      <c r="C625">
        <v>2</v>
      </c>
      <c r="D625">
        <v>62.5</v>
      </c>
      <c r="E625">
        <v>125</v>
      </c>
      <c r="F625" s="1">
        <v>45684</v>
      </c>
      <c r="G625" s="1">
        <v>45685</v>
      </c>
      <c r="H625" t="s">
        <v>17</v>
      </c>
      <c r="I625" t="s">
        <v>18</v>
      </c>
      <c r="J625">
        <v>5</v>
      </c>
      <c r="K625" t="s">
        <v>19</v>
      </c>
      <c r="L625" t="s">
        <v>77</v>
      </c>
      <c r="M625">
        <f>orders[[#This Row],[Ship Date]]-orders[[#This Row],[Order Date]]</f>
        <v>1</v>
      </c>
      <c r="N625">
        <f>WEEKNUM(orders[[#This Row],[Order Date]])</f>
        <v>5</v>
      </c>
      <c r="O625" t="str">
        <f>_xlfn.IFS(orders[[#This Row],[Customer Gender]]="M","Male", orders[[#This Row],[Customer Gender]]="F","Female", orders[[#This Row],[Customer Gender]]="O","Other", TRUE,"Unknown")</f>
        <v>Unknown</v>
      </c>
    </row>
    <row r="626" spans="1:15">
      <c r="A626" t="s">
        <v>718</v>
      </c>
      <c r="B626" t="s">
        <v>16</v>
      </c>
      <c r="C626">
        <v>22</v>
      </c>
      <c r="D626">
        <v>11.6</v>
      </c>
      <c r="E626">
        <v>255.2</v>
      </c>
      <c r="F626" s="1">
        <v>45684</v>
      </c>
      <c r="G626" s="1">
        <v>45686</v>
      </c>
      <c r="H626" t="s">
        <v>27</v>
      </c>
      <c r="I626" t="s">
        <v>51</v>
      </c>
      <c r="J626">
        <v>5</v>
      </c>
      <c r="K626" t="s">
        <v>19</v>
      </c>
      <c r="L626" t="s">
        <v>108</v>
      </c>
      <c r="M626">
        <f>orders[[#This Row],[Ship Date]]-orders[[#This Row],[Order Date]]</f>
        <v>2</v>
      </c>
      <c r="N626">
        <f>WEEKNUM(orders[[#This Row],[Order Date]])</f>
        <v>5</v>
      </c>
      <c r="O626" t="str">
        <f>_xlfn.IFS(orders[[#This Row],[Customer Gender]]="M","Male", orders[[#This Row],[Customer Gender]]="F","Female", orders[[#This Row],[Customer Gender]]="O","Other", TRUE,"Unknown")</f>
        <v>Female</v>
      </c>
    </row>
    <row r="627" spans="1:15">
      <c r="A627" t="s">
        <v>743</v>
      </c>
      <c r="B627" t="s">
        <v>69</v>
      </c>
      <c r="C627">
        <v>3</v>
      </c>
      <c r="D627">
        <v>94.6</v>
      </c>
      <c r="E627">
        <v>283.79999999999995</v>
      </c>
      <c r="F627" s="1">
        <v>45686</v>
      </c>
      <c r="G627" s="1">
        <v>45687</v>
      </c>
      <c r="H627" t="s">
        <v>23</v>
      </c>
      <c r="I627" t="s">
        <v>40</v>
      </c>
      <c r="J627">
        <v>3</v>
      </c>
      <c r="K627" t="s">
        <v>19</v>
      </c>
      <c r="L627" t="s">
        <v>62</v>
      </c>
      <c r="M627">
        <f>orders[[#This Row],[Ship Date]]-orders[[#This Row],[Order Date]]</f>
        <v>1</v>
      </c>
      <c r="N627">
        <f>WEEKNUM(orders[[#This Row],[Order Date]])</f>
        <v>5</v>
      </c>
      <c r="O627" t="str">
        <f>_xlfn.IFS(orders[[#This Row],[Customer Gender]]="M","Male", orders[[#This Row],[Customer Gender]]="F","Female", orders[[#This Row],[Customer Gender]]="O","Other", TRUE,"Unknown")</f>
        <v>Male</v>
      </c>
    </row>
    <row r="628" spans="1:15">
      <c r="A628" t="s">
        <v>754</v>
      </c>
      <c r="B628" t="s">
        <v>26</v>
      </c>
      <c r="C628">
        <v>2</v>
      </c>
      <c r="D628">
        <v>130.69999999999999</v>
      </c>
      <c r="E628">
        <v>261.39999999999998</v>
      </c>
      <c r="F628" s="1">
        <v>45686</v>
      </c>
      <c r="G628" s="1">
        <v>45687</v>
      </c>
      <c r="H628" t="s">
        <v>27</v>
      </c>
      <c r="I628" t="s">
        <v>40</v>
      </c>
      <c r="J628">
        <v>4</v>
      </c>
      <c r="K628" t="s">
        <v>19</v>
      </c>
      <c r="L628" t="s">
        <v>587</v>
      </c>
      <c r="M628">
        <f>orders[[#This Row],[Ship Date]]-orders[[#This Row],[Order Date]]</f>
        <v>1</v>
      </c>
      <c r="N628">
        <f>WEEKNUM(orders[[#This Row],[Order Date]])</f>
        <v>5</v>
      </c>
      <c r="O628" t="str">
        <f>_xlfn.IFS(orders[[#This Row],[Customer Gender]]="M","Male", orders[[#This Row],[Customer Gender]]="F","Female", orders[[#This Row],[Customer Gender]]="O","Other", TRUE,"Unknown")</f>
        <v>Female</v>
      </c>
    </row>
    <row r="629" spans="1:15">
      <c r="A629" t="s">
        <v>682</v>
      </c>
      <c r="B629" t="s">
        <v>26</v>
      </c>
      <c r="C629">
        <v>3</v>
      </c>
      <c r="D629">
        <v>83.1</v>
      </c>
      <c r="E629">
        <v>249.29999999999998</v>
      </c>
      <c r="F629" s="1">
        <v>45683</v>
      </c>
      <c r="G629" s="1">
        <v>45684</v>
      </c>
      <c r="H629" t="s">
        <v>27</v>
      </c>
      <c r="I629" t="s">
        <v>40</v>
      </c>
      <c r="J629">
        <v>3</v>
      </c>
      <c r="K629" t="s">
        <v>19</v>
      </c>
      <c r="L629" t="s">
        <v>82</v>
      </c>
      <c r="M629">
        <f>orders[[#This Row],[Ship Date]]-orders[[#This Row],[Order Date]]</f>
        <v>1</v>
      </c>
      <c r="N629">
        <f>WEEKNUM(orders[[#This Row],[Order Date]])</f>
        <v>5</v>
      </c>
      <c r="O629" t="str">
        <f>_xlfn.IFS(orders[[#This Row],[Customer Gender]]="M","Male", orders[[#This Row],[Customer Gender]]="F","Female", orders[[#This Row],[Customer Gender]]="O","Other", TRUE,"Unknown")</f>
        <v>Female</v>
      </c>
    </row>
    <row r="630" spans="1:15">
      <c r="A630" t="s">
        <v>722</v>
      </c>
      <c r="B630" t="s">
        <v>32</v>
      </c>
      <c r="C630">
        <v>1</v>
      </c>
      <c r="D630">
        <v>58.8</v>
      </c>
      <c r="E630">
        <v>58.8</v>
      </c>
      <c r="F630" s="1">
        <v>45684</v>
      </c>
      <c r="G630" s="1">
        <v>45686</v>
      </c>
      <c r="H630" t="s">
        <v>27</v>
      </c>
      <c r="I630" t="s">
        <v>18</v>
      </c>
      <c r="J630">
        <v>3</v>
      </c>
      <c r="K630" t="s">
        <v>19</v>
      </c>
      <c r="L630" t="s">
        <v>115</v>
      </c>
      <c r="M630">
        <f>orders[[#This Row],[Ship Date]]-orders[[#This Row],[Order Date]]</f>
        <v>2</v>
      </c>
      <c r="N630">
        <f>WEEKNUM(orders[[#This Row],[Order Date]])</f>
        <v>5</v>
      </c>
      <c r="O630" t="str">
        <f>_xlfn.IFS(orders[[#This Row],[Customer Gender]]="M","Male", orders[[#This Row],[Customer Gender]]="F","Female", orders[[#This Row],[Customer Gender]]="O","Other", TRUE,"Unknown")</f>
        <v>Female</v>
      </c>
    </row>
    <row r="631" spans="1:15">
      <c r="A631" t="s">
        <v>723</v>
      </c>
      <c r="B631" t="s">
        <v>44</v>
      </c>
      <c r="C631">
        <v>2</v>
      </c>
      <c r="D631">
        <v>22.1</v>
      </c>
      <c r="E631">
        <v>44.2</v>
      </c>
      <c r="F631" s="1">
        <v>45684</v>
      </c>
      <c r="G631" s="1">
        <v>45687</v>
      </c>
      <c r="H631" t="s">
        <v>23</v>
      </c>
      <c r="I631" t="s">
        <v>35</v>
      </c>
      <c r="J631">
        <v>5</v>
      </c>
      <c r="K631" t="s">
        <v>19</v>
      </c>
      <c r="L631" t="s">
        <v>115</v>
      </c>
      <c r="M631">
        <f>orders[[#This Row],[Ship Date]]-orders[[#This Row],[Order Date]]</f>
        <v>3</v>
      </c>
      <c r="N631">
        <f>WEEKNUM(orders[[#This Row],[Order Date]])</f>
        <v>5</v>
      </c>
      <c r="O631" t="str">
        <f>_xlfn.IFS(orders[[#This Row],[Customer Gender]]="M","Male", orders[[#This Row],[Customer Gender]]="F","Female", orders[[#This Row],[Customer Gender]]="O","Other", TRUE,"Unknown")</f>
        <v>Male</v>
      </c>
    </row>
    <row r="632" spans="1:15">
      <c r="A632" t="s">
        <v>724</v>
      </c>
      <c r="B632" t="s">
        <v>26</v>
      </c>
      <c r="C632">
        <v>1</v>
      </c>
      <c r="D632">
        <v>114.9</v>
      </c>
      <c r="E632">
        <v>114.9</v>
      </c>
      <c r="F632" s="1">
        <v>45685</v>
      </c>
      <c r="G632" s="1">
        <v>45686</v>
      </c>
      <c r="H632" t="s">
        <v>27</v>
      </c>
      <c r="I632" t="s">
        <v>35</v>
      </c>
      <c r="J632">
        <v>3</v>
      </c>
      <c r="K632" t="s">
        <v>19</v>
      </c>
      <c r="L632" t="s">
        <v>147</v>
      </c>
      <c r="M632">
        <f>orders[[#This Row],[Ship Date]]-orders[[#This Row],[Order Date]]</f>
        <v>1</v>
      </c>
      <c r="N632">
        <f>WEEKNUM(orders[[#This Row],[Order Date]])</f>
        <v>5</v>
      </c>
      <c r="O632" t="str">
        <f>_xlfn.IFS(orders[[#This Row],[Customer Gender]]="M","Male", orders[[#This Row],[Customer Gender]]="F","Female", orders[[#This Row],[Customer Gender]]="O","Other", TRUE,"Unknown")</f>
        <v>Female</v>
      </c>
    </row>
    <row r="633" spans="1:15">
      <c r="A633" t="s">
        <v>725</v>
      </c>
      <c r="B633" t="s">
        <v>46</v>
      </c>
      <c r="C633">
        <v>5</v>
      </c>
      <c r="D633">
        <v>75.8</v>
      </c>
      <c r="E633">
        <v>379</v>
      </c>
      <c r="F633" s="1">
        <v>45685</v>
      </c>
      <c r="G633" s="1">
        <v>45686</v>
      </c>
      <c r="H633" t="s">
        <v>23</v>
      </c>
      <c r="I633" t="s">
        <v>18</v>
      </c>
      <c r="J633">
        <v>5</v>
      </c>
      <c r="K633" t="s">
        <v>19</v>
      </c>
      <c r="L633" t="s">
        <v>33</v>
      </c>
      <c r="M633">
        <f>orders[[#This Row],[Ship Date]]-orders[[#This Row],[Order Date]]</f>
        <v>1</v>
      </c>
      <c r="N633">
        <f>WEEKNUM(orders[[#This Row],[Order Date]])</f>
        <v>5</v>
      </c>
      <c r="O633" t="str">
        <f>_xlfn.IFS(orders[[#This Row],[Customer Gender]]="M","Male", orders[[#This Row],[Customer Gender]]="F","Female", orders[[#This Row],[Customer Gender]]="O","Other", TRUE,"Unknown")</f>
        <v>Male</v>
      </c>
    </row>
    <row r="634" spans="1:15">
      <c r="A634" t="s">
        <v>751</v>
      </c>
      <c r="B634" t="s">
        <v>26</v>
      </c>
      <c r="C634">
        <v>4</v>
      </c>
      <c r="D634">
        <v>61.6</v>
      </c>
      <c r="E634">
        <v>246.4</v>
      </c>
      <c r="F634" s="1">
        <v>45686</v>
      </c>
      <c r="G634" s="1">
        <v>45687</v>
      </c>
      <c r="H634" t="s">
        <v>23</v>
      </c>
      <c r="I634" t="s">
        <v>40</v>
      </c>
      <c r="J634">
        <v>4</v>
      </c>
      <c r="K634" t="s">
        <v>19</v>
      </c>
      <c r="L634" t="s">
        <v>77</v>
      </c>
      <c r="M634">
        <f>orders[[#This Row],[Ship Date]]-orders[[#This Row],[Order Date]]</f>
        <v>1</v>
      </c>
      <c r="N634">
        <f>WEEKNUM(orders[[#This Row],[Order Date]])</f>
        <v>5</v>
      </c>
      <c r="O634" t="str">
        <f>_xlfn.IFS(orders[[#This Row],[Customer Gender]]="M","Male", orders[[#This Row],[Customer Gender]]="F","Female", orders[[#This Row],[Customer Gender]]="O","Other", TRUE,"Unknown")</f>
        <v>Male</v>
      </c>
    </row>
    <row r="635" spans="1:15">
      <c r="A635" t="s">
        <v>727</v>
      </c>
      <c r="B635" t="s">
        <v>135</v>
      </c>
      <c r="C635">
        <v>3</v>
      </c>
      <c r="D635">
        <v>67.900000000000006</v>
      </c>
      <c r="E635">
        <v>203.70000000000002</v>
      </c>
      <c r="F635" s="1">
        <v>45685</v>
      </c>
      <c r="G635" s="1">
        <v>45686</v>
      </c>
      <c r="H635" t="s">
        <v>27</v>
      </c>
      <c r="I635" t="s">
        <v>35</v>
      </c>
      <c r="J635">
        <v>3</v>
      </c>
      <c r="K635" t="s">
        <v>19</v>
      </c>
      <c r="L635" t="s">
        <v>33</v>
      </c>
      <c r="M635">
        <f>orders[[#This Row],[Ship Date]]-orders[[#This Row],[Order Date]]</f>
        <v>1</v>
      </c>
      <c r="N635">
        <f>WEEKNUM(orders[[#This Row],[Order Date]])</f>
        <v>5</v>
      </c>
      <c r="O635" t="str">
        <f>_xlfn.IFS(orders[[#This Row],[Customer Gender]]="M","Male", orders[[#This Row],[Customer Gender]]="F","Female", orders[[#This Row],[Customer Gender]]="O","Other", TRUE,"Unknown")</f>
        <v>Female</v>
      </c>
    </row>
    <row r="636" spans="1:15">
      <c r="A636" t="s">
        <v>728</v>
      </c>
      <c r="B636" t="s">
        <v>16</v>
      </c>
      <c r="C636">
        <v>5</v>
      </c>
      <c r="D636">
        <v>27</v>
      </c>
      <c r="E636">
        <v>135</v>
      </c>
      <c r="F636" s="1">
        <v>45685</v>
      </c>
      <c r="G636" s="1">
        <v>45692</v>
      </c>
      <c r="H636" t="s">
        <v>27</v>
      </c>
      <c r="I636" t="s">
        <v>18</v>
      </c>
      <c r="J636">
        <v>5</v>
      </c>
      <c r="K636" t="s">
        <v>19</v>
      </c>
      <c r="L636" t="s">
        <v>33</v>
      </c>
      <c r="M636">
        <f>orders[[#This Row],[Ship Date]]-orders[[#This Row],[Order Date]]</f>
        <v>7</v>
      </c>
      <c r="N636">
        <f>WEEKNUM(orders[[#This Row],[Order Date]])</f>
        <v>5</v>
      </c>
      <c r="O636" t="str">
        <f>_xlfn.IFS(orders[[#This Row],[Customer Gender]]="M","Male", orders[[#This Row],[Customer Gender]]="F","Female", orders[[#This Row],[Customer Gender]]="O","Other", TRUE,"Unknown")</f>
        <v>Female</v>
      </c>
    </row>
    <row r="637" spans="1:15">
      <c r="A637" t="s">
        <v>729</v>
      </c>
      <c r="B637" t="s">
        <v>76</v>
      </c>
      <c r="C637">
        <v>1</v>
      </c>
      <c r="D637">
        <v>50.6</v>
      </c>
      <c r="E637">
        <v>50.6</v>
      </c>
      <c r="F637" s="1">
        <v>45685</v>
      </c>
      <c r="G637" s="1">
        <v>45685</v>
      </c>
      <c r="H637" t="s">
        <v>23</v>
      </c>
      <c r="I637" t="s">
        <v>18</v>
      </c>
      <c r="J637">
        <v>3</v>
      </c>
      <c r="K637" t="s">
        <v>19</v>
      </c>
      <c r="L637" t="s">
        <v>33</v>
      </c>
      <c r="M637">
        <f>orders[[#This Row],[Ship Date]]-orders[[#This Row],[Order Date]]</f>
        <v>0</v>
      </c>
      <c r="N637">
        <f>WEEKNUM(orders[[#This Row],[Order Date]])</f>
        <v>5</v>
      </c>
      <c r="O637" t="str">
        <f>_xlfn.IFS(orders[[#This Row],[Customer Gender]]="M","Male", orders[[#This Row],[Customer Gender]]="F","Female", orders[[#This Row],[Customer Gender]]="O","Other", TRUE,"Unknown")</f>
        <v>Male</v>
      </c>
    </row>
    <row r="638" spans="1:15">
      <c r="A638" t="s">
        <v>730</v>
      </c>
      <c r="B638" t="s">
        <v>32</v>
      </c>
      <c r="C638">
        <v>5</v>
      </c>
      <c r="D638">
        <v>22.1</v>
      </c>
      <c r="E638">
        <v>110.5</v>
      </c>
      <c r="F638" s="1">
        <v>45685</v>
      </c>
      <c r="G638" s="1">
        <v>45690</v>
      </c>
      <c r="H638" t="s">
        <v>23</v>
      </c>
      <c r="I638" t="s">
        <v>18</v>
      </c>
      <c r="J638">
        <v>4</v>
      </c>
      <c r="K638" t="s">
        <v>19</v>
      </c>
      <c r="L638" t="s">
        <v>33</v>
      </c>
      <c r="M638">
        <f>orders[[#This Row],[Ship Date]]-orders[[#This Row],[Order Date]]</f>
        <v>5</v>
      </c>
      <c r="N638">
        <f>WEEKNUM(orders[[#This Row],[Order Date]])</f>
        <v>5</v>
      </c>
      <c r="O638" t="str">
        <f>_xlfn.IFS(orders[[#This Row],[Customer Gender]]="M","Male", orders[[#This Row],[Customer Gender]]="F","Female", orders[[#This Row],[Customer Gender]]="O","Other", TRUE,"Unknown")</f>
        <v>Male</v>
      </c>
    </row>
    <row r="639" spans="1:15">
      <c r="A639" t="s">
        <v>731</v>
      </c>
      <c r="B639" t="s">
        <v>44</v>
      </c>
      <c r="C639">
        <v>3</v>
      </c>
      <c r="D639">
        <v>42.9</v>
      </c>
      <c r="E639">
        <v>128.69999999999999</v>
      </c>
      <c r="F639" s="1">
        <v>45685</v>
      </c>
      <c r="G639" s="1">
        <v>45687</v>
      </c>
      <c r="H639" t="s">
        <v>27</v>
      </c>
      <c r="I639" t="s">
        <v>18</v>
      </c>
      <c r="J639">
        <v>4</v>
      </c>
      <c r="K639" t="s">
        <v>19</v>
      </c>
      <c r="L639" t="s">
        <v>33</v>
      </c>
      <c r="M639">
        <f>orders[[#This Row],[Ship Date]]-orders[[#This Row],[Order Date]]</f>
        <v>2</v>
      </c>
      <c r="N639">
        <f>WEEKNUM(orders[[#This Row],[Order Date]])</f>
        <v>5</v>
      </c>
      <c r="O639" t="str">
        <f>_xlfn.IFS(orders[[#This Row],[Customer Gender]]="M","Male", orders[[#This Row],[Customer Gender]]="F","Female", orders[[#This Row],[Customer Gender]]="O","Other", TRUE,"Unknown")</f>
        <v>Female</v>
      </c>
    </row>
    <row r="640" spans="1:15">
      <c r="A640" t="s">
        <v>837</v>
      </c>
      <c r="B640" t="s">
        <v>39</v>
      </c>
      <c r="C640">
        <v>2</v>
      </c>
      <c r="D640">
        <v>105.7</v>
      </c>
      <c r="E640">
        <v>211.4</v>
      </c>
      <c r="F640" s="1">
        <v>45689</v>
      </c>
      <c r="G640" s="1">
        <v>45690</v>
      </c>
      <c r="H640" t="s">
        <v>27</v>
      </c>
      <c r="I640" t="s">
        <v>40</v>
      </c>
      <c r="J640">
        <v>5</v>
      </c>
      <c r="K640" t="s">
        <v>19</v>
      </c>
      <c r="L640" t="s">
        <v>115</v>
      </c>
      <c r="M640">
        <f>orders[[#This Row],[Ship Date]]-orders[[#This Row],[Order Date]]</f>
        <v>1</v>
      </c>
      <c r="N640">
        <f>WEEKNUM(orders[[#This Row],[Order Date]])</f>
        <v>5</v>
      </c>
      <c r="O640" t="str">
        <f>_xlfn.IFS(orders[[#This Row],[Customer Gender]]="M","Male", orders[[#This Row],[Customer Gender]]="F","Female", orders[[#This Row],[Customer Gender]]="O","Other", TRUE,"Unknown")</f>
        <v>Female</v>
      </c>
    </row>
    <row r="641" spans="1:15">
      <c r="A641" t="s">
        <v>733</v>
      </c>
      <c r="B641" t="s">
        <v>76</v>
      </c>
      <c r="C641">
        <v>9</v>
      </c>
      <c r="D641">
        <v>36.4</v>
      </c>
      <c r="E641">
        <v>327.59999999999997</v>
      </c>
      <c r="F641" s="1">
        <v>45685</v>
      </c>
      <c r="G641" s="1">
        <v>45687</v>
      </c>
      <c r="H641" t="s">
        <v>27</v>
      </c>
      <c r="I641" t="s">
        <v>18</v>
      </c>
      <c r="J641">
        <v>5</v>
      </c>
      <c r="K641" t="s">
        <v>19</v>
      </c>
      <c r="L641" t="s">
        <v>33</v>
      </c>
      <c r="M641">
        <f>orders[[#This Row],[Ship Date]]-orders[[#This Row],[Order Date]]</f>
        <v>2</v>
      </c>
      <c r="N641">
        <f>WEEKNUM(orders[[#This Row],[Order Date]])</f>
        <v>5</v>
      </c>
      <c r="O641" t="str">
        <f>_xlfn.IFS(orders[[#This Row],[Customer Gender]]="M","Male", orders[[#This Row],[Customer Gender]]="F","Female", orders[[#This Row],[Customer Gender]]="O","Other", TRUE,"Unknown")</f>
        <v>Female</v>
      </c>
    </row>
    <row r="642" spans="1:15">
      <c r="A642" t="s">
        <v>734</v>
      </c>
      <c r="B642" t="s">
        <v>16</v>
      </c>
      <c r="C642">
        <v>2</v>
      </c>
      <c r="D642">
        <v>22.5</v>
      </c>
      <c r="E642">
        <v>45</v>
      </c>
      <c r="F642" s="1">
        <v>45685</v>
      </c>
      <c r="G642" s="1">
        <v>45688</v>
      </c>
      <c r="H642" t="s">
        <v>23</v>
      </c>
      <c r="I642" t="s">
        <v>18</v>
      </c>
      <c r="J642">
        <v>4</v>
      </c>
      <c r="K642" t="s">
        <v>19</v>
      </c>
      <c r="L642" t="s">
        <v>33</v>
      </c>
      <c r="M642">
        <f>orders[[#This Row],[Ship Date]]-orders[[#This Row],[Order Date]]</f>
        <v>3</v>
      </c>
      <c r="N642">
        <f>WEEKNUM(orders[[#This Row],[Order Date]])</f>
        <v>5</v>
      </c>
      <c r="O642" t="str">
        <f>_xlfn.IFS(orders[[#This Row],[Customer Gender]]="M","Male", orders[[#This Row],[Customer Gender]]="F","Female", orders[[#This Row],[Customer Gender]]="O","Other", TRUE,"Unknown")</f>
        <v>Male</v>
      </c>
    </row>
    <row r="643" spans="1:15">
      <c r="A643" t="s">
        <v>735</v>
      </c>
      <c r="B643" t="s">
        <v>39</v>
      </c>
      <c r="C643">
        <v>4</v>
      </c>
      <c r="D643">
        <v>70.8</v>
      </c>
      <c r="E643">
        <v>283.2</v>
      </c>
      <c r="F643" s="1">
        <v>45685</v>
      </c>
      <c r="G643" s="1">
        <v>45687</v>
      </c>
      <c r="H643" t="s">
        <v>27</v>
      </c>
      <c r="I643" t="s">
        <v>70</v>
      </c>
      <c r="J643">
        <v>4</v>
      </c>
      <c r="K643" t="s">
        <v>19</v>
      </c>
      <c r="L643" t="s">
        <v>33</v>
      </c>
      <c r="M643">
        <f>orders[[#This Row],[Ship Date]]-orders[[#This Row],[Order Date]]</f>
        <v>2</v>
      </c>
      <c r="N643">
        <f>WEEKNUM(orders[[#This Row],[Order Date]])</f>
        <v>5</v>
      </c>
      <c r="O643" t="str">
        <f>_xlfn.IFS(orders[[#This Row],[Customer Gender]]="M","Male", orders[[#This Row],[Customer Gender]]="F","Female", orders[[#This Row],[Customer Gender]]="O","Other", TRUE,"Unknown")</f>
        <v>Female</v>
      </c>
    </row>
    <row r="644" spans="1:15">
      <c r="A644" t="s">
        <v>736</v>
      </c>
      <c r="B644" t="s">
        <v>39</v>
      </c>
      <c r="C644">
        <v>5</v>
      </c>
      <c r="D644">
        <v>56.6</v>
      </c>
      <c r="E644">
        <v>283</v>
      </c>
      <c r="F644" s="1">
        <v>45685</v>
      </c>
      <c r="G644" s="1">
        <v>45687</v>
      </c>
      <c r="H644" t="s">
        <v>23</v>
      </c>
      <c r="I644" t="s">
        <v>18</v>
      </c>
      <c r="J644">
        <v>3</v>
      </c>
      <c r="K644" t="s">
        <v>19</v>
      </c>
      <c r="L644" t="s">
        <v>49</v>
      </c>
      <c r="M644">
        <f>orders[[#This Row],[Ship Date]]-orders[[#This Row],[Order Date]]</f>
        <v>2</v>
      </c>
      <c r="N644">
        <f>WEEKNUM(orders[[#This Row],[Order Date]])</f>
        <v>5</v>
      </c>
      <c r="O644" t="str">
        <f>_xlfn.IFS(orders[[#This Row],[Customer Gender]]="M","Male", orders[[#This Row],[Customer Gender]]="F","Female", orders[[#This Row],[Customer Gender]]="O","Other", TRUE,"Unknown")</f>
        <v>Male</v>
      </c>
    </row>
    <row r="645" spans="1:15">
      <c r="A645" t="s">
        <v>737</v>
      </c>
      <c r="B645" t="s">
        <v>39</v>
      </c>
      <c r="C645">
        <v>2</v>
      </c>
      <c r="D645">
        <v>47.9</v>
      </c>
      <c r="E645">
        <v>95.8</v>
      </c>
      <c r="F645" s="1">
        <v>45685</v>
      </c>
      <c r="G645" s="1">
        <v>45686</v>
      </c>
      <c r="H645" t="s">
        <v>27</v>
      </c>
      <c r="I645" t="s">
        <v>18</v>
      </c>
      <c r="J645">
        <v>4</v>
      </c>
      <c r="K645" t="s">
        <v>19</v>
      </c>
      <c r="L645" t="s">
        <v>55</v>
      </c>
      <c r="M645">
        <f>orders[[#This Row],[Ship Date]]-orders[[#This Row],[Order Date]]</f>
        <v>1</v>
      </c>
      <c r="N645">
        <f>WEEKNUM(orders[[#This Row],[Order Date]])</f>
        <v>5</v>
      </c>
      <c r="O645" t="str">
        <f>_xlfn.IFS(orders[[#This Row],[Customer Gender]]="M","Male", orders[[#This Row],[Customer Gender]]="F","Female", orders[[#This Row],[Customer Gender]]="O","Other", TRUE,"Unknown")</f>
        <v>Female</v>
      </c>
    </row>
    <row r="646" spans="1:15">
      <c r="A646" t="s">
        <v>738</v>
      </c>
      <c r="B646" t="s">
        <v>39</v>
      </c>
      <c r="C646">
        <v>8</v>
      </c>
      <c r="D646">
        <v>78.400000000000006</v>
      </c>
      <c r="E646">
        <v>627.20000000000005</v>
      </c>
      <c r="F646" s="1">
        <v>45685</v>
      </c>
      <c r="G646" s="1">
        <v>45687</v>
      </c>
      <c r="H646" t="s">
        <v>27</v>
      </c>
      <c r="I646" t="s">
        <v>35</v>
      </c>
      <c r="J646">
        <v>4</v>
      </c>
      <c r="K646" t="s">
        <v>19</v>
      </c>
      <c r="L646" t="s">
        <v>55</v>
      </c>
      <c r="M646">
        <f>orders[[#This Row],[Ship Date]]-orders[[#This Row],[Order Date]]</f>
        <v>2</v>
      </c>
      <c r="N646">
        <f>WEEKNUM(orders[[#This Row],[Order Date]])</f>
        <v>5</v>
      </c>
      <c r="O646" t="str">
        <f>_xlfn.IFS(orders[[#This Row],[Customer Gender]]="M","Male", orders[[#This Row],[Customer Gender]]="F","Female", orders[[#This Row],[Customer Gender]]="O","Other", TRUE,"Unknown")</f>
        <v>Female</v>
      </c>
    </row>
    <row r="647" spans="1:15">
      <c r="A647" t="s">
        <v>739</v>
      </c>
      <c r="B647" t="s">
        <v>26</v>
      </c>
      <c r="C647">
        <v>14</v>
      </c>
      <c r="D647">
        <v>122.1</v>
      </c>
      <c r="E647">
        <v>1709.3999999999999</v>
      </c>
      <c r="F647" s="1">
        <v>45685</v>
      </c>
      <c r="G647" s="1">
        <v>45690</v>
      </c>
      <c r="H647" t="s">
        <v>27</v>
      </c>
      <c r="I647" t="s">
        <v>18</v>
      </c>
      <c r="J647">
        <v>5</v>
      </c>
      <c r="K647" t="s">
        <v>19</v>
      </c>
      <c r="L647" t="s">
        <v>55</v>
      </c>
      <c r="M647">
        <f>orders[[#This Row],[Ship Date]]-orders[[#This Row],[Order Date]]</f>
        <v>5</v>
      </c>
      <c r="N647">
        <f>WEEKNUM(orders[[#This Row],[Order Date]])</f>
        <v>5</v>
      </c>
      <c r="O647" t="str">
        <f>_xlfn.IFS(orders[[#This Row],[Customer Gender]]="M","Male", orders[[#This Row],[Customer Gender]]="F","Female", orders[[#This Row],[Customer Gender]]="O","Other", TRUE,"Unknown")</f>
        <v>Female</v>
      </c>
    </row>
    <row r="648" spans="1:15">
      <c r="A648" t="s">
        <v>740</v>
      </c>
      <c r="B648" t="s">
        <v>26</v>
      </c>
      <c r="C648">
        <v>2</v>
      </c>
      <c r="D648">
        <v>83.7</v>
      </c>
      <c r="E648">
        <v>167.4</v>
      </c>
      <c r="F648" s="1">
        <v>45686</v>
      </c>
      <c r="G648" s="1">
        <v>45686</v>
      </c>
      <c r="H648" t="s">
        <v>17</v>
      </c>
      <c r="I648" t="s">
        <v>35</v>
      </c>
      <c r="J648">
        <v>5</v>
      </c>
      <c r="K648" t="s">
        <v>19</v>
      </c>
      <c r="L648" t="s">
        <v>59</v>
      </c>
      <c r="M648">
        <f>orders[[#This Row],[Ship Date]]-orders[[#This Row],[Order Date]]</f>
        <v>0</v>
      </c>
      <c r="N648">
        <f>WEEKNUM(orders[[#This Row],[Order Date]])</f>
        <v>5</v>
      </c>
      <c r="O648" t="str">
        <f>_xlfn.IFS(orders[[#This Row],[Customer Gender]]="M","Male", orders[[#This Row],[Customer Gender]]="F","Female", orders[[#This Row],[Customer Gender]]="O","Other", TRUE,"Unknown")</f>
        <v>Unknown</v>
      </c>
    </row>
    <row r="649" spans="1:15">
      <c r="A649" t="s">
        <v>741</v>
      </c>
      <c r="B649" t="s">
        <v>30</v>
      </c>
      <c r="C649">
        <v>4</v>
      </c>
      <c r="D649">
        <v>97.9</v>
      </c>
      <c r="E649">
        <v>391.6</v>
      </c>
      <c r="F649" s="1">
        <v>45686</v>
      </c>
      <c r="G649" s="1">
        <v>45690</v>
      </c>
      <c r="H649" t="s">
        <v>27</v>
      </c>
      <c r="I649" t="s">
        <v>51</v>
      </c>
      <c r="J649">
        <v>5</v>
      </c>
      <c r="K649" t="s">
        <v>19</v>
      </c>
      <c r="L649" t="s">
        <v>59</v>
      </c>
      <c r="M649">
        <f>orders[[#This Row],[Ship Date]]-orders[[#This Row],[Order Date]]</f>
        <v>4</v>
      </c>
      <c r="N649">
        <f>WEEKNUM(orders[[#This Row],[Order Date]])</f>
        <v>5</v>
      </c>
      <c r="O649" t="str">
        <f>_xlfn.IFS(orders[[#This Row],[Customer Gender]]="M","Male", orders[[#This Row],[Customer Gender]]="F","Female", orders[[#This Row],[Customer Gender]]="O","Other", TRUE,"Unknown")</f>
        <v>Female</v>
      </c>
    </row>
    <row r="650" spans="1:15">
      <c r="A650" t="s">
        <v>742</v>
      </c>
      <c r="B650" t="s">
        <v>81</v>
      </c>
      <c r="C650">
        <v>1</v>
      </c>
      <c r="D650">
        <v>15</v>
      </c>
      <c r="E650">
        <v>15</v>
      </c>
      <c r="F650" s="1">
        <v>45686</v>
      </c>
      <c r="G650" s="1">
        <v>45691</v>
      </c>
      <c r="H650" t="s">
        <v>27</v>
      </c>
      <c r="I650" t="s">
        <v>51</v>
      </c>
      <c r="J650">
        <v>4</v>
      </c>
      <c r="K650" t="s">
        <v>19</v>
      </c>
      <c r="L650" t="s">
        <v>62</v>
      </c>
      <c r="M650">
        <f>orders[[#This Row],[Ship Date]]-orders[[#This Row],[Order Date]]</f>
        <v>5</v>
      </c>
      <c r="N650">
        <f>WEEKNUM(orders[[#This Row],[Order Date]])</f>
        <v>5</v>
      </c>
      <c r="O650" t="str">
        <f>_xlfn.IFS(orders[[#This Row],[Customer Gender]]="M","Male", orders[[#This Row],[Customer Gender]]="F","Female", orders[[#This Row],[Customer Gender]]="O","Other", TRUE,"Unknown")</f>
        <v>Female</v>
      </c>
    </row>
    <row r="651" spans="1:15">
      <c r="A651" t="s">
        <v>779</v>
      </c>
      <c r="B651" t="s">
        <v>135</v>
      </c>
      <c r="C651">
        <v>6</v>
      </c>
      <c r="D651">
        <v>31.5</v>
      </c>
      <c r="E651">
        <v>189</v>
      </c>
      <c r="F651" s="1">
        <v>45687</v>
      </c>
      <c r="G651" s="1">
        <v>45688</v>
      </c>
      <c r="H651" t="s">
        <v>27</v>
      </c>
      <c r="I651" t="s">
        <v>40</v>
      </c>
      <c r="J651">
        <v>4</v>
      </c>
      <c r="K651" t="s">
        <v>19</v>
      </c>
      <c r="L651" t="s">
        <v>103</v>
      </c>
      <c r="M651">
        <f>orders[[#This Row],[Ship Date]]-orders[[#This Row],[Order Date]]</f>
        <v>1</v>
      </c>
      <c r="N651">
        <f>WEEKNUM(orders[[#This Row],[Order Date]])</f>
        <v>5</v>
      </c>
      <c r="O651" t="str">
        <f>_xlfn.IFS(orders[[#This Row],[Customer Gender]]="M","Male", orders[[#This Row],[Customer Gender]]="F","Female", orders[[#This Row],[Customer Gender]]="O","Other", TRUE,"Unknown")</f>
        <v>Female</v>
      </c>
    </row>
    <row r="652" spans="1:15">
      <c r="A652" t="s">
        <v>744</v>
      </c>
      <c r="B652" t="s">
        <v>16</v>
      </c>
      <c r="C652">
        <v>6</v>
      </c>
      <c r="D652">
        <v>19.7</v>
      </c>
      <c r="E652">
        <v>118.19999999999999</v>
      </c>
      <c r="F652" s="1">
        <v>45686</v>
      </c>
      <c r="G652" s="1">
        <v>45697</v>
      </c>
      <c r="H652" t="s">
        <v>27</v>
      </c>
      <c r="I652" t="s">
        <v>18</v>
      </c>
      <c r="J652">
        <v>5</v>
      </c>
      <c r="K652" t="s">
        <v>19</v>
      </c>
      <c r="L652" t="s">
        <v>62</v>
      </c>
      <c r="M652">
        <f>orders[[#This Row],[Ship Date]]-orders[[#This Row],[Order Date]]</f>
        <v>11</v>
      </c>
      <c r="N652">
        <f>WEEKNUM(orders[[#This Row],[Order Date]])</f>
        <v>5</v>
      </c>
      <c r="O652" t="str">
        <f>_xlfn.IFS(orders[[#This Row],[Customer Gender]]="M","Male", orders[[#This Row],[Customer Gender]]="F","Female", orders[[#This Row],[Customer Gender]]="O","Other", TRUE,"Unknown")</f>
        <v>Female</v>
      </c>
    </row>
    <row r="653" spans="1:15">
      <c r="A653" t="s">
        <v>746</v>
      </c>
      <c r="B653" t="s">
        <v>22</v>
      </c>
      <c r="C653">
        <v>4</v>
      </c>
      <c r="D653">
        <v>43</v>
      </c>
      <c r="E653">
        <v>172</v>
      </c>
      <c r="F653" s="1">
        <v>45686</v>
      </c>
      <c r="G653" s="1">
        <v>45687</v>
      </c>
      <c r="H653" t="s">
        <v>23</v>
      </c>
      <c r="I653" t="s">
        <v>40</v>
      </c>
      <c r="J653">
        <v>5</v>
      </c>
      <c r="K653" t="s">
        <v>19</v>
      </c>
      <c r="L653" t="s">
        <v>103</v>
      </c>
      <c r="M653">
        <f>orders[[#This Row],[Ship Date]]-orders[[#This Row],[Order Date]]</f>
        <v>1</v>
      </c>
      <c r="N653">
        <f>WEEKNUM(orders[[#This Row],[Order Date]])</f>
        <v>5</v>
      </c>
      <c r="O653" t="str">
        <f>_xlfn.IFS(orders[[#This Row],[Customer Gender]]="M","Male", orders[[#This Row],[Customer Gender]]="F","Female", orders[[#This Row],[Customer Gender]]="O","Other", TRUE,"Unknown")</f>
        <v>Male</v>
      </c>
    </row>
    <row r="654" spans="1:15">
      <c r="A654" t="s">
        <v>770</v>
      </c>
      <c r="B654" t="s">
        <v>26</v>
      </c>
      <c r="C654">
        <v>1</v>
      </c>
      <c r="D654">
        <v>169.9</v>
      </c>
      <c r="E654">
        <v>169.9</v>
      </c>
      <c r="F654" s="1">
        <v>45686</v>
      </c>
      <c r="G654" s="1">
        <v>45687</v>
      </c>
      <c r="H654" t="s">
        <v>23</v>
      </c>
      <c r="I654" t="s">
        <v>40</v>
      </c>
      <c r="J654">
        <v>4</v>
      </c>
      <c r="K654" t="s">
        <v>19</v>
      </c>
      <c r="L654" t="s">
        <v>55</v>
      </c>
      <c r="M654">
        <f>orders[[#This Row],[Ship Date]]-orders[[#This Row],[Order Date]]</f>
        <v>1</v>
      </c>
      <c r="N654">
        <f>WEEKNUM(orders[[#This Row],[Order Date]])</f>
        <v>5</v>
      </c>
      <c r="O654" t="str">
        <f>_xlfn.IFS(orders[[#This Row],[Customer Gender]]="M","Male", orders[[#This Row],[Customer Gender]]="F","Female", orders[[#This Row],[Customer Gender]]="O","Other", TRUE,"Unknown")</f>
        <v>Male</v>
      </c>
    </row>
    <row r="655" spans="1:15">
      <c r="A655" t="s">
        <v>747</v>
      </c>
      <c r="B655" t="s">
        <v>39</v>
      </c>
      <c r="C655">
        <v>3</v>
      </c>
      <c r="D655">
        <v>68.2</v>
      </c>
      <c r="E655">
        <v>204.60000000000002</v>
      </c>
      <c r="F655" s="1">
        <v>45686</v>
      </c>
      <c r="G655" s="1">
        <v>45692</v>
      </c>
      <c r="H655" t="s">
        <v>27</v>
      </c>
      <c r="I655" t="s">
        <v>18</v>
      </c>
      <c r="J655">
        <v>4</v>
      </c>
      <c r="K655" t="s">
        <v>19</v>
      </c>
      <c r="L655" t="s">
        <v>72</v>
      </c>
      <c r="M655">
        <f>orders[[#This Row],[Ship Date]]-orders[[#This Row],[Order Date]]</f>
        <v>6</v>
      </c>
      <c r="N655">
        <f>WEEKNUM(orders[[#This Row],[Order Date]])</f>
        <v>5</v>
      </c>
      <c r="O655" t="str">
        <f>_xlfn.IFS(orders[[#This Row],[Customer Gender]]="M","Male", orders[[#This Row],[Customer Gender]]="F","Female", orders[[#This Row],[Customer Gender]]="O","Other", TRUE,"Unknown")</f>
        <v>Female</v>
      </c>
    </row>
    <row r="656" spans="1:15">
      <c r="A656" t="s">
        <v>748</v>
      </c>
      <c r="B656" t="s">
        <v>54</v>
      </c>
      <c r="C656">
        <v>10</v>
      </c>
      <c r="D656">
        <v>24.3</v>
      </c>
      <c r="E656">
        <v>243</v>
      </c>
      <c r="F656" s="1">
        <v>45686</v>
      </c>
      <c r="G656" s="1">
        <v>45687</v>
      </c>
      <c r="H656" t="s">
        <v>23</v>
      </c>
      <c r="I656" t="s">
        <v>18</v>
      </c>
      <c r="J656">
        <v>5</v>
      </c>
      <c r="K656" t="s">
        <v>19</v>
      </c>
      <c r="L656" t="s">
        <v>74</v>
      </c>
      <c r="M656">
        <f>orders[[#This Row],[Ship Date]]-orders[[#This Row],[Order Date]]</f>
        <v>1</v>
      </c>
      <c r="N656">
        <f>WEEKNUM(orders[[#This Row],[Order Date]])</f>
        <v>5</v>
      </c>
      <c r="O656" t="str">
        <f>_xlfn.IFS(orders[[#This Row],[Customer Gender]]="M","Male", orders[[#This Row],[Customer Gender]]="F","Female", orders[[#This Row],[Customer Gender]]="O","Other", TRUE,"Unknown")</f>
        <v>Male</v>
      </c>
    </row>
    <row r="657" spans="1:15">
      <c r="A657" t="s">
        <v>749</v>
      </c>
      <c r="B657" t="s">
        <v>42</v>
      </c>
      <c r="C657">
        <v>2</v>
      </c>
      <c r="D657">
        <v>86.8</v>
      </c>
      <c r="E657">
        <v>173.6</v>
      </c>
      <c r="F657" s="1">
        <v>45686</v>
      </c>
      <c r="G657" s="1">
        <v>45690</v>
      </c>
      <c r="H657" t="s">
        <v>27</v>
      </c>
      <c r="I657" t="s">
        <v>70</v>
      </c>
      <c r="J657">
        <v>5</v>
      </c>
      <c r="K657" t="s">
        <v>19</v>
      </c>
      <c r="L657" t="s">
        <v>77</v>
      </c>
      <c r="M657">
        <f>orders[[#This Row],[Ship Date]]-orders[[#This Row],[Order Date]]</f>
        <v>4</v>
      </c>
      <c r="N657">
        <f>WEEKNUM(orders[[#This Row],[Order Date]])</f>
        <v>5</v>
      </c>
      <c r="O657" t="str">
        <f>_xlfn.IFS(orders[[#This Row],[Customer Gender]]="M","Male", orders[[#This Row],[Customer Gender]]="F","Female", orders[[#This Row],[Customer Gender]]="O","Other", TRUE,"Unknown")</f>
        <v>Female</v>
      </c>
    </row>
    <row r="658" spans="1:15">
      <c r="A658" t="s">
        <v>750</v>
      </c>
      <c r="B658" t="s">
        <v>16</v>
      </c>
      <c r="C658">
        <v>2</v>
      </c>
      <c r="D658">
        <v>15.8</v>
      </c>
      <c r="E658">
        <v>31.6</v>
      </c>
      <c r="F658" s="1">
        <v>45686</v>
      </c>
      <c r="G658" s="1">
        <v>45688</v>
      </c>
      <c r="H658" t="s">
        <v>23</v>
      </c>
      <c r="I658" t="s">
        <v>35</v>
      </c>
      <c r="J658">
        <v>4</v>
      </c>
      <c r="K658" t="s">
        <v>19</v>
      </c>
      <c r="L658" t="s">
        <v>77</v>
      </c>
      <c r="M658">
        <f>orders[[#This Row],[Ship Date]]-orders[[#This Row],[Order Date]]</f>
        <v>2</v>
      </c>
      <c r="N658">
        <f>WEEKNUM(orders[[#This Row],[Order Date]])</f>
        <v>5</v>
      </c>
      <c r="O658" t="str">
        <f>_xlfn.IFS(orders[[#This Row],[Customer Gender]]="M","Male", orders[[#This Row],[Customer Gender]]="F","Female", orders[[#This Row],[Customer Gender]]="O","Other", TRUE,"Unknown")</f>
        <v>Male</v>
      </c>
    </row>
    <row r="659" spans="1:15">
      <c r="A659" t="s">
        <v>827</v>
      </c>
      <c r="B659" t="s">
        <v>67</v>
      </c>
      <c r="C659">
        <v>5</v>
      </c>
      <c r="D659">
        <v>32.799999999999997</v>
      </c>
      <c r="E659">
        <v>164</v>
      </c>
      <c r="F659" s="1">
        <v>45689</v>
      </c>
      <c r="G659" s="1">
        <v>45692</v>
      </c>
      <c r="H659" t="s">
        <v>27</v>
      </c>
      <c r="I659" t="s">
        <v>40</v>
      </c>
      <c r="J659">
        <v>4</v>
      </c>
      <c r="K659" t="s">
        <v>19</v>
      </c>
      <c r="L659" t="s">
        <v>158</v>
      </c>
      <c r="M659">
        <f>orders[[#This Row],[Ship Date]]-orders[[#This Row],[Order Date]]</f>
        <v>3</v>
      </c>
      <c r="N659">
        <f>WEEKNUM(orders[[#This Row],[Order Date]])</f>
        <v>5</v>
      </c>
      <c r="O659" t="str">
        <f>_xlfn.IFS(orders[[#This Row],[Customer Gender]]="M","Male", orders[[#This Row],[Customer Gender]]="F","Female", orders[[#This Row],[Customer Gender]]="O","Other", TRUE,"Unknown")</f>
        <v>Female</v>
      </c>
    </row>
    <row r="660" spans="1:15">
      <c r="A660" t="s">
        <v>752</v>
      </c>
      <c r="B660" t="s">
        <v>39</v>
      </c>
      <c r="C660">
        <v>3</v>
      </c>
      <c r="D660">
        <v>48.7</v>
      </c>
      <c r="E660">
        <v>146.10000000000002</v>
      </c>
      <c r="F660" s="1">
        <v>45686</v>
      </c>
      <c r="G660" s="1">
        <v>45692</v>
      </c>
      <c r="H660" t="s">
        <v>27</v>
      </c>
      <c r="I660" t="s">
        <v>35</v>
      </c>
      <c r="J660">
        <v>5</v>
      </c>
      <c r="K660" t="s">
        <v>19</v>
      </c>
      <c r="L660" t="s">
        <v>608</v>
      </c>
      <c r="M660">
        <f>orders[[#This Row],[Ship Date]]-orders[[#This Row],[Order Date]]</f>
        <v>6</v>
      </c>
      <c r="N660">
        <f>WEEKNUM(orders[[#This Row],[Order Date]])</f>
        <v>5</v>
      </c>
      <c r="O660" t="str">
        <f>_xlfn.IFS(orders[[#This Row],[Customer Gender]]="M","Male", orders[[#This Row],[Customer Gender]]="F","Female", orders[[#This Row],[Customer Gender]]="O","Other", TRUE,"Unknown")</f>
        <v>Female</v>
      </c>
    </row>
    <row r="661" spans="1:15">
      <c r="A661" t="s">
        <v>753</v>
      </c>
      <c r="B661" t="s">
        <v>44</v>
      </c>
      <c r="C661">
        <v>4</v>
      </c>
      <c r="D661">
        <v>24.3</v>
      </c>
      <c r="E661">
        <v>97.2</v>
      </c>
      <c r="F661" s="1">
        <v>45686</v>
      </c>
      <c r="G661" s="1">
        <v>45688</v>
      </c>
      <c r="H661" t="s">
        <v>27</v>
      </c>
      <c r="I661" t="s">
        <v>35</v>
      </c>
      <c r="J661">
        <v>5</v>
      </c>
      <c r="K661" t="s">
        <v>19</v>
      </c>
      <c r="L661" t="s">
        <v>115</v>
      </c>
      <c r="M661">
        <f>orders[[#This Row],[Ship Date]]-orders[[#This Row],[Order Date]]</f>
        <v>2</v>
      </c>
      <c r="N661">
        <f>WEEKNUM(orders[[#This Row],[Order Date]])</f>
        <v>5</v>
      </c>
      <c r="O661" t="str">
        <f>_xlfn.IFS(orders[[#This Row],[Customer Gender]]="M","Male", orders[[#This Row],[Customer Gender]]="F","Female", orders[[#This Row],[Customer Gender]]="O","Other", TRUE,"Unknown")</f>
        <v>Female</v>
      </c>
    </row>
    <row r="662" spans="1:15">
      <c r="A662" t="s">
        <v>787</v>
      </c>
      <c r="B662" t="s">
        <v>22</v>
      </c>
      <c r="C662">
        <v>3</v>
      </c>
      <c r="D662">
        <v>48.1</v>
      </c>
      <c r="E662">
        <v>144.30000000000001</v>
      </c>
      <c r="F662" s="1">
        <v>45687</v>
      </c>
      <c r="G662" s="1">
        <v>45689</v>
      </c>
      <c r="H662" t="s">
        <v>23</v>
      </c>
      <c r="I662" t="s">
        <v>40</v>
      </c>
      <c r="J662">
        <v>3</v>
      </c>
      <c r="K662" t="s">
        <v>19</v>
      </c>
      <c r="L662" t="s">
        <v>24</v>
      </c>
      <c r="M662">
        <f>orders[[#This Row],[Ship Date]]-orders[[#This Row],[Order Date]]</f>
        <v>2</v>
      </c>
      <c r="N662">
        <f>WEEKNUM(orders[[#This Row],[Order Date]])</f>
        <v>5</v>
      </c>
      <c r="O662" t="str">
        <f>_xlfn.IFS(orders[[#This Row],[Customer Gender]]="M","Male", orders[[#This Row],[Customer Gender]]="F","Female", orders[[#This Row],[Customer Gender]]="O","Other", TRUE,"Unknown")</f>
        <v>Male</v>
      </c>
    </row>
    <row r="663" spans="1:15">
      <c r="A663" t="s">
        <v>755</v>
      </c>
      <c r="B663" t="s">
        <v>54</v>
      </c>
      <c r="C663">
        <v>1</v>
      </c>
      <c r="D663">
        <v>26</v>
      </c>
      <c r="E663">
        <v>26</v>
      </c>
      <c r="F663" s="1">
        <v>45686</v>
      </c>
      <c r="G663" s="1">
        <v>45688</v>
      </c>
      <c r="H663" t="s">
        <v>23</v>
      </c>
      <c r="I663" t="s">
        <v>18</v>
      </c>
      <c r="J663">
        <v>4</v>
      </c>
      <c r="K663" t="s">
        <v>19</v>
      </c>
      <c r="L663" t="s">
        <v>33</v>
      </c>
      <c r="M663">
        <f>orders[[#This Row],[Ship Date]]-orders[[#This Row],[Order Date]]</f>
        <v>2</v>
      </c>
      <c r="N663">
        <f>WEEKNUM(orders[[#This Row],[Order Date]])</f>
        <v>5</v>
      </c>
      <c r="O663" t="str">
        <f>_xlfn.IFS(orders[[#This Row],[Customer Gender]]="M","Male", orders[[#This Row],[Customer Gender]]="F","Female", orders[[#This Row],[Customer Gender]]="O","Other", TRUE,"Unknown")</f>
        <v>Male</v>
      </c>
    </row>
    <row r="664" spans="1:15">
      <c r="A664" t="s">
        <v>756</v>
      </c>
      <c r="B664" t="s">
        <v>26</v>
      </c>
      <c r="C664">
        <v>5</v>
      </c>
      <c r="D664">
        <v>94.4</v>
      </c>
      <c r="E664">
        <v>472</v>
      </c>
      <c r="F664" s="1">
        <v>45686</v>
      </c>
      <c r="G664" s="1">
        <v>45687</v>
      </c>
      <c r="H664" t="s">
        <v>27</v>
      </c>
      <c r="I664" t="s">
        <v>18</v>
      </c>
      <c r="J664">
        <v>4</v>
      </c>
      <c r="K664" t="s">
        <v>19</v>
      </c>
      <c r="L664" t="s">
        <v>33</v>
      </c>
      <c r="M664">
        <f>orders[[#This Row],[Ship Date]]-orders[[#This Row],[Order Date]]</f>
        <v>1</v>
      </c>
      <c r="N664">
        <f>WEEKNUM(orders[[#This Row],[Order Date]])</f>
        <v>5</v>
      </c>
      <c r="O664" t="str">
        <f>_xlfn.IFS(orders[[#This Row],[Customer Gender]]="M","Male", orders[[#This Row],[Customer Gender]]="F","Female", orders[[#This Row],[Customer Gender]]="O","Other", TRUE,"Unknown")</f>
        <v>Female</v>
      </c>
    </row>
    <row r="665" spans="1:15">
      <c r="A665" t="s">
        <v>757</v>
      </c>
      <c r="B665" t="s">
        <v>16</v>
      </c>
      <c r="C665">
        <v>6</v>
      </c>
      <c r="D665">
        <v>23.7</v>
      </c>
      <c r="E665">
        <v>142.19999999999999</v>
      </c>
      <c r="F665" s="1">
        <v>45686</v>
      </c>
      <c r="G665" s="1">
        <v>45688</v>
      </c>
      <c r="H665" t="s">
        <v>23</v>
      </c>
      <c r="I665" t="s">
        <v>40</v>
      </c>
      <c r="J665">
        <v>5</v>
      </c>
      <c r="K665" t="s">
        <v>19</v>
      </c>
      <c r="L665" t="s">
        <v>33</v>
      </c>
      <c r="M665">
        <f>orders[[#This Row],[Ship Date]]-orders[[#This Row],[Order Date]]</f>
        <v>2</v>
      </c>
      <c r="N665">
        <f>WEEKNUM(orders[[#This Row],[Order Date]])</f>
        <v>5</v>
      </c>
      <c r="O665" t="str">
        <f>_xlfn.IFS(orders[[#This Row],[Customer Gender]]="M","Male", orders[[#This Row],[Customer Gender]]="F","Female", orders[[#This Row],[Customer Gender]]="O","Other", TRUE,"Unknown")</f>
        <v>Male</v>
      </c>
    </row>
    <row r="666" spans="1:15">
      <c r="A666" t="s">
        <v>805</v>
      </c>
      <c r="B666" t="s">
        <v>54</v>
      </c>
      <c r="C666">
        <v>2</v>
      </c>
      <c r="D666">
        <v>69.2</v>
      </c>
      <c r="E666">
        <v>138.4</v>
      </c>
      <c r="F666" s="1">
        <v>45688</v>
      </c>
      <c r="G666" s="1">
        <v>45690</v>
      </c>
      <c r="H666" t="s">
        <v>17</v>
      </c>
      <c r="I666" t="s">
        <v>40</v>
      </c>
      <c r="J666">
        <v>3</v>
      </c>
      <c r="K666" t="s">
        <v>19</v>
      </c>
      <c r="L666" t="s">
        <v>55</v>
      </c>
      <c r="M666">
        <f>orders[[#This Row],[Ship Date]]-orders[[#This Row],[Order Date]]</f>
        <v>2</v>
      </c>
      <c r="N666">
        <f>WEEKNUM(orders[[#This Row],[Order Date]])</f>
        <v>5</v>
      </c>
      <c r="O666" t="str">
        <f>_xlfn.IFS(orders[[#This Row],[Customer Gender]]="M","Male", orders[[#This Row],[Customer Gender]]="F","Female", orders[[#This Row],[Customer Gender]]="O","Other", TRUE,"Unknown")</f>
        <v>Unknown</v>
      </c>
    </row>
    <row r="667" spans="1:15">
      <c r="A667" t="s">
        <v>759</v>
      </c>
      <c r="B667" t="s">
        <v>22</v>
      </c>
      <c r="C667">
        <v>36</v>
      </c>
      <c r="D667">
        <v>55.2</v>
      </c>
      <c r="E667">
        <v>1987.2</v>
      </c>
      <c r="F667" s="1">
        <v>45686</v>
      </c>
      <c r="G667" s="1">
        <v>45686</v>
      </c>
      <c r="H667" t="s">
        <v>27</v>
      </c>
      <c r="I667" t="s">
        <v>51</v>
      </c>
      <c r="J667">
        <v>3</v>
      </c>
      <c r="K667" t="s">
        <v>19</v>
      </c>
      <c r="L667" t="s">
        <v>33</v>
      </c>
      <c r="M667">
        <f>orders[[#This Row],[Ship Date]]-orders[[#This Row],[Order Date]]</f>
        <v>0</v>
      </c>
      <c r="N667">
        <f>WEEKNUM(orders[[#This Row],[Order Date]])</f>
        <v>5</v>
      </c>
      <c r="O667" t="str">
        <f>_xlfn.IFS(orders[[#This Row],[Customer Gender]]="M","Male", orders[[#This Row],[Customer Gender]]="F","Female", orders[[#This Row],[Customer Gender]]="O","Other", TRUE,"Unknown")</f>
        <v>Female</v>
      </c>
    </row>
    <row r="668" spans="1:15">
      <c r="A668" t="s">
        <v>760</v>
      </c>
      <c r="B668" t="s">
        <v>26</v>
      </c>
      <c r="C668">
        <v>9</v>
      </c>
      <c r="D668">
        <v>57.1</v>
      </c>
      <c r="E668">
        <v>513.9</v>
      </c>
      <c r="F668" s="1">
        <v>45686</v>
      </c>
      <c r="G668" s="1">
        <v>45688</v>
      </c>
      <c r="H668" t="s">
        <v>23</v>
      </c>
      <c r="I668" t="s">
        <v>18</v>
      </c>
      <c r="J668">
        <v>5</v>
      </c>
      <c r="K668" t="s">
        <v>19</v>
      </c>
      <c r="L668" t="s">
        <v>33</v>
      </c>
      <c r="M668">
        <f>orders[[#This Row],[Ship Date]]-orders[[#This Row],[Order Date]]</f>
        <v>2</v>
      </c>
      <c r="N668">
        <f>WEEKNUM(orders[[#This Row],[Order Date]])</f>
        <v>5</v>
      </c>
      <c r="O668" t="str">
        <f>_xlfn.IFS(orders[[#This Row],[Customer Gender]]="M","Male", orders[[#This Row],[Customer Gender]]="F","Female", orders[[#This Row],[Customer Gender]]="O","Other", TRUE,"Unknown")</f>
        <v>Male</v>
      </c>
    </row>
    <row r="669" spans="1:15">
      <c r="A669" t="s">
        <v>710</v>
      </c>
      <c r="B669" t="s">
        <v>44</v>
      </c>
      <c r="C669">
        <v>2</v>
      </c>
      <c r="D669">
        <v>58.2</v>
      </c>
      <c r="E669">
        <v>116.4</v>
      </c>
      <c r="F669" s="1">
        <v>45683</v>
      </c>
      <c r="G669" s="1">
        <v>45684</v>
      </c>
      <c r="H669" t="s">
        <v>23</v>
      </c>
      <c r="I669" t="s">
        <v>40</v>
      </c>
      <c r="J669">
        <v>5</v>
      </c>
      <c r="K669" t="s">
        <v>19</v>
      </c>
      <c r="L669" t="s">
        <v>33</v>
      </c>
      <c r="M669">
        <f>orders[[#This Row],[Ship Date]]-orders[[#This Row],[Order Date]]</f>
        <v>1</v>
      </c>
      <c r="N669">
        <f>WEEKNUM(orders[[#This Row],[Order Date]])</f>
        <v>5</v>
      </c>
      <c r="O669" t="str">
        <f>_xlfn.IFS(orders[[#This Row],[Customer Gender]]="M","Male", orders[[#This Row],[Customer Gender]]="F","Female", orders[[#This Row],[Customer Gender]]="O","Other", TRUE,"Unknown")</f>
        <v>Male</v>
      </c>
    </row>
    <row r="670" spans="1:15">
      <c r="A670" t="s">
        <v>762</v>
      </c>
      <c r="B670" t="s">
        <v>123</v>
      </c>
      <c r="C670">
        <v>7</v>
      </c>
      <c r="D670">
        <v>23.9</v>
      </c>
      <c r="E670">
        <v>167.29999999999998</v>
      </c>
      <c r="F670" s="1">
        <v>45686</v>
      </c>
      <c r="G670" s="1">
        <v>45687</v>
      </c>
      <c r="H670" t="s">
        <v>27</v>
      </c>
      <c r="I670" t="s">
        <v>70</v>
      </c>
      <c r="J670">
        <v>3</v>
      </c>
      <c r="K670" t="s">
        <v>19</v>
      </c>
      <c r="L670" t="s">
        <v>33</v>
      </c>
      <c r="M670">
        <f>orders[[#This Row],[Ship Date]]-orders[[#This Row],[Order Date]]</f>
        <v>1</v>
      </c>
      <c r="N670">
        <f>WEEKNUM(orders[[#This Row],[Order Date]])</f>
        <v>5</v>
      </c>
      <c r="O670" t="str">
        <f>_xlfn.IFS(orders[[#This Row],[Customer Gender]]="M","Male", orders[[#This Row],[Customer Gender]]="F","Female", orders[[#This Row],[Customer Gender]]="O","Other", TRUE,"Unknown")</f>
        <v>Female</v>
      </c>
    </row>
    <row r="671" spans="1:15">
      <c r="A671" t="s">
        <v>687</v>
      </c>
      <c r="B671" t="s">
        <v>32</v>
      </c>
      <c r="C671">
        <v>2</v>
      </c>
      <c r="D671">
        <v>56.5</v>
      </c>
      <c r="E671">
        <v>113</v>
      </c>
      <c r="F671" s="1">
        <v>45683</v>
      </c>
      <c r="G671" s="1">
        <v>45687</v>
      </c>
      <c r="H671" t="s">
        <v>23</v>
      </c>
      <c r="I671" t="s">
        <v>40</v>
      </c>
      <c r="J671">
        <v>5</v>
      </c>
      <c r="K671" t="s">
        <v>19</v>
      </c>
      <c r="L671" t="s">
        <v>33</v>
      </c>
      <c r="M671">
        <f>orders[[#This Row],[Ship Date]]-orders[[#This Row],[Order Date]]</f>
        <v>4</v>
      </c>
      <c r="N671">
        <f>WEEKNUM(orders[[#This Row],[Order Date]])</f>
        <v>5</v>
      </c>
      <c r="O671" t="str">
        <f>_xlfn.IFS(orders[[#This Row],[Customer Gender]]="M","Male", orders[[#This Row],[Customer Gender]]="F","Female", orders[[#This Row],[Customer Gender]]="O","Other", TRUE,"Unknown")</f>
        <v>Male</v>
      </c>
    </row>
    <row r="672" spans="1:15">
      <c r="A672" t="s">
        <v>764</v>
      </c>
      <c r="B672" t="s">
        <v>69</v>
      </c>
      <c r="C672">
        <v>4</v>
      </c>
      <c r="D672">
        <v>38.5</v>
      </c>
      <c r="E672">
        <v>154</v>
      </c>
      <c r="F672" s="1">
        <v>45686</v>
      </c>
      <c r="G672" s="1">
        <v>45697</v>
      </c>
      <c r="H672" t="s">
        <v>27</v>
      </c>
      <c r="I672" t="s">
        <v>18</v>
      </c>
      <c r="J672">
        <v>4</v>
      </c>
      <c r="K672" t="s">
        <v>19</v>
      </c>
      <c r="L672" t="s">
        <v>33</v>
      </c>
      <c r="M672">
        <f>orders[[#This Row],[Ship Date]]-orders[[#This Row],[Order Date]]</f>
        <v>11</v>
      </c>
      <c r="N672">
        <f>WEEKNUM(orders[[#This Row],[Order Date]])</f>
        <v>5</v>
      </c>
      <c r="O672" t="str">
        <f>_xlfn.IFS(orders[[#This Row],[Customer Gender]]="M","Male", orders[[#This Row],[Customer Gender]]="F","Female", orders[[#This Row],[Customer Gender]]="O","Other", TRUE,"Unknown")</f>
        <v>Female</v>
      </c>
    </row>
    <row r="673" spans="1:15">
      <c r="A673" t="s">
        <v>765</v>
      </c>
      <c r="B673" t="s">
        <v>42</v>
      </c>
      <c r="C673">
        <v>2</v>
      </c>
      <c r="D673">
        <v>105</v>
      </c>
      <c r="E673">
        <v>210</v>
      </c>
      <c r="F673" s="1">
        <v>45686</v>
      </c>
      <c r="G673" s="1">
        <v>45692</v>
      </c>
      <c r="H673" t="s">
        <v>27</v>
      </c>
      <c r="I673" t="s">
        <v>18</v>
      </c>
      <c r="J673">
        <v>5</v>
      </c>
      <c r="K673" t="s">
        <v>19</v>
      </c>
      <c r="L673" t="s">
        <v>33</v>
      </c>
      <c r="M673">
        <f>orders[[#This Row],[Ship Date]]-orders[[#This Row],[Order Date]]</f>
        <v>6</v>
      </c>
      <c r="N673">
        <f>WEEKNUM(orders[[#This Row],[Order Date]])</f>
        <v>5</v>
      </c>
      <c r="O673" t="str">
        <f>_xlfn.IFS(orders[[#This Row],[Customer Gender]]="M","Male", orders[[#This Row],[Customer Gender]]="F","Female", orders[[#This Row],[Customer Gender]]="O","Other", TRUE,"Unknown")</f>
        <v>Female</v>
      </c>
    </row>
    <row r="674" spans="1:15">
      <c r="A674" t="s">
        <v>766</v>
      </c>
      <c r="B674" t="s">
        <v>44</v>
      </c>
      <c r="C674">
        <v>5</v>
      </c>
      <c r="D674">
        <v>45.2</v>
      </c>
      <c r="E674">
        <v>226</v>
      </c>
      <c r="F674" s="1">
        <v>45686</v>
      </c>
      <c r="G674" s="1">
        <v>45688</v>
      </c>
      <c r="H674" t="s">
        <v>27</v>
      </c>
      <c r="I674" t="s">
        <v>18</v>
      </c>
      <c r="J674">
        <v>5</v>
      </c>
      <c r="K674" t="s">
        <v>19</v>
      </c>
      <c r="L674" t="s">
        <v>33</v>
      </c>
      <c r="M674">
        <f>orders[[#This Row],[Ship Date]]-orders[[#This Row],[Order Date]]</f>
        <v>2</v>
      </c>
      <c r="N674">
        <f>WEEKNUM(orders[[#This Row],[Order Date]])</f>
        <v>5</v>
      </c>
      <c r="O674" t="str">
        <f>_xlfn.IFS(orders[[#This Row],[Customer Gender]]="M","Male", orders[[#This Row],[Customer Gender]]="F","Female", orders[[#This Row],[Customer Gender]]="O","Other", TRUE,"Unknown")</f>
        <v>Female</v>
      </c>
    </row>
    <row r="675" spans="1:15">
      <c r="A675" t="s">
        <v>767</v>
      </c>
      <c r="B675" t="s">
        <v>135</v>
      </c>
      <c r="C675">
        <v>3</v>
      </c>
      <c r="D675">
        <v>24.8</v>
      </c>
      <c r="E675">
        <v>74.400000000000006</v>
      </c>
      <c r="F675" s="1">
        <v>45686</v>
      </c>
      <c r="G675" s="1">
        <v>45686</v>
      </c>
      <c r="H675" t="s">
        <v>17</v>
      </c>
      <c r="I675" t="s">
        <v>18</v>
      </c>
      <c r="J675">
        <v>3</v>
      </c>
      <c r="K675" t="s">
        <v>19</v>
      </c>
      <c r="L675" t="s">
        <v>33</v>
      </c>
      <c r="M675">
        <f>orders[[#This Row],[Ship Date]]-orders[[#This Row],[Order Date]]</f>
        <v>0</v>
      </c>
      <c r="N675">
        <f>WEEKNUM(orders[[#This Row],[Order Date]])</f>
        <v>5</v>
      </c>
      <c r="O675" t="str">
        <f>_xlfn.IFS(orders[[#This Row],[Customer Gender]]="M","Male", orders[[#This Row],[Customer Gender]]="F","Female", orders[[#This Row],[Customer Gender]]="O","Other", TRUE,"Unknown")</f>
        <v>Unknown</v>
      </c>
    </row>
    <row r="676" spans="1:15">
      <c r="A676" t="s">
        <v>768</v>
      </c>
      <c r="B676" t="s">
        <v>67</v>
      </c>
      <c r="C676">
        <v>4</v>
      </c>
      <c r="D676">
        <v>43.8</v>
      </c>
      <c r="E676">
        <v>175.2</v>
      </c>
      <c r="F676" s="1">
        <v>45686</v>
      </c>
      <c r="G676" s="1">
        <v>45693</v>
      </c>
      <c r="H676" t="s">
        <v>27</v>
      </c>
      <c r="I676" t="s">
        <v>35</v>
      </c>
      <c r="J676">
        <v>5</v>
      </c>
      <c r="K676" t="s">
        <v>19</v>
      </c>
      <c r="L676" t="s">
        <v>55</v>
      </c>
      <c r="M676">
        <f>orders[[#This Row],[Ship Date]]-orders[[#This Row],[Order Date]]</f>
        <v>7</v>
      </c>
      <c r="N676">
        <f>WEEKNUM(orders[[#This Row],[Order Date]])</f>
        <v>5</v>
      </c>
      <c r="O676" t="str">
        <f>_xlfn.IFS(orders[[#This Row],[Customer Gender]]="M","Male", orders[[#This Row],[Customer Gender]]="F","Female", orders[[#This Row],[Customer Gender]]="O","Other", TRUE,"Unknown")</f>
        <v>Female</v>
      </c>
    </row>
    <row r="677" spans="1:15">
      <c r="A677" t="s">
        <v>769</v>
      </c>
      <c r="B677" t="s">
        <v>22</v>
      </c>
      <c r="C677">
        <v>1</v>
      </c>
      <c r="D677">
        <v>75</v>
      </c>
      <c r="E677">
        <v>75</v>
      </c>
      <c r="F677" s="1">
        <v>45686</v>
      </c>
      <c r="G677" s="1">
        <v>45688</v>
      </c>
      <c r="H677" t="s">
        <v>27</v>
      </c>
      <c r="I677" t="s">
        <v>70</v>
      </c>
      <c r="J677">
        <v>3</v>
      </c>
      <c r="K677" t="s">
        <v>19</v>
      </c>
      <c r="L677" t="s">
        <v>55</v>
      </c>
      <c r="M677">
        <f>orders[[#This Row],[Ship Date]]-orders[[#This Row],[Order Date]]</f>
        <v>2</v>
      </c>
      <c r="N677">
        <f>WEEKNUM(orders[[#This Row],[Order Date]])</f>
        <v>5</v>
      </c>
      <c r="O677" t="str">
        <f>_xlfn.IFS(orders[[#This Row],[Customer Gender]]="M","Male", orders[[#This Row],[Customer Gender]]="F","Female", orders[[#This Row],[Customer Gender]]="O","Other", TRUE,"Unknown")</f>
        <v>Female</v>
      </c>
    </row>
    <row r="678" spans="1:15">
      <c r="A678" t="s">
        <v>829</v>
      </c>
      <c r="B678" t="s">
        <v>46</v>
      </c>
      <c r="C678">
        <v>2</v>
      </c>
      <c r="D678">
        <v>54.6</v>
      </c>
      <c r="E678">
        <v>109.2</v>
      </c>
      <c r="F678" s="1">
        <v>45689</v>
      </c>
      <c r="G678" s="1">
        <v>45690</v>
      </c>
      <c r="H678" t="s">
        <v>27</v>
      </c>
      <c r="I678" t="s">
        <v>40</v>
      </c>
      <c r="J678">
        <v>4</v>
      </c>
      <c r="K678" t="s">
        <v>19</v>
      </c>
      <c r="L678" t="s">
        <v>55</v>
      </c>
      <c r="M678">
        <f>orders[[#This Row],[Ship Date]]-orders[[#This Row],[Order Date]]</f>
        <v>1</v>
      </c>
      <c r="N678">
        <f>WEEKNUM(orders[[#This Row],[Order Date]])</f>
        <v>5</v>
      </c>
      <c r="O678" t="str">
        <f>_xlfn.IFS(orders[[#This Row],[Customer Gender]]="M","Male", orders[[#This Row],[Customer Gender]]="F","Female", orders[[#This Row],[Customer Gender]]="O","Other", TRUE,"Unknown")</f>
        <v>Female</v>
      </c>
    </row>
    <row r="679" spans="1:15">
      <c r="A679" t="s">
        <v>771</v>
      </c>
      <c r="B679" t="s">
        <v>46</v>
      </c>
      <c r="C679">
        <v>2</v>
      </c>
      <c r="D679">
        <v>72.2</v>
      </c>
      <c r="E679">
        <v>144.4</v>
      </c>
      <c r="F679" s="1">
        <v>45686</v>
      </c>
      <c r="G679" s="1">
        <v>45688</v>
      </c>
      <c r="H679" t="s">
        <v>27</v>
      </c>
      <c r="I679" t="s">
        <v>70</v>
      </c>
      <c r="J679">
        <v>3</v>
      </c>
      <c r="K679" t="s">
        <v>19</v>
      </c>
      <c r="L679" t="s">
        <v>55</v>
      </c>
      <c r="M679">
        <f>orders[[#This Row],[Ship Date]]-orders[[#This Row],[Order Date]]</f>
        <v>2</v>
      </c>
      <c r="N679">
        <f>WEEKNUM(orders[[#This Row],[Order Date]])</f>
        <v>5</v>
      </c>
      <c r="O679" t="str">
        <f>_xlfn.IFS(orders[[#This Row],[Customer Gender]]="M","Male", orders[[#This Row],[Customer Gender]]="F","Female", orders[[#This Row],[Customer Gender]]="O","Other", TRUE,"Unknown")</f>
        <v>Female</v>
      </c>
    </row>
    <row r="680" spans="1:15">
      <c r="A680" t="s">
        <v>726</v>
      </c>
      <c r="B680" t="s">
        <v>81</v>
      </c>
      <c r="C680">
        <v>5</v>
      </c>
      <c r="D680">
        <v>20.6</v>
      </c>
      <c r="E680">
        <v>103</v>
      </c>
      <c r="F680" s="1">
        <v>45685</v>
      </c>
      <c r="G680" s="1">
        <v>45686</v>
      </c>
      <c r="H680" t="s">
        <v>23</v>
      </c>
      <c r="I680" t="s">
        <v>40</v>
      </c>
      <c r="J680">
        <v>5</v>
      </c>
      <c r="K680" t="s">
        <v>19</v>
      </c>
      <c r="L680" t="s">
        <v>33</v>
      </c>
      <c r="M680">
        <f>orders[[#This Row],[Ship Date]]-orders[[#This Row],[Order Date]]</f>
        <v>1</v>
      </c>
      <c r="N680">
        <f>WEEKNUM(orders[[#This Row],[Order Date]])</f>
        <v>5</v>
      </c>
      <c r="O680" t="str">
        <f>_xlfn.IFS(orders[[#This Row],[Customer Gender]]="M","Male", orders[[#This Row],[Customer Gender]]="F","Female", orders[[#This Row],[Customer Gender]]="O","Other", TRUE,"Unknown")</f>
        <v>Male</v>
      </c>
    </row>
    <row r="681" spans="1:15">
      <c r="A681" t="s">
        <v>773</v>
      </c>
      <c r="B681" t="s">
        <v>46</v>
      </c>
      <c r="C681">
        <v>2</v>
      </c>
      <c r="D681">
        <v>40.799999999999997</v>
      </c>
      <c r="E681">
        <v>81.599999999999994</v>
      </c>
      <c r="F681" s="1">
        <v>45687</v>
      </c>
      <c r="G681" s="1">
        <v>45689</v>
      </c>
      <c r="H681" t="s">
        <v>27</v>
      </c>
      <c r="I681" t="s">
        <v>51</v>
      </c>
      <c r="J681">
        <v>5</v>
      </c>
      <c r="K681" t="s">
        <v>19</v>
      </c>
      <c r="L681" t="s">
        <v>62</v>
      </c>
      <c r="M681">
        <f>orders[[#This Row],[Ship Date]]-orders[[#This Row],[Order Date]]</f>
        <v>2</v>
      </c>
      <c r="N681">
        <f>WEEKNUM(orders[[#This Row],[Order Date]])</f>
        <v>5</v>
      </c>
      <c r="O681" t="str">
        <f>_xlfn.IFS(orders[[#This Row],[Customer Gender]]="M","Male", orders[[#This Row],[Customer Gender]]="F","Female", orders[[#This Row],[Customer Gender]]="O","Other", TRUE,"Unknown")</f>
        <v>Female</v>
      </c>
    </row>
    <row r="682" spans="1:15">
      <c r="A682" t="s">
        <v>774</v>
      </c>
      <c r="B682" t="s">
        <v>54</v>
      </c>
      <c r="C682">
        <v>4</v>
      </c>
      <c r="D682">
        <v>58</v>
      </c>
      <c r="E682">
        <v>232</v>
      </c>
      <c r="F682" s="1">
        <v>45687</v>
      </c>
      <c r="G682" s="1">
        <v>45691</v>
      </c>
      <c r="H682" t="s">
        <v>27</v>
      </c>
      <c r="I682" t="s">
        <v>18</v>
      </c>
      <c r="J682">
        <v>4</v>
      </c>
      <c r="K682" t="s">
        <v>19</v>
      </c>
      <c r="L682" t="s">
        <v>62</v>
      </c>
      <c r="M682">
        <f>orders[[#This Row],[Ship Date]]-orders[[#This Row],[Order Date]]</f>
        <v>4</v>
      </c>
      <c r="N682">
        <f>WEEKNUM(orders[[#This Row],[Order Date]])</f>
        <v>5</v>
      </c>
      <c r="O682" t="str">
        <f>_xlfn.IFS(orders[[#This Row],[Customer Gender]]="M","Male", orders[[#This Row],[Customer Gender]]="F","Female", orders[[#This Row],[Customer Gender]]="O","Other", TRUE,"Unknown")</f>
        <v>Female</v>
      </c>
    </row>
    <row r="683" spans="1:15">
      <c r="A683" t="s">
        <v>775</v>
      </c>
      <c r="B683" t="s">
        <v>69</v>
      </c>
      <c r="C683">
        <v>2</v>
      </c>
      <c r="D683">
        <v>43.1</v>
      </c>
      <c r="E683">
        <v>86.2</v>
      </c>
      <c r="F683" s="1">
        <v>45687</v>
      </c>
      <c r="G683" s="1">
        <v>45688</v>
      </c>
      <c r="H683" t="s">
        <v>27</v>
      </c>
      <c r="I683" t="s">
        <v>35</v>
      </c>
      <c r="J683">
        <v>5</v>
      </c>
      <c r="K683" t="s">
        <v>19</v>
      </c>
      <c r="L683" t="s">
        <v>62</v>
      </c>
      <c r="M683">
        <f>orders[[#This Row],[Ship Date]]-orders[[#This Row],[Order Date]]</f>
        <v>1</v>
      </c>
      <c r="N683">
        <f>WEEKNUM(orders[[#This Row],[Order Date]])</f>
        <v>5</v>
      </c>
      <c r="O683" t="str">
        <f>_xlfn.IFS(orders[[#This Row],[Customer Gender]]="M","Male", orders[[#This Row],[Customer Gender]]="F","Female", orders[[#This Row],[Customer Gender]]="O","Other", TRUE,"Unknown")</f>
        <v>Female</v>
      </c>
    </row>
    <row r="684" spans="1:15">
      <c r="A684" t="s">
        <v>776</v>
      </c>
      <c r="B684" t="s">
        <v>39</v>
      </c>
      <c r="C684">
        <v>9</v>
      </c>
      <c r="D684">
        <v>74.7</v>
      </c>
      <c r="E684">
        <v>672.30000000000007</v>
      </c>
      <c r="F684" s="1">
        <v>45687</v>
      </c>
      <c r="G684" s="1">
        <v>45689</v>
      </c>
      <c r="H684" t="s">
        <v>23</v>
      </c>
      <c r="I684" t="s">
        <v>18</v>
      </c>
      <c r="J684">
        <v>5</v>
      </c>
      <c r="K684" t="s">
        <v>19</v>
      </c>
      <c r="L684" t="s">
        <v>62</v>
      </c>
      <c r="M684">
        <f>orders[[#This Row],[Ship Date]]-orders[[#This Row],[Order Date]]</f>
        <v>2</v>
      </c>
      <c r="N684">
        <f>WEEKNUM(orders[[#This Row],[Order Date]])</f>
        <v>5</v>
      </c>
      <c r="O684" t="str">
        <f>_xlfn.IFS(orders[[#This Row],[Customer Gender]]="M","Male", orders[[#This Row],[Customer Gender]]="F","Female", orders[[#This Row],[Customer Gender]]="O","Other", TRUE,"Unknown")</f>
        <v>Male</v>
      </c>
    </row>
    <row r="685" spans="1:15">
      <c r="A685" t="s">
        <v>777</v>
      </c>
      <c r="B685" t="s">
        <v>39</v>
      </c>
      <c r="C685">
        <v>1</v>
      </c>
      <c r="D685">
        <v>128.19999999999999</v>
      </c>
      <c r="E685">
        <v>128.19999999999999</v>
      </c>
      <c r="F685" s="1">
        <v>45687</v>
      </c>
      <c r="G685" s="1">
        <v>45687</v>
      </c>
      <c r="H685" t="s">
        <v>23</v>
      </c>
      <c r="I685" t="s">
        <v>35</v>
      </c>
      <c r="J685">
        <v>4</v>
      </c>
      <c r="K685" t="s">
        <v>19</v>
      </c>
      <c r="L685" t="s">
        <v>62</v>
      </c>
      <c r="M685">
        <f>orders[[#This Row],[Ship Date]]-orders[[#This Row],[Order Date]]</f>
        <v>0</v>
      </c>
      <c r="N685">
        <f>WEEKNUM(orders[[#This Row],[Order Date]])</f>
        <v>5</v>
      </c>
      <c r="O685" t="str">
        <f>_xlfn.IFS(orders[[#This Row],[Customer Gender]]="M","Male", orders[[#This Row],[Customer Gender]]="F","Female", orders[[#This Row],[Customer Gender]]="O","Other", TRUE,"Unknown")</f>
        <v>Male</v>
      </c>
    </row>
    <row r="686" spans="1:15">
      <c r="A686" t="s">
        <v>778</v>
      </c>
      <c r="B686" t="s">
        <v>81</v>
      </c>
      <c r="C686">
        <v>4</v>
      </c>
      <c r="D686">
        <v>26.7</v>
      </c>
      <c r="E686">
        <v>106.8</v>
      </c>
      <c r="F686" s="1">
        <v>45687</v>
      </c>
      <c r="G686" s="1">
        <v>45688</v>
      </c>
      <c r="H686" t="s">
        <v>23</v>
      </c>
      <c r="I686" t="s">
        <v>35</v>
      </c>
      <c r="J686">
        <v>4</v>
      </c>
      <c r="K686" t="s">
        <v>19</v>
      </c>
      <c r="L686" t="s">
        <v>62</v>
      </c>
      <c r="M686">
        <f>orders[[#This Row],[Ship Date]]-orders[[#This Row],[Order Date]]</f>
        <v>1</v>
      </c>
      <c r="N686">
        <f>WEEKNUM(orders[[#This Row],[Order Date]])</f>
        <v>5</v>
      </c>
      <c r="O686" t="str">
        <f>_xlfn.IFS(orders[[#This Row],[Customer Gender]]="M","Male", orders[[#This Row],[Customer Gender]]="F","Female", orders[[#This Row],[Customer Gender]]="O","Other", TRUE,"Unknown")</f>
        <v>Male</v>
      </c>
    </row>
    <row r="687" spans="1:15">
      <c r="A687" t="s">
        <v>816</v>
      </c>
      <c r="B687" t="s">
        <v>16</v>
      </c>
      <c r="C687">
        <v>7</v>
      </c>
      <c r="D687">
        <v>14.6</v>
      </c>
      <c r="E687">
        <v>102.2</v>
      </c>
      <c r="F687" s="1">
        <v>45688</v>
      </c>
      <c r="G687" s="1">
        <v>45689</v>
      </c>
      <c r="H687" t="s">
        <v>27</v>
      </c>
      <c r="I687" t="s">
        <v>40</v>
      </c>
      <c r="J687">
        <v>4</v>
      </c>
      <c r="K687" t="s">
        <v>19</v>
      </c>
      <c r="L687" t="s">
        <v>429</v>
      </c>
      <c r="M687">
        <f>orders[[#This Row],[Ship Date]]-orders[[#This Row],[Order Date]]</f>
        <v>1</v>
      </c>
      <c r="N687">
        <f>WEEKNUM(orders[[#This Row],[Order Date]])</f>
        <v>5</v>
      </c>
      <c r="O687" t="str">
        <f>_xlfn.IFS(orders[[#This Row],[Customer Gender]]="M","Male", orders[[#This Row],[Customer Gender]]="F","Female", orders[[#This Row],[Customer Gender]]="O","Other", TRUE,"Unknown")</f>
        <v>Female</v>
      </c>
    </row>
    <row r="688" spans="1:15">
      <c r="A688" t="s">
        <v>780</v>
      </c>
      <c r="B688" t="s">
        <v>30</v>
      </c>
      <c r="C688">
        <v>7</v>
      </c>
      <c r="D688">
        <v>64.7</v>
      </c>
      <c r="E688">
        <v>452.90000000000003</v>
      </c>
      <c r="F688" s="1">
        <v>45687</v>
      </c>
      <c r="G688" s="1">
        <v>45688</v>
      </c>
      <c r="H688" t="s">
        <v>27</v>
      </c>
      <c r="I688" t="s">
        <v>18</v>
      </c>
      <c r="J688">
        <v>5</v>
      </c>
      <c r="K688" t="s">
        <v>19</v>
      </c>
      <c r="L688" t="s">
        <v>72</v>
      </c>
      <c r="M688">
        <f>orders[[#This Row],[Ship Date]]-orders[[#This Row],[Order Date]]</f>
        <v>1</v>
      </c>
      <c r="N688">
        <f>WEEKNUM(orders[[#This Row],[Order Date]])</f>
        <v>5</v>
      </c>
      <c r="O688" t="str">
        <f>_xlfn.IFS(orders[[#This Row],[Customer Gender]]="M","Male", orders[[#This Row],[Customer Gender]]="F","Female", orders[[#This Row],[Customer Gender]]="O","Other", TRUE,"Unknown")</f>
        <v>Female</v>
      </c>
    </row>
    <row r="689" spans="1:15">
      <c r="A689" t="s">
        <v>781</v>
      </c>
      <c r="B689" t="s">
        <v>37</v>
      </c>
      <c r="C689">
        <v>2</v>
      </c>
      <c r="D689">
        <v>55.6</v>
      </c>
      <c r="E689">
        <v>111.2</v>
      </c>
      <c r="F689" s="1">
        <v>45687</v>
      </c>
      <c r="G689" s="1">
        <v>45690</v>
      </c>
      <c r="H689" t="s">
        <v>27</v>
      </c>
      <c r="I689" t="s">
        <v>51</v>
      </c>
      <c r="J689">
        <v>4</v>
      </c>
      <c r="K689" t="s">
        <v>19</v>
      </c>
      <c r="L689" t="s">
        <v>77</v>
      </c>
      <c r="M689">
        <f>orders[[#This Row],[Ship Date]]-orders[[#This Row],[Order Date]]</f>
        <v>3</v>
      </c>
      <c r="N689">
        <f>WEEKNUM(orders[[#This Row],[Order Date]])</f>
        <v>5</v>
      </c>
      <c r="O689" t="str">
        <f>_xlfn.IFS(orders[[#This Row],[Customer Gender]]="M","Male", orders[[#This Row],[Customer Gender]]="F","Female", orders[[#This Row],[Customer Gender]]="O","Other", TRUE,"Unknown")</f>
        <v>Female</v>
      </c>
    </row>
    <row r="690" spans="1:15">
      <c r="A690" t="s">
        <v>782</v>
      </c>
      <c r="B690" t="s">
        <v>30</v>
      </c>
      <c r="C690">
        <v>2</v>
      </c>
      <c r="D690">
        <v>36.200000000000003</v>
      </c>
      <c r="E690">
        <v>72.400000000000006</v>
      </c>
      <c r="F690" s="1">
        <v>45687</v>
      </c>
      <c r="G690" s="1">
        <v>45688</v>
      </c>
      <c r="H690" t="s">
        <v>27</v>
      </c>
      <c r="I690" t="s">
        <v>51</v>
      </c>
      <c r="J690">
        <v>4</v>
      </c>
      <c r="K690" t="s">
        <v>19</v>
      </c>
      <c r="L690" t="s">
        <v>77</v>
      </c>
      <c r="M690">
        <f>orders[[#This Row],[Ship Date]]-orders[[#This Row],[Order Date]]</f>
        <v>1</v>
      </c>
      <c r="N690">
        <f>WEEKNUM(orders[[#This Row],[Order Date]])</f>
        <v>5</v>
      </c>
      <c r="O690" t="str">
        <f>_xlfn.IFS(orders[[#This Row],[Customer Gender]]="M","Male", orders[[#This Row],[Customer Gender]]="F","Female", orders[[#This Row],[Customer Gender]]="O","Other", TRUE,"Unknown")</f>
        <v>Female</v>
      </c>
    </row>
    <row r="691" spans="1:15">
      <c r="A691" t="s">
        <v>783</v>
      </c>
      <c r="B691" t="s">
        <v>16</v>
      </c>
      <c r="C691">
        <v>1</v>
      </c>
      <c r="D691">
        <v>26.6</v>
      </c>
      <c r="E691">
        <v>26.6</v>
      </c>
      <c r="F691" s="1">
        <v>45687</v>
      </c>
      <c r="G691" s="1">
        <v>45688</v>
      </c>
      <c r="H691" t="s">
        <v>17</v>
      </c>
      <c r="I691" t="s">
        <v>35</v>
      </c>
      <c r="J691">
        <v>3</v>
      </c>
      <c r="K691" t="s">
        <v>19</v>
      </c>
      <c r="L691" t="s">
        <v>110</v>
      </c>
      <c r="M691">
        <f>orders[[#This Row],[Ship Date]]-orders[[#This Row],[Order Date]]</f>
        <v>1</v>
      </c>
      <c r="N691">
        <f>WEEKNUM(orders[[#This Row],[Order Date]])</f>
        <v>5</v>
      </c>
      <c r="O691" t="str">
        <f>_xlfn.IFS(orders[[#This Row],[Customer Gender]]="M","Male", orders[[#This Row],[Customer Gender]]="F","Female", orders[[#This Row],[Customer Gender]]="O","Other", TRUE,"Unknown")</f>
        <v>Unknown</v>
      </c>
    </row>
    <row r="692" spans="1:15">
      <c r="A692" t="s">
        <v>784</v>
      </c>
      <c r="B692" t="s">
        <v>54</v>
      </c>
      <c r="C692">
        <v>4</v>
      </c>
      <c r="D692">
        <v>31.5</v>
      </c>
      <c r="E692">
        <v>126</v>
      </c>
      <c r="F692" s="1">
        <v>45687</v>
      </c>
      <c r="G692" s="1">
        <v>45689</v>
      </c>
      <c r="H692" t="s">
        <v>23</v>
      </c>
      <c r="I692" t="s">
        <v>18</v>
      </c>
      <c r="J692">
        <v>4</v>
      </c>
      <c r="K692" t="s">
        <v>19</v>
      </c>
      <c r="L692" t="s">
        <v>292</v>
      </c>
      <c r="M692">
        <f>orders[[#This Row],[Ship Date]]-orders[[#This Row],[Order Date]]</f>
        <v>2</v>
      </c>
      <c r="N692">
        <f>WEEKNUM(orders[[#This Row],[Order Date]])</f>
        <v>5</v>
      </c>
      <c r="O692" t="str">
        <f>_xlfn.IFS(orders[[#This Row],[Customer Gender]]="M","Male", orders[[#This Row],[Customer Gender]]="F","Female", orders[[#This Row],[Customer Gender]]="O","Other", TRUE,"Unknown")</f>
        <v>Male</v>
      </c>
    </row>
    <row r="693" spans="1:15">
      <c r="A693" t="s">
        <v>785</v>
      </c>
      <c r="B693" t="s">
        <v>54</v>
      </c>
      <c r="C693">
        <v>1</v>
      </c>
      <c r="D693">
        <v>27</v>
      </c>
      <c r="E693">
        <v>27</v>
      </c>
      <c r="F693" s="1">
        <v>45687</v>
      </c>
      <c r="G693" s="1">
        <v>45689</v>
      </c>
      <c r="H693" t="s">
        <v>27</v>
      </c>
      <c r="I693" t="s">
        <v>35</v>
      </c>
      <c r="J693">
        <v>5</v>
      </c>
      <c r="K693" t="s">
        <v>19</v>
      </c>
      <c r="L693" t="s">
        <v>82</v>
      </c>
      <c r="M693">
        <f>orders[[#This Row],[Ship Date]]-orders[[#This Row],[Order Date]]</f>
        <v>2</v>
      </c>
      <c r="N693">
        <f>WEEKNUM(orders[[#This Row],[Order Date]])</f>
        <v>5</v>
      </c>
      <c r="O693" t="str">
        <f>_xlfn.IFS(orders[[#This Row],[Customer Gender]]="M","Male", orders[[#This Row],[Customer Gender]]="F","Female", orders[[#This Row],[Customer Gender]]="O","Other", TRUE,"Unknown")</f>
        <v>Female</v>
      </c>
    </row>
    <row r="694" spans="1:15">
      <c r="A694" t="s">
        <v>786</v>
      </c>
      <c r="B694" t="s">
        <v>32</v>
      </c>
      <c r="C694">
        <v>1</v>
      </c>
      <c r="D694">
        <v>32</v>
      </c>
      <c r="E694">
        <v>32</v>
      </c>
      <c r="F694" s="1">
        <v>45687</v>
      </c>
      <c r="G694" s="1">
        <v>45690</v>
      </c>
      <c r="H694" t="s">
        <v>23</v>
      </c>
      <c r="I694" t="s">
        <v>51</v>
      </c>
      <c r="J694">
        <v>4</v>
      </c>
      <c r="K694" t="s">
        <v>19</v>
      </c>
      <c r="L694" t="s">
        <v>115</v>
      </c>
      <c r="M694">
        <f>orders[[#This Row],[Ship Date]]-orders[[#This Row],[Order Date]]</f>
        <v>3</v>
      </c>
      <c r="N694">
        <f>WEEKNUM(orders[[#This Row],[Order Date]])</f>
        <v>5</v>
      </c>
      <c r="O694" t="str">
        <f>_xlfn.IFS(orders[[#This Row],[Customer Gender]]="M","Male", orders[[#This Row],[Customer Gender]]="F","Female", orders[[#This Row],[Customer Gender]]="O","Other", TRUE,"Unknown")</f>
        <v>Male</v>
      </c>
    </row>
    <row r="695" spans="1:15">
      <c r="A695" t="s">
        <v>689</v>
      </c>
      <c r="B695" t="s">
        <v>37</v>
      </c>
      <c r="C695">
        <v>2</v>
      </c>
      <c r="D695">
        <v>50.4</v>
      </c>
      <c r="E695">
        <v>100.8</v>
      </c>
      <c r="F695" s="1">
        <v>45683</v>
      </c>
      <c r="G695" s="1">
        <v>45684</v>
      </c>
      <c r="H695" t="s">
        <v>27</v>
      </c>
      <c r="I695" t="s">
        <v>40</v>
      </c>
      <c r="J695">
        <v>4</v>
      </c>
      <c r="K695" t="s">
        <v>19</v>
      </c>
      <c r="L695" t="s">
        <v>33</v>
      </c>
      <c r="M695">
        <f>orders[[#This Row],[Ship Date]]-orders[[#This Row],[Order Date]]</f>
        <v>1</v>
      </c>
      <c r="N695">
        <f>WEEKNUM(orders[[#This Row],[Order Date]])</f>
        <v>5</v>
      </c>
      <c r="O695" t="str">
        <f>_xlfn.IFS(orders[[#This Row],[Customer Gender]]="M","Male", orders[[#This Row],[Customer Gender]]="F","Female", orders[[#This Row],[Customer Gender]]="O","Other", TRUE,"Unknown")</f>
        <v>Female</v>
      </c>
    </row>
    <row r="696" spans="1:15">
      <c r="A696" t="s">
        <v>788</v>
      </c>
      <c r="B696" t="s">
        <v>46</v>
      </c>
      <c r="C696">
        <v>2</v>
      </c>
      <c r="D696">
        <v>43.4</v>
      </c>
      <c r="E696">
        <v>86.8</v>
      </c>
      <c r="F696" s="1">
        <v>45687</v>
      </c>
      <c r="G696" s="1">
        <v>45688</v>
      </c>
      <c r="H696" t="s">
        <v>23</v>
      </c>
      <c r="I696" t="s">
        <v>35</v>
      </c>
      <c r="J696">
        <v>3</v>
      </c>
      <c r="K696" t="s">
        <v>19</v>
      </c>
      <c r="L696" t="s">
        <v>147</v>
      </c>
      <c r="M696">
        <f>orders[[#This Row],[Ship Date]]-orders[[#This Row],[Order Date]]</f>
        <v>1</v>
      </c>
      <c r="N696">
        <f>WEEKNUM(orders[[#This Row],[Order Date]])</f>
        <v>5</v>
      </c>
      <c r="O696" t="str">
        <f>_xlfn.IFS(orders[[#This Row],[Customer Gender]]="M","Male", orders[[#This Row],[Customer Gender]]="F","Female", orders[[#This Row],[Customer Gender]]="O","Other", TRUE,"Unknown")</f>
        <v>Male</v>
      </c>
    </row>
    <row r="697" spans="1:15">
      <c r="A697" t="s">
        <v>789</v>
      </c>
      <c r="B697" t="s">
        <v>39</v>
      </c>
      <c r="C697">
        <v>2</v>
      </c>
      <c r="D697">
        <v>42.6</v>
      </c>
      <c r="E697">
        <v>85.2</v>
      </c>
      <c r="F697" s="1">
        <v>45687</v>
      </c>
      <c r="G697" s="1">
        <v>45690</v>
      </c>
      <c r="H697" t="s">
        <v>27</v>
      </c>
      <c r="I697" t="s">
        <v>51</v>
      </c>
      <c r="J697">
        <v>4</v>
      </c>
      <c r="K697" t="s">
        <v>19</v>
      </c>
      <c r="L697" t="s">
        <v>147</v>
      </c>
      <c r="M697">
        <f>orders[[#This Row],[Ship Date]]-orders[[#This Row],[Order Date]]</f>
        <v>3</v>
      </c>
      <c r="N697">
        <f>WEEKNUM(orders[[#This Row],[Order Date]])</f>
        <v>5</v>
      </c>
      <c r="O697" t="str">
        <f>_xlfn.IFS(orders[[#This Row],[Customer Gender]]="M","Male", orders[[#This Row],[Customer Gender]]="F","Female", orders[[#This Row],[Customer Gender]]="O","Other", TRUE,"Unknown")</f>
        <v>Female</v>
      </c>
    </row>
    <row r="698" spans="1:15">
      <c r="A698" t="s">
        <v>790</v>
      </c>
      <c r="B698" t="s">
        <v>44</v>
      </c>
      <c r="C698">
        <v>2</v>
      </c>
      <c r="D698">
        <v>15.9</v>
      </c>
      <c r="E698">
        <v>31.8</v>
      </c>
      <c r="F698" s="1">
        <v>45687</v>
      </c>
      <c r="G698" s="1">
        <v>45688</v>
      </c>
      <c r="H698" t="s">
        <v>27</v>
      </c>
      <c r="I698" t="s">
        <v>18</v>
      </c>
      <c r="J698">
        <v>4</v>
      </c>
      <c r="K698" t="s">
        <v>19</v>
      </c>
      <c r="L698" t="s">
        <v>334</v>
      </c>
      <c r="M698">
        <f>orders[[#This Row],[Ship Date]]-orders[[#This Row],[Order Date]]</f>
        <v>1</v>
      </c>
      <c r="N698">
        <f>WEEKNUM(orders[[#This Row],[Order Date]])</f>
        <v>5</v>
      </c>
      <c r="O698" t="str">
        <f>_xlfn.IFS(orders[[#This Row],[Customer Gender]]="M","Male", orders[[#This Row],[Customer Gender]]="F","Female", orders[[#This Row],[Customer Gender]]="O","Other", TRUE,"Unknown")</f>
        <v>Female</v>
      </c>
    </row>
    <row r="699" spans="1:15">
      <c r="A699" t="s">
        <v>791</v>
      </c>
      <c r="B699" t="s">
        <v>46</v>
      </c>
      <c r="C699">
        <v>2</v>
      </c>
      <c r="D699">
        <v>63.2</v>
      </c>
      <c r="E699">
        <v>126.4</v>
      </c>
      <c r="F699" s="1">
        <v>45687</v>
      </c>
      <c r="G699" s="1">
        <v>45688</v>
      </c>
      <c r="H699" t="s">
        <v>23</v>
      </c>
      <c r="I699" t="s">
        <v>35</v>
      </c>
      <c r="J699">
        <v>4</v>
      </c>
      <c r="K699" t="s">
        <v>19</v>
      </c>
      <c r="L699" t="s">
        <v>33</v>
      </c>
      <c r="M699">
        <f>orders[[#This Row],[Ship Date]]-orders[[#This Row],[Order Date]]</f>
        <v>1</v>
      </c>
      <c r="N699">
        <f>WEEKNUM(orders[[#This Row],[Order Date]])</f>
        <v>5</v>
      </c>
      <c r="O699" t="str">
        <f>_xlfn.IFS(orders[[#This Row],[Customer Gender]]="M","Male", orders[[#This Row],[Customer Gender]]="F","Female", orders[[#This Row],[Customer Gender]]="O","Other", TRUE,"Unknown")</f>
        <v>Male</v>
      </c>
    </row>
    <row r="700" spans="1:15">
      <c r="A700" t="s">
        <v>792</v>
      </c>
      <c r="B700" t="s">
        <v>42</v>
      </c>
      <c r="C700">
        <v>4</v>
      </c>
      <c r="D700">
        <v>64.8</v>
      </c>
      <c r="E700">
        <v>259.2</v>
      </c>
      <c r="F700" s="1">
        <v>45687</v>
      </c>
      <c r="G700" s="1">
        <v>45689</v>
      </c>
      <c r="H700" t="s">
        <v>17</v>
      </c>
      <c r="I700" t="s">
        <v>70</v>
      </c>
      <c r="J700">
        <v>3</v>
      </c>
      <c r="K700" t="s">
        <v>19</v>
      </c>
      <c r="L700" t="s">
        <v>33</v>
      </c>
      <c r="M700">
        <f>orders[[#This Row],[Ship Date]]-orders[[#This Row],[Order Date]]</f>
        <v>2</v>
      </c>
      <c r="N700">
        <f>WEEKNUM(orders[[#This Row],[Order Date]])</f>
        <v>5</v>
      </c>
      <c r="O700" t="str">
        <f>_xlfn.IFS(orders[[#This Row],[Customer Gender]]="M","Male", orders[[#This Row],[Customer Gender]]="F","Female", orders[[#This Row],[Customer Gender]]="O","Other", TRUE,"Unknown")</f>
        <v>Unknown</v>
      </c>
    </row>
    <row r="701" spans="1:15">
      <c r="A701" t="s">
        <v>793</v>
      </c>
      <c r="B701" t="s">
        <v>42</v>
      </c>
      <c r="C701">
        <v>3</v>
      </c>
      <c r="D701">
        <v>79.8</v>
      </c>
      <c r="E701">
        <v>239.39999999999998</v>
      </c>
      <c r="F701" s="1">
        <v>45687</v>
      </c>
      <c r="G701" s="1">
        <v>45688</v>
      </c>
      <c r="H701" t="s">
        <v>23</v>
      </c>
      <c r="I701" t="s">
        <v>18</v>
      </c>
      <c r="J701">
        <v>4</v>
      </c>
      <c r="K701" t="s">
        <v>19</v>
      </c>
      <c r="L701" t="s">
        <v>33</v>
      </c>
      <c r="M701">
        <f>orders[[#This Row],[Ship Date]]-orders[[#This Row],[Order Date]]</f>
        <v>1</v>
      </c>
      <c r="N701">
        <f>WEEKNUM(orders[[#This Row],[Order Date]])</f>
        <v>5</v>
      </c>
      <c r="O701" t="str">
        <f>_xlfn.IFS(orders[[#This Row],[Customer Gender]]="M","Male", orders[[#This Row],[Customer Gender]]="F","Female", orders[[#This Row],[Customer Gender]]="O","Other", TRUE,"Unknown")</f>
        <v>Male</v>
      </c>
    </row>
    <row r="702" spans="1:15">
      <c r="A702" t="s">
        <v>794</v>
      </c>
      <c r="B702" t="s">
        <v>46</v>
      </c>
      <c r="C702">
        <v>1</v>
      </c>
      <c r="D702">
        <v>54.4</v>
      </c>
      <c r="E702">
        <v>54.4</v>
      </c>
      <c r="F702" s="1">
        <v>45687</v>
      </c>
      <c r="G702" s="1">
        <v>45689</v>
      </c>
      <c r="H702" t="s">
        <v>27</v>
      </c>
      <c r="I702" t="s">
        <v>70</v>
      </c>
      <c r="J702">
        <v>5</v>
      </c>
      <c r="K702" t="s">
        <v>19</v>
      </c>
      <c r="L702" t="s">
        <v>33</v>
      </c>
      <c r="M702">
        <f>orders[[#This Row],[Ship Date]]-orders[[#This Row],[Order Date]]</f>
        <v>2</v>
      </c>
      <c r="N702">
        <f>WEEKNUM(orders[[#This Row],[Order Date]])</f>
        <v>5</v>
      </c>
      <c r="O702" t="str">
        <f>_xlfn.IFS(orders[[#This Row],[Customer Gender]]="M","Male", orders[[#This Row],[Customer Gender]]="F","Female", orders[[#This Row],[Customer Gender]]="O","Other", TRUE,"Unknown")</f>
        <v>Female</v>
      </c>
    </row>
    <row r="703" spans="1:15">
      <c r="A703" t="s">
        <v>795</v>
      </c>
      <c r="B703" t="s">
        <v>39</v>
      </c>
      <c r="C703">
        <v>1</v>
      </c>
      <c r="D703">
        <v>87.3</v>
      </c>
      <c r="E703">
        <v>87.3</v>
      </c>
      <c r="F703" s="1">
        <v>45687</v>
      </c>
      <c r="G703" s="1">
        <v>45688</v>
      </c>
      <c r="H703" t="s">
        <v>23</v>
      </c>
      <c r="I703" t="s">
        <v>35</v>
      </c>
      <c r="J703">
        <v>4</v>
      </c>
      <c r="K703" t="s">
        <v>19</v>
      </c>
      <c r="L703" t="s">
        <v>33</v>
      </c>
      <c r="M703">
        <f>orders[[#This Row],[Ship Date]]-orders[[#This Row],[Order Date]]</f>
        <v>1</v>
      </c>
      <c r="N703">
        <f>WEEKNUM(orders[[#This Row],[Order Date]])</f>
        <v>5</v>
      </c>
      <c r="O703" t="str">
        <f>_xlfn.IFS(orders[[#This Row],[Customer Gender]]="M","Male", orders[[#This Row],[Customer Gender]]="F","Female", orders[[#This Row],[Customer Gender]]="O","Other", TRUE,"Unknown")</f>
        <v>Male</v>
      </c>
    </row>
    <row r="704" spans="1:15">
      <c r="A704" t="s">
        <v>796</v>
      </c>
      <c r="B704" t="s">
        <v>44</v>
      </c>
      <c r="C704">
        <v>4</v>
      </c>
      <c r="D704">
        <v>32.4</v>
      </c>
      <c r="E704">
        <v>129.6</v>
      </c>
      <c r="F704" s="1">
        <v>45687</v>
      </c>
      <c r="G704" s="1">
        <v>45687</v>
      </c>
      <c r="H704" t="s">
        <v>23</v>
      </c>
      <c r="I704" t="s">
        <v>35</v>
      </c>
      <c r="J704">
        <v>4</v>
      </c>
      <c r="K704" t="s">
        <v>19</v>
      </c>
      <c r="L704" t="s">
        <v>33</v>
      </c>
      <c r="M704">
        <f>orders[[#This Row],[Ship Date]]-orders[[#This Row],[Order Date]]</f>
        <v>0</v>
      </c>
      <c r="N704">
        <f>WEEKNUM(orders[[#This Row],[Order Date]])</f>
        <v>5</v>
      </c>
      <c r="O704" t="str">
        <f>_xlfn.IFS(orders[[#This Row],[Customer Gender]]="M","Male", orders[[#This Row],[Customer Gender]]="F","Female", orders[[#This Row],[Customer Gender]]="O","Other", TRUE,"Unknown")</f>
        <v>Male</v>
      </c>
    </row>
    <row r="705" spans="1:15">
      <c r="A705" t="s">
        <v>797</v>
      </c>
      <c r="B705" t="s">
        <v>26</v>
      </c>
      <c r="C705">
        <v>1</v>
      </c>
      <c r="D705">
        <v>177.4</v>
      </c>
      <c r="E705">
        <v>177.4</v>
      </c>
      <c r="F705" s="1">
        <v>45687</v>
      </c>
      <c r="G705" s="1">
        <v>45691</v>
      </c>
      <c r="H705" t="s">
        <v>23</v>
      </c>
      <c r="I705" t="s">
        <v>18</v>
      </c>
      <c r="J705">
        <v>5</v>
      </c>
      <c r="K705" t="s">
        <v>19</v>
      </c>
      <c r="L705" t="s">
        <v>33</v>
      </c>
      <c r="M705">
        <f>orders[[#This Row],[Ship Date]]-orders[[#This Row],[Order Date]]</f>
        <v>4</v>
      </c>
      <c r="N705">
        <f>WEEKNUM(orders[[#This Row],[Order Date]])</f>
        <v>5</v>
      </c>
      <c r="O705" t="str">
        <f>_xlfn.IFS(orders[[#This Row],[Customer Gender]]="M","Male", orders[[#This Row],[Customer Gender]]="F","Female", orders[[#This Row],[Customer Gender]]="O","Other", TRUE,"Unknown")</f>
        <v>Male</v>
      </c>
    </row>
    <row r="706" spans="1:15">
      <c r="A706" t="s">
        <v>798</v>
      </c>
      <c r="B706" t="s">
        <v>42</v>
      </c>
      <c r="C706">
        <v>2</v>
      </c>
      <c r="D706">
        <v>70.099999999999994</v>
      </c>
      <c r="E706">
        <v>140.19999999999999</v>
      </c>
      <c r="F706" s="1">
        <v>45687</v>
      </c>
      <c r="G706" s="1">
        <v>45688</v>
      </c>
      <c r="H706" t="s">
        <v>23</v>
      </c>
      <c r="I706" t="s">
        <v>51</v>
      </c>
      <c r="J706">
        <v>3</v>
      </c>
      <c r="K706" t="s">
        <v>19</v>
      </c>
      <c r="L706" t="s">
        <v>33</v>
      </c>
      <c r="M706">
        <f>orders[[#This Row],[Ship Date]]-orders[[#This Row],[Order Date]]</f>
        <v>1</v>
      </c>
      <c r="N706">
        <f>WEEKNUM(orders[[#This Row],[Order Date]])</f>
        <v>5</v>
      </c>
      <c r="O706" t="str">
        <f>_xlfn.IFS(orders[[#This Row],[Customer Gender]]="M","Male", orders[[#This Row],[Customer Gender]]="F","Female", orders[[#This Row],[Customer Gender]]="O","Other", TRUE,"Unknown")</f>
        <v>Male</v>
      </c>
    </row>
    <row r="707" spans="1:15">
      <c r="A707" t="s">
        <v>799</v>
      </c>
      <c r="B707" t="s">
        <v>46</v>
      </c>
      <c r="C707">
        <v>6</v>
      </c>
      <c r="D707">
        <v>51.1</v>
      </c>
      <c r="E707">
        <v>306.60000000000002</v>
      </c>
      <c r="F707" s="1">
        <v>45687</v>
      </c>
      <c r="G707" s="1">
        <v>45688</v>
      </c>
      <c r="H707" t="s">
        <v>27</v>
      </c>
      <c r="I707" t="s">
        <v>18</v>
      </c>
      <c r="J707">
        <v>4</v>
      </c>
      <c r="K707" t="s">
        <v>19</v>
      </c>
      <c r="L707" t="s">
        <v>33</v>
      </c>
      <c r="M707">
        <f>orders[[#This Row],[Ship Date]]-orders[[#This Row],[Order Date]]</f>
        <v>1</v>
      </c>
      <c r="N707">
        <f>WEEKNUM(orders[[#This Row],[Order Date]])</f>
        <v>5</v>
      </c>
      <c r="O707" t="str">
        <f>_xlfn.IFS(orders[[#This Row],[Customer Gender]]="M","Male", orders[[#This Row],[Customer Gender]]="F","Female", orders[[#This Row],[Customer Gender]]="O","Other", TRUE,"Unknown")</f>
        <v>Female</v>
      </c>
    </row>
    <row r="708" spans="1:15">
      <c r="A708" t="s">
        <v>800</v>
      </c>
      <c r="B708" t="s">
        <v>26</v>
      </c>
      <c r="C708">
        <v>5</v>
      </c>
      <c r="D708">
        <v>79.900000000000006</v>
      </c>
      <c r="E708">
        <v>399.5</v>
      </c>
      <c r="F708" s="1">
        <v>45687</v>
      </c>
      <c r="G708" s="1">
        <v>45689</v>
      </c>
      <c r="H708" t="s">
        <v>23</v>
      </c>
      <c r="I708" t="s">
        <v>51</v>
      </c>
      <c r="J708">
        <v>5</v>
      </c>
      <c r="K708" t="s">
        <v>19</v>
      </c>
      <c r="L708" t="s">
        <v>186</v>
      </c>
      <c r="M708">
        <f>orders[[#This Row],[Ship Date]]-orders[[#This Row],[Order Date]]</f>
        <v>2</v>
      </c>
      <c r="N708">
        <f>WEEKNUM(orders[[#This Row],[Order Date]])</f>
        <v>5</v>
      </c>
      <c r="O708" t="str">
        <f>_xlfn.IFS(orders[[#This Row],[Customer Gender]]="M","Male", orders[[#This Row],[Customer Gender]]="F","Female", orders[[#This Row],[Customer Gender]]="O","Other", TRUE,"Unknown")</f>
        <v>Male</v>
      </c>
    </row>
    <row r="709" spans="1:15">
      <c r="A709" t="s">
        <v>801</v>
      </c>
      <c r="B709" t="s">
        <v>39</v>
      </c>
      <c r="C709">
        <v>1</v>
      </c>
      <c r="D709">
        <v>57.6</v>
      </c>
      <c r="E709">
        <v>57.6</v>
      </c>
      <c r="F709" s="1">
        <v>45688</v>
      </c>
      <c r="G709" s="1">
        <v>45693</v>
      </c>
      <c r="H709" t="s">
        <v>23</v>
      </c>
      <c r="I709" t="s">
        <v>18</v>
      </c>
      <c r="J709">
        <v>5</v>
      </c>
      <c r="K709" t="s">
        <v>19</v>
      </c>
      <c r="L709" t="s">
        <v>802</v>
      </c>
      <c r="M709">
        <f>orders[[#This Row],[Ship Date]]-orders[[#This Row],[Order Date]]</f>
        <v>5</v>
      </c>
      <c r="N709">
        <f>WEEKNUM(orders[[#This Row],[Order Date]])</f>
        <v>5</v>
      </c>
      <c r="O709" t="str">
        <f>_xlfn.IFS(orders[[#This Row],[Customer Gender]]="M","Male", orders[[#This Row],[Customer Gender]]="F","Female", orders[[#This Row],[Customer Gender]]="O","Other", TRUE,"Unknown")</f>
        <v>Male</v>
      </c>
    </row>
    <row r="710" spans="1:15">
      <c r="A710" t="s">
        <v>690</v>
      </c>
      <c r="B710" t="s">
        <v>26</v>
      </c>
      <c r="C710">
        <v>1</v>
      </c>
      <c r="D710">
        <v>85.8</v>
      </c>
      <c r="E710">
        <v>85.8</v>
      </c>
      <c r="F710" s="1">
        <v>45683</v>
      </c>
      <c r="G710" s="1">
        <v>45683</v>
      </c>
      <c r="H710" t="s">
        <v>27</v>
      </c>
      <c r="I710" t="s">
        <v>40</v>
      </c>
      <c r="J710">
        <v>5</v>
      </c>
      <c r="K710" t="s">
        <v>19</v>
      </c>
      <c r="L710" t="s">
        <v>33</v>
      </c>
      <c r="M710">
        <f>orders[[#This Row],[Ship Date]]-orders[[#This Row],[Order Date]]</f>
        <v>0</v>
      </c>
      <c r="N710">
        <f>WEEKNUM(orders[[#This Row],[Order Date]])</f>
        <v>5</v>
      </c>
      <c r="O710" t="str">
        <f>_xlfn.IFS(orders[[#This Row],[Customer Gender]]="M","Male", orders[[#This Row],[Customer Gender]]="F","Female", orders[[#This Row],[Customer Gender]]="O","Other", TRUE,"Unknown")</f>
        <v>Female</v>
      </c>
    </row>
    <row r="711" spans="1:15">
      <c r="A711" t="s">
        <v>804</v>
      </c>
      <c r="B711" t="s">
        <v>44</v>
      </c>
      <c r="C711">
        <v>5</v>
      </c>
      <c r="D711">
        <v>30</v>
      </c>
      <c r="E711">
        <v>150</v>
      </c>
      <c r="F711" s="1">
        <v>45688</v>
      </c>
      <c r="G711" s="1">
        <v>45690</v>
      </c>
      <c r="H711" t="s">
        <v>23</v>
      </c>
      <c r="I711" t="s">
        <v>35</v>
      </c>
      <c r="J711">
        <v>4</v>
      </c>
      <c r="K711" t="s">
        <v>19</v>
      </c>
      <c r="L711" t="s">
        <v>55</v>
      </c>
      <c r="M711">
        <f>orders[[#This Row],[Ship Date]]-orders[[#This Row],[Order Date]]</f>
        <v>2</v>
      </c>
      <c r="N711">
        <f>WEEKNUM(orders[[#This Row],[Order Date]])</f>
        <v>5</v>
      </c>
      <c r="O711" t="str">
        <f>_xlfn.IFS(orders[[#This Row],[Customer Gender]]="M","Male", orders[[#This Row],[Customer Gender]]="F","Female", orders[[#This Row],[Customer Gender]]="O","Other", TRUE,"Unknown")</f>
        <v>Male</v>
      </c>
    </row>
    <row r="712" spans="1:15">
      <c r="A712" t="s">
        <v>720</v>
      </c>
      <c r="B712" t="s">
        <v>44</v>
      </c>
      <c r="C712">
        <v>2</v>
      </c>
      <c r="D712">
        <v>40.1</v>
      </c>
      <c r="E712">
        <v>80.2</v>
      </c>
      <c r="F712" s="1">
        <v>45684</v>
      </c>
      <c r="G712" s="1">
        <v>45685</v>
      </c>
      <c r="H712" t="s">
        <v>27</v>
      </c>
      <c r="I712" t="s">
        <v>40</v>
      </c>
      <c r="J712">
        <v>4</v>
      </c>
      <c r="K712" t="s">
        <v>19</v>
      </c>
      <c r="L712" t="s">
        <v>108</v>
      </c>
      <c r="M712">
        <f>orders[[#This Row],[Ship Date]]-orders[[#This Row],[Order Date]]</f>
        <v>1</v>
      </c>
      <c r="N712">
        <f>WEEKNUM(orders[[#This Row],[Order Date]])</f>
        <v>5</v>
      </c>
      <c r="O712" t="str">
        <f>_xlfn.IFS(orders[[#This Row],[Customer Gender]]="M","Male", orders[[#This Row],[Customer Gender]]="F","Female", orders[[#This Row],[Customer Gender]]="O","Other", TRUE,"Unknown")</f>
        <v>Female</v>
      </c>
    </row>
    <row r="713" spans="1:15">
      <c r="A713" t="s">
        <v>806</v>
      </c>
      <c r="B713" t="s">
        <v>16</v>
      </c>
      <c r="C713">
        <v>8</v>
      </c>
      <c r="D713">
        <v>10.9</v>
      </c>
      <c r="E713">
        <v>87.2</v>
      </c>
      <c r="F713" s="1">
        <v>45688</v>
      </c>
      <c r="G713" s="1">
        <v>45689</v>
      </c>
      <c r="H713" t="s">
        <v>27</v>
      </c>
      <c r="I713" t="s">
        <v>18</v>
      </c>
      <c r="J713">
        <v>5</v>
      </c>
      <c r="K713" t="s">
        <v>19</v>
      </c>
      <c r="L713" t="s">
        <v>55</v>
      </c>
      <c r="M713">
        <f>orders[[#This Row],[Ship Date]]-orders[[#This Row],[Order Date]]</f>
        <v>1</v>
      </c>
      <c r="N713">
        <f>WEEKNUM(orders[[#This Row],[Order Date]])</f>
        <v>5</v>
      </c>
      <c r="O713" t="str">
        <f>_xlfn.IFS(orders[[#This Row],[Customer Gender]]="M","Male", orders[[#This Row],[Customer Gender]]="F","Female", orders[[#This Row],[Customer Gender]]="O","Other", TRUE,"Unknown")</f>
        <v>Female</v>
      </c>
    </row>
    <row r="714" spans="1:15">
      <c r="A714" t="s">
        <v>807</v>
      </c>
      <c r="B714" t="s">
        <v>128</v>
      </c>
      <c r="C714">
        <v>2</v>
      </c>
      <c r="D714">
        <v>48.6</v>
      </c>
      <c r="E714">
        <v>97.2</v>
      </c>
      <c r="F714" s="1">
        <v>45688</v>
      </c>
      <c r="G714" s="1">
        <v>45692</v>
      </c>
      <c r="H714" t="s">
        <v>23</v>
      </c>
      <c r="I714" t="s">
        <v>35</v>
      </c>
      <c r="J714">
        <v>5</v>
      </c>
      <c r="K714" t="s">
        <v>19</v>
      </c>
      <c r="L714" t="s">
        <v>55</v>
      </c>
      <c r="M714">
        <f>orders[[#This Row],[Ship Date]]-orders[[#This Row],[Order Date]]</f>
        <v>4</v>
      </c>
      <c r="N714">
        <f>WEEKNUM(orders[[#This Row],[Order Date]])</f>
        <v>5</v>
      </c>
      <c r="O714" t="str">
        <f>_xlfn.IFS(orders[[#This Row],[Customer Gender]]="M","Male", orders[[#This Row],[Customer Gender]]="F","Female", orders[[#This Row],[Customer Gender]]="O","Other", TRUE,"Unknown")</f>
        <v>Male</v>
      </c>
    </row>
    <row r="715" spans="1:15">
      <c r="A715" t="s">
        <v>808</v>
      </c>
      <c r="B715" t="s">
        <v>26</v>
      </c>
      <c r="C715">
        <v>2</v>
      </c>
      <c r="D715">
        <v>61.1</v>
      </c>
      <c r="E715">
        <v>122.2</v>
      </c>
      <c r="F715" s="1">
        <v>45688</v>
      </c>
      <c r="G715" s="1">
        <v>45691</v>
      </c>
      <c r="H715" t="s">
        <v>27</v>
      </c>
      <c r="I715" t="s">
        <v>35</v>
      </c>
      <c r="J715">
        <v>5</v>
      </c>
      <c r="K715" t="s">
        <v>19</v>
      </c>
      <c r="L715" t="s">
        <v>59</v>
      </c>
      <c r="M715">
        <f>orders[[#This Row],[Ship Date]]-orders[[#This Row],[Order Date]]</f>
        <v>3</v>
      </c>
      <c r="N715">
        <f>WEEKNUM(orders[[#This Row],[Order Date]])</f>
        <v>5</v>
      </c>
      <c r="O715" t="str">
        <f>_xlfn.IFS(orders[[#This Row],[Customer Gender]]="M","Male", orders[[#This Row],[Customer Gender]]="F","Female", orders[[#This Row],[Customer Gender]]="O","Other", TRUE,"Unknown")</f>
        <v>Female</v>
      </c>
    </row>
    <row r="716" spans="1:15">
      <c r="A716" t="s">
        <v>809</v>
      </c>
      <c r="B716" t="s">
        <v>44</v>
      </c>
      <c r="C716">
        <v>2</v>
      </c>
      <c r="D716">
        <v>23.2</v>
      </c>
      <c r="E716">
        <v>46.4</v>
      </c>
      <c r="F716" s="1">
        <v>45688</v>
      </c>
      <c r="G716" s="1">
        <v>45689</v>
      </c>
      <c r="H716" t="s">
        <v>23</v>
      </c>
      <c r="I716" t="s">
        <v>51</v>
      </c>
      <c r="J716">
        <v>5</v>
      </c>
      <c r="K716" t="s">
        <v>19</v>
      </c>
      <c r="L716" t="s">
        <v>62</v>
      </c>
      <c r="M716">
        <f>orders[[#This Row],[Ship Date]]-orders[[#This Row],[Order Date]]</f>
        <v>1</v>
      </c>
      <c r="N716">
        <f>WEEKNUM(orders[[#This Row],[Order Date]])</f>
        <v>5</v>
      </c>
      <c r="O716" t="str">
        <f>_xlfn.IFS(orders[[#This Row],[Customer Gender]]="M","Male", orders[[#This Row],[Customer Gender]]="F","Female", orders[[#This Row],[Customer Gender]]="O","Other", TRUE,"Unknown")</f>
        <v>Male</v>
      </c>
    </row>
    <row r="717" spans="1:15">
      <c r="A717" t="s">
        <v>810</v>
      </c>
      <c r="B717" t="s">
        <v>69</v>
      </c>
      <c r="C717">
        <v>4</v>
      </c>
      <c r="D717">
        <v>55.8</v>
      </c>
      <c r="E717">
        <v>223.2</v>
      </c>
      <c r="F717" s="1">
        <v>45688</v>
      </c>
      <c r="G717" s="1">
        <v>45689</v>
      </c>
      <c r="H717" t="s">
        <v>23</v>
      </c>
      <c r="I717" t="s">
        <v>18</v>
      </c>
      <c r="J717">
        <v>4</v>
      </c>
      <c r="K717" t="s">
        <v>19</v>
      </c>
      <c r="L717" t="s">
        <v>62</v>
      </c>
      <c r="M717">
        <f>orders[[#This Row],[Ship Date]]-orders[[#This Row],[Order Date]]</f>
        <v>1</v>
      </c>
      <c r="N717">
        <f>WEEKNUM(orders[[#This Row],[Order Date]])</f>
        <v>5</v>
      </c>
      <c r="O717" t="str">
        <f>_xlfn.IFS(orders[[#This Row],[Customer Gender]]="M","Male", orders[[#This Row],[Customer Gender]]="F","Female", orders[[#This Row],[Customer Gender]]="O","Other", TRUE,"Unknown")</f>
        <v>Male</v>
      </c>
    </row>
    <row r="718" spans="1:15">
      <c r="A718" t="s">
        <v>811</v>
      </c>
      <c r="B718" t="s">
        <v>46</v>
      </c>
      <c r="C718">
        <v>4</v>
      </c>
      <c r="D718">
        <v>24.8</v>
      </c>
      <c r="E718">
        <v>99.2</v>
      </c>
      <c r="F718" s="1">
        <v>45688</v>
      </c>
      <c r="G718" s="1">
        <v>45689</v>
      </c>
      <c r="H718" t="s">
        <v>27</v>
      </c>
      <c r="I718" t="s">
        <v>18</v>
      </c>
      <c r="J718">
        <v>5</v>
      </c>
      <c r="K718" t="s">
        <v>19</v>
      </c>
      <c r="L718" t="s">
        <v>62</v>
      </c>
      <c r="M718">
        <f>orders[[#This Row],[Ship Date]]-orders[[#This Row],[Order Date]]</f>
        <v>1</v>
      </c>
      <c r="N718">
        <f>WEEKNUM(orders[[#This Row],[Order Date]])</f>
        <v>5</v>
      </c>
      <c r="O718" t="str">
        <f>_xlfn.IFS(orders[[#This Row],[Customer Gender]]="M","Male", orders[[#This Row],[Customer Gender]]="F","Female", orders[[#This Row],[Customer Gender]]="O","Other", TRUE,"Unknown")</f>
        <v>Female</v>
      </c>
    </row>
    <row r="719" spans="1:15">
      <c r="A719" t="s">
        <v>685</v>
      </c>
      <c r="B719" t="s">
        <v>30</v>
      </c>
      <c r="C719">
        <v>2</v>
      </c>
      <c r="D719">
        <v>30.9</v>
      </c>
      <c r="E719">
        <v>61.8</v>
      </c>
      <c r="F719" s="1">
        <v>45683</v>
      </c>
      <c r="G719" s="1">
        <v>45683</v>
      </c>
      <c r="H719" t="s">
        <v>27</v>
      </c>
      <c r="I719" t="s">
        <v>40</v>
      </c>
      <c r="J719">
        <v>5</v>
      </c>
      <c r="K719" t="s">
        <v>19</v>
      </c>
      <c r="L719" t="s">
        <v>147</v>
      </c>
      <c r="M719">
        <f>orders[[#This Row],[Ship Date]]-orders[[#This Row],[Order Date]]</f>
        <v>0</v>
      </c>
      <c r="N719">
        <f>WEEKNUM(orders[[#This Row],[Order Date]])</f>
        <v>5</v>
      </c>
      <c r="O719" t="str">
        <f>_xlfn.IFS(orders[[#This Row],[Customer Gender]]="M","Male", orders[[#This Row],[Customer Gender]]="F","Female", orders[[#This Row],[Customer Gender]]="O","Other", TRUE,"Unknown")</f>
        <v>Female</v>
      </c>
    </row>
    <row r="720" spans="1:15">
      <c r="A720" t="s">
        <v>813</v>
      </c>
      <c r="B720" t="s">
        <v>54</v>
      </c>
      <c r="C720">
        <v>6</v>
      </c>
      <c r="D720">
        <v>51.1</v>
      </c>
      <c r="E720">
        <v>306.60000000000002</v>
      </c>
      <c r="F720" s="1">
        <v>45688</v>
      </c>
      <c r="G720" s="1">
        <v>45688</v>
      </c>
      <c r="H720" t="s">
        <v>27</v>
      </c>
      <c r="I720" t="s">
        <v>51</v>
      </c>
      <c r="J720">
        <v>4</v>
      </c>
      <c r="K720" t="s">
        <v>19</v>
      </c>
      <c r="L720" t="s">
        <v>62</v>
      </c>
      <c r="M720">
        <f>orders[[#This Row],[Ship Date]]-orders[[#This Row],[Order Date]]</f>
        <v>0</v>
      </c>
      <c r="N720">
        <f>WEEKNUM(orders[[#This Row],[Order Date]])</f>
        <v>5</v>
      </c>
      <c r="O720" t="str">
        <f>_xlfn.IFS(orders[[#This Row],[Customer Gender]]="M","Male", orders[[#This Row],[Customer Gender]]="F","Female", orders[[#This Row],[Customer Gender]]="O","Other", TRUE,"Unknown")</f>
        <v>Female</v>
      </c>
    </row>
    <row r="721" spans="1:15">
      <c r="A721" t="s">
        <v>814</v>
      </c>
      <c r="B721" t="s">
        <v>135</v>
      </c>
      <c r="C721">
        <v>11</v>
      </c>
      <c r="D721">
        <v>32.700000000000003</v>
      </c>
      <c r="E721">
        <v>359.70000000000005</v>
      </c>
      <c r="F721" s="1">
        <v>45688</v>
      </c>
      <c r="G721" s="1">
        <v>45689</v>
      </c>
      <c r="H721" t="s">
        <v>23</v>
      </c>
      <c r="I721" t="s">
        <v>70</v>
      </c>
      <c r="J721">
        <v>5</v>
      </c>
      <c r="K721" t="s">
        <v>19</v>
      </c>
      <c r="L721" t="s">
        <v>103</v>
      </c>
      <c r="M721">
        <f>orders[[#This Row],[Ship Date]]-orders[[#This Row],[Order Date]]</f>
        <v>1</v>
      </c>
      <c r="N721">
        <f>WEEKNUM(orders[[#This Row],[Order Date]])</f>
        <v>5</v>
      </c>
      <c r="O721" t="str">
        <f>_xlfn.IFS(orders[[#This Row],[Customer Gender]]="M","Male", orders[[#This Row],[Customer Gender]]="F","Female", orders[[#This Row],[Customer Gender]]="O","Other", TRUE,"Unknown")</f>
        <v>Male</v>
      </c>
    </row>
    <row r="722" spans="1:15">
      <c r="A722" t="s">
        <v>815</v>
      </c>
      <c r="B722" t="s">
        <v>44</v>
      </c>
      <c r="C722">
        <v>4</v>
      </c>
      <c r="D722">
        <v>22.5</v>
      </c>
      <c r="E722">
        <v>90</v>
      </c>
      <c r="F722" s="1">
        <v>45688</v>
      </c>
      <c r="G722" s="1">
        <v>45688</v>
      </c>
      <c r="H722" t="s">
        <v>23</v>
      </c>
      <c r="I722" t="s">
        <v>18</v>
      </c>
      <c r="J722">
        <v>5</v>
      </c>
      <c r="K722" t="s">
        <v>19</v>
      </c>
      <c r="L722" t="s">
        <v>201</v>
      </c>
      <c r="M722">
        <f>orders[[#This Row],[Ship Date]]-orders[[#This Row],[Order Date]]</f>
        <v>0</v>
      </c>
      <c r="N722">
        <f>WEEKNUM(orders[[#This Row],[Order Date]])</f>
        <v>5</v>
      </c>
      <c r="O722" t="str">
        <f>_xlfn.IFS(orders[[#This Row],[Customer Gender]]="M","Male", orders[[#This Row],[Customer Gender]]="F","Female", orders[[#This Row],[Customer Gender]]="O","Other", TRUE,"Unknown")</f>
        <v>Male</v>
      </c>
    </row>
    <row r="723" spans="1:15">
      <c r="A723" t="s">
        <v>721</v>
      </c>
      <c r="B723" t="s">
        <v>44</v>
      </c>
      <c r="C723">
        <v>3</v>
      </c>
      <c r="D723">
        <v>18.600000000000001</v>
      </c>
      <c r="E723">
        <v>55.800000000000004</v>
      </c>
      <c r="F723" s="1">
        <v>45684</v>
      </c>
      <c r="G723" s="1">
        <v>45685</v>
      </c>
      <c r="H723" t="s">
        <v>27</v>
      </c>
      <c r="I723" t="s">
        <v>40</v>
      </c>
      <c r="J723">
        <v>4</v>
      </c>
      <c r="K723" t="s">
        <v>19</v>
      </c>
      <c r="L723" t="s">
        <v>115</v>
      </c>
      <c r="M723">
        <f>orders[[#This Row],[Ship Date]]-orders[[#This Row],[Order Date]]</f>
        <v>1</v>
      </c>
      <c r="N723">
        <f>WEEKNUM(orders[[#This Row],[Order Date]])</f>
        <v>5</v>
      </c>
      <c r="O723" t="str">
        <f>_xlfn.IFS(orders[[#This Row],[Customer Gender]]="M","Male", orders[[#This Row],[Customer Gender]]="F","Female", orders[[#This Row],[Customer Gender]]="O","Other", TRUE,"Unknown")</f>
        <v>Female</v>
      </c>
    </row>
    <row r="724" spans="1:15">
      <c r="A724" t="s">
        <v>817</v>
      </c>
      <c r="B724" t="s">
        <v>37</v>
      </c>
      <c r="C724">
        <v>3</v>
      </c>
      <c r="D724">
        <v>32.5</v>
      </c>
      <c r="E724">
        <v>97.5</v>
      </c>
      <c r="F724" s="1">
        <v>45688</v>
      </c>
      <c r="G724" s="1">
        <v>45691</v>
      </c>
      <c r="H724" t="s">
        <v>23</v>
      </c>
      <c r="I724" t="s">
        <v>18</v>
      </c>
      <c r="J724">
        <v>4</v>
      </c>
      <c r="K724" t="s">
        <v>19</v>
      </c>
      <c r="L724" t="s">
        <v>74</v>
      </c>
      <c r="M724">
        <f>orders[[#This Row],[Ship Date]]-orders[[#This Row],[Order Date]]</f>
        <v>3</v>
      </c>
      <c r="N724">
        <f>WEEKNUM(orders[[#This Row],[Order Date]])</f>
        <v>5</v>
      </c>
      <c r="O724" t="str">
        <f>_xlfn.IFS(orders[[#This Row],[Customer Gender]]="M","Male", orders[[#This Row],[Customer Gender]]="F","Female", orders[[#This Row],[Customer Gender]]="O","Other", TRUE,"Unknown")</f>
        <v>Male</v>
      </c>
    </row>
    <row r="725" spans="1:15">
      <c r="A725" t="s">
        <v>818</v>
      </c>
      <c r="B725" t="s">
        <v>146</v>
      </c>
      <c r="C725">
        <v>1</v>
      </c>
      <c r="D725">
        <v>78.099999999999994</v>
      </c>
      <c r="E725">
        <v>78.099999999999994</v>
      </c>
      <c r="F725" s="1">
        <v>45688</v>
      </c>
      <c r="G725" s="1">
        <v>45691</v>
      </c>
      <c r="H725" t="s">
        <v>23</v>
      </c>
      <c r="I725" t="s">
        <v>18</v>
      </c>
      <c r="J725">
        <v>5</v>
      </c>
      <c r="K725" t="s">
        <v>19</v>
      </c>
      <c r="L725" t="s">
        <v>77</v>
      </c>
      <c r="M725">
        <f>orders[[#This Row],[Ship Date]]-orders[[#This Row],[Order Date]]</f>
        <v>3</v>
      </c>
      <c r="N725">
        <f>WEEKNUM(orders[[#This Row],[Order Date]])</f>
        <v>5</v>
      </c>
      <c r="O725" t="str">
        <f>_xlfn.IFS(orders[[#This Row],[Customer Gender]]="M","Male", orders[[#This Row],[Customer Gender]]="F","Female", orders[[#This Row],[Customer Gender]]="O","Other", TRUE,"Unknown")</f>
        <v>Male</v>
      </c>
    </row>
    <row r="726" spans="1:15">
      <c r="A726" t="s">
        <v>819</v>
      </c>
      <c r="B726" t="s">
        <v>69</v>
      </c>
      <c r="C726">
        <v>6</v>
      </c>
      <c r="D726">
        <v>110.2</v>
      </c>
      <c r="E726">
        <v>661.2</v>
      </c>
      <c r="F726" s="1">
        <v>45688</v>
      </c>
      <c r="G726" s="1">
        <v>45688</v>
      </c>
      <c r="H726" t="s">
        <v>23</v>
      </c>
      <c r="I726" t="s">
        <v>35</v>
      </c>
      <c r="J726">
        <v>2</v>
      </c>
      <c r="K726" t="s">
        <v>19</v>
      </c>
      <c r="L726" t="s">
        <v>82</v>
      </c>
      <c r="M726">
        <f>orders[[#This Row],[Ship Date]]-orders[[#This Row],[Order Date]]</f>
        <v>0</v>
      </c>
      <c r="N726">
        <f>WEEKNUM(orders[[#This Row],[Order Date]])</f>
        <v>5</v>
      </c>
      <c r="O726" t="str">
        <f>_xlfn.IFS(orders[[#This Row],[Customer Gender]]="M","Male", orders[[#This Row],[Customer Gender]]="F","Female", orders[[#This Row],[Customer Gender]]="O","Other", TRUE,"Unknown")</f>
        <v>Male</v>
      </c>
    </row>
    <row r="727" spans="1:15">
      <c r="A727" t="s">
        <v>820</v>
      </c>
      <c r="B727" t="s">
        <v>39</v>
      </c>
      <c r="C727">
        <v>3</v>
      </c>
      <c r="D727">
        <v>86.3</v>
      </c>
      <c r="E727">
        <v>258.89999999999998</v>
      </c>
      <c r="F727" s="1">
        <v>45688</v>
      </c>
      <c r="G727" s="1">
        <v>45690</v>
      </c>
      <c r="H727" t="s">
        <v>27</v>
      </c>
      <c r="I727" t="s">
        <v>51</v>
      </c>
      <c r="J727">
        <v>4</v>
      </c>
      <c r="K727" t="s">
        <v>19</v>
      </c>
      <c r="L727" t="s">
        <v>115</v>
      </c>
      <c r="M727">
        <f>orders[[#This Row],[Ship Date]]-orders[[#This Row],[Order Date]]</f>
        <v>2</v>
      </c>
      <c r="N727">
        <f>WEEKNUM(orders[[#This Row],[Order Date]])</f>
        <v>5</v>
      </c>
      <c r="O727" t="str">
        <f>_xlfn.IFS(orders[[#This Row],[Customer Gender]]="M","Male", orders[[#This Row],[Customer Gender]]="F","Female", orders[[#This Row],[Customer Gender]]="O","Other", TRUE,"Unknown")</f>
        <v>Female</v>
      </c>
    </row>
    <row r="728" spans="1:15">
      <c r="A728" t="s">
        <v>821</v>
      </c>
      <c r="B728" t="s">
        <v>22</v>
      </c>
      <c r="C728">
        <v>6</v>
      </c>
      <c r="D728">
        <v>73.599999999999994</v>
      </c>
      <c r="E728">
        <v>441.59999999999997</v>
      </c>
      <c r="F728" s="1">
        <v>45688</v>
      </c>
      <c r="G728" s="1">
        <v>45690</v>
      </c>
      <c r="H728" t="s">
        <v>89</v>
      </c>
      <c r="I728" t="s">
        <v>51</v>
      </c>
      <c r="J728">
        <v>2</v>
      </c>
      <c r="K728" t="s">
        <v>19</v>
      </c>
      <c r="L728" t="s">
        <v>587</v>
      </c>
      <c r="M728">
        <f>orders[[#This Row],[Ship Date]]-orders[[#This Row],[Order Date]]</f>
        <v>2</v>
      </c>
      <c r="N728">
        <f>WEEKNUM(orders[[#This Row],[Order Date]])</f>
        <v>5</v>
      </c>
      <c r="O728" t="str">
        <f>_xlfn.IFS(orders[[#This Row],[Customer Gender]]="M","Male", orders[[#This Row],[Customer Gender]]="F","Female", orders[[#This Row],[Customer Gender]]="O","Other", TRUE,"Unknown")</f>
        <v>Other</v>
      </c>
    </row>
    <row r="729" spans="1:15">
      <c r="A729" t="s">
        <v>822</v>
      </c>
      <c r="B729" t="s">
        <v>39</v>
      </c>
      <c r="C729">
        <v>13</v>
      </c>
      <c r="D729">
        <v>67.7</v>
      </c>
      <c r="E729">
        <v>880.1</v>
      </c>
      <c r="F729" s="1">
        <v>45688</v>
      </c>
      <c r="G729" s="1">
        <v>45690</v>
      </c>
      <c r="H729" t="s">
        <v>27</v>
      </c>
      <c r="I729" t="s">
        <v>18</v>
      </c>
      <c r="J729">
        <v>5</v>
      </c>
      <c r="K729" t="s">
        <v>19</v>
      </c>
      <c r="L729" t="s">
        <v>33</v>
      </c>
      <c r="M729">
        <f>orders[[#This Row],[Ship Date]]-orders[[#This Row],[Order Date]]</f>
        <v>2</v>
      </c>
      <c r="N729">
        <f>WEEKNUM(orders[[#This Row],[Order Date]])</f>
        <v>5</v>
      </c>
      <c r="O729" t="str">
        <f>_xlfn.IFS(orders[[#This Row],[Customer Gender]]="M","Male", orders[[#This Row],[Customer Gender]]="F","Female", orders[[#This Row],[Customer Gender]]="O","Other", TRUE,"Unknown")</f>
        <v>Female</v>
      </c>
    </row>
    <row r="730" spans="1:15">
      <c r="A730" t="s">
        <v>812</v>
      </c>
      <c r="B730" t="s">
        <v>54</v>
      </c>
      <c r="C730">
        <v>2</v>
      </c>
      <c r="D730">
        <v>27.9</v>
      </c>
      <c r="E730">
        <v>55.8</v>
      </c>
      <c r="F730" s="1">
        <v>45688</v>
      </c>
      <c r="G730" s="1">
        <v>45688</v>
      </c>
      <c r="H730" t="s">
        <v>23</v>
      </c>
      <c r="I730" t="s">
        <v>40</v>
      </c>
      <c r="J730">
        <v>5</v>
      </c>
      <c r="K730" t="s">
        <v>19</v>
      </c>
      <c r="L730" t="s">
        <v>62</v>
      </c>
      <c r="M730">
        <f>orders[[#This Row],[Ship Date]]-orders[[#This Row],[Order Date]]</f>
        <v>0</v>
      </c>
      <c r="N730">
        <f>WEEKNUM(orders[[#This Row],[Order Date]])</f>
        <v>5</v>
      </c>
      <c r="O730" t="str">
        <f>_xlfn.IFS(orders[[#This Row],[Customer Gender]]="M","Male", orders[[#This Row],[Customer Gender]]="F","Female", orders[[#This Row],[Customer Gender]]="O","Other", TRUE,"Unknown")</f>
        <v>Male</v>
      </c>
    </row>
    <row r="731" spans="1:15">
      <c r="A731" t="s">
        <v>824</v>
      </c>
      <c r="B731" t="s">
        <v>22</v>
      </c>
      <c r="C731">
        <v>9</v>
      </c>
      <c r="D731">
        <v>45.8</v>
      </c>
      <c r="E731">
        <v>412.2</v>
      </c>
      <c r="F731" s="1">
        <v>45688</v>
      </c>
      <c r="G731" s="1">
        <v>45690</v>
      </c>
      <c r="H731" t="s">
        <v>27</v>
      </c>
      <c r="I731" t="s">
        <v>35</v>
      </c>
      <c r="J731">
        <v>5</v>
      </c>
      <c r="K731" t="s">
        <v>19</v>
      </c>
      <c r="L731" t="s">
        <v>33</v>
      </c>
      <c r="M731">
        <f>orders[[#This Row],[Ship Date]]-orders[[#This Row],[Order Date]]</f>
        <v>2</v>
      </c>
      <c r="N731">
        <f>WEEKNUM(orders[[#This Row],[Order Date]])</f>
        <v>5</v>
      </c>
      <c r="O731" t="str">
        <f>_xlfn.IFS(orders[[#This Row],[Customer Gender]]="M","Male", orders[[#This Row],[Customer Gender]]="F","Female", orders[[#This Row],[Customer Gender]]="O","Other", TRUE,"Unknown")</f>
        <v>Female</v>
      </c>
    </row>
    <row r="732" spans="1:15">
      <c r="A732" t="s">
        <v>825</v>
      </c>
      <c r="B732" t="s">
        <v>54</v>
      </c>
      <c r="C732">
        <v>2</v>
      </c>
      <c r="D732">
        <v>24.2</v>
      </c>
      <c r="E732">
        <v>48.4</v>
      </c>
      <c r="F732" s="1">
        <v>45689</v>
      </c>
      <c r="G732" s="1">
        <v>45692</v>
      </c>
      <c r="H732" t="s">
        <v>27</v>
      </c>
      <c r="I732" t="s">
        <v>51</v>
      </c>
      <c r="J732">
        <v>5</v>
      </c>
      <c r="K732" t="s">
        <v>19</v>
      </c>
      <c r="L732" t="s">
        <v>33</v>
      </c>
      <c r="M732">
        <f>orders[[#This Row],[Ship Date]]-orders[[#This Row],[Order Date]]</f>
        <v>3</v>
      </c>
      <c r="N732">
        <f>WEEKNUM(orders[[#This Row],[Order Date]])</f>
        <v>5</v>
      </c>
      <c r="O732" t="str">
        <f>_xlfn.IFS(orders[[#This Row],[Customer Gender]]="M","Male", orders[[#This Row],[Customer Gender]]="F","Female", orders[[#This Row],[Customer Gender]]="O","Other", TRUE,"Unknown")</f>
        <v>Female</v>
      </c>
    </row>
    <row r="733" spans="1:15">
      <c r="A733" t="s">
        <v>761</v>
      </c>
      <c r="B733" t="s">
        <v>69</v>
      </c>
      <c r="C733">
        <v>1</v>
      </c>
      <c r="D733">
        <v>55.3</v>
      </c>
      <c r="E733">
        <v>55.3</v>
      </c>
      <c r="F733" s="1">
        <v>45686</v>
      </c>
      <c r="G733" s="1">
        <v>45687</v>
      </c>
      <c r="H733" t="s">
        <v>27</v>
      </c>
      <c r="I733" t="s">
        <v>40</v>
      </c>
      <c r="J733">
        <v>5</v>
      </c>
      <c r="K733" t="s">
        <v>19</v>
      </c>
      <c r="L733" t="s">
        <v>33</v>
      </c>
      <c r="M733">
        <f>orders[[#This Row],[Ship Date]]-orders[[#This Row],[Order Date]]</f>
        <v>1</v>
      </c>
      <c r="N733">
        <f>WEEKNUM(orders[[#This Row],[Order Date]])</f>
        <v>5</v>
      </c>
      <c r="O733" t="str">
        <f>_xlfn.IFS(orders[[#This Row],[Customer Gender]]="M","Male", orders[[#This Row],[Customer Gender]]="F","Female", orders[[#This Row],[Customer Gender]]="O","Other", TRUE,"Unknown")</f>
        <v>Female</v>
      </c>
    </row>
    <row r="734" spans="1:15">
      <c r="A734" t="s">
        <v>745</v>
      </c>
      <c r="B734" t="s">
        <v>42</v>
      </c>
      <c r="C734">
        <v>1</v>
      </c>
      <c r="D734">
        <v>46.7</v>
      </c>
      <c r="E734">
        <v>46.7</v>
      </c>
      <c r="F734" s="1">
        <v>45686</v>
      </c>
      <c r="G734" s="1">
        <v>45689</v>
      </c>
      <c r="H734" t="s">
        <v>27</v>
      </c>
      <c r="I734" t="s">
        <v>40</v>
      </c>
      <c r="J734">
        <v>4</v>
      </c>
      <c r="K734" t="s">
        <v>19</v>
      </c>
      <c r="L734" t="s">
        <v>103</v>
      </c>
      <c r="M734">
        <f>orders[[#This Row],[Ship Date]]-orders[[#This Row],[Order Date]]</f>
        <v>3</v>
      </c>
      <c r="N734">
        <f>WEEKNUM(orders[[#This Row],[Order Date]])</f>
        <v>5</v>
      </c>
      <c r="O734" t="str">
        <f>_xlfn.IFS(orders[[#This Row],[Customer Gender]]="M","Male", orders[[#This Row],[Customer Gender]]="F","Female", orders[[#This Row],[Customer Gender]]="O","Other", TRUE,"Unknown")</f>
        <v>Female</v>
      </c>
    </row>
    <row r="735" spans="1:15">
      <c r="A735" t="s">
        <v>828</v>
      </c>
      <c r="B735" t="s">
        <v>42</v>
      </c>
      <c r="C735">
        <v>10</v>
      </c>
      <c r="D735">
        <v>35.700000000000003</v>
      </c>
      <c r="E735">
        <v>357</v>
      </c>
      <c r="F735" s="1">
        <v>45689</v>
      </c>
      <c r="G735" s="1">
        <v>45689</v>
      </c>
      <c r="H735" t="s">
        <v>27</v>
      </c>
      <c r="I735" t="s">
        <v>18</v>
      </c>
      <c r="J735">
        <v>3</v>
      </c>
      <c r="K735" t="s">
        <v>19</v>
      </c>
      <c r="L735" t="s">
        <v>55</v>
      </c>
      <c r="M735">
        <f>orders[[#This Row],[Ship Date]]-orders[[#This Row],[Order Date]]</f>
        <v>0</v>
      </c>
      <c r="N735">
        <f>WEEKNUM(orders[[#This Row],[Order Date]])</f>
        <v>5</v>
      </c>
      <c r="O735" t="str">
        <f>_xlfn.IFS(orders[[#This Row],[Customer Gender]]="M","Male", orders[[#This Row],[Customer Gender]]="F","Female", orders[[#This Row],[Customer Gender]]="O","Other", TRUE,"Unknown")</f>
        <v>Female</v>
      </c>
    </row>
    <row r="736" spans="1:15">
      <c r="A736" t="s">
        <v>763</v>
      </c>
      <c r="B736" t="s">
        <v>16</v>
      </c>
      <c r="C736">
        <v>1</v>
      </c>
      <c r="D736">
        <v>34.1</v>
      </c>
      <c r="E736">
        <v>34.1</v>
      </c>
      <c r="F736" s="1">
        <v>45686</v>
      </c>
      <c r="G736" s="1">
        <v>45693</v>
      </c>
      <c r="H736" t="s">
        <v>27</v>
      </c>
      <c r="I736" t="s">
        <v>40</v>
      </c>
      <c r="J736">
        <v>4</v>
      </c>
      <c r="K736" t="s">
        <v>19</v>
      </c>
      <c r="L736" t="s">
        <v>33</v>
      </c>
      <c r="M736">
        <f>orders[[#This Row],[Ship Date]]-orders[[#This Row],[Order Date]]</f>
        <v>7</v>
      </c>
      <c r="N736">
        <f>WEEKNUM(orders[[#This Row],[Order Date]])</f>
        <v>5</v>
      </c>
      <c r="O736" t="str">
        <f>_xlfn.IFS(orders[[#This Row],[Customer Gender]]="M","Male", orders[[#This Row],[Customer Gender]]="F","Female", orders[[#This Row],[Customer Gender]]="O","Other", TRUE,"Unknown")</f>
        <v>Female</v>
      </c>
    </row>
    <row r="737" spans="1:15">
      <c r="A737" t="s">
        <v>830</v>
      </c>
      <c r="B737" t="s">
        <v>44</v>
      </c>
      <c r="C737">
        <v>2</v>
      </c>
      <c r="D737">
        <v>35.700000000000003</v>
      </c>
      <c r="E737">
        <v>71.400000000000006</v>
      </c>
      <c r="F737" s="1">
        <v>45689</v>
      </c>
      <c r="G737" s="1">
        <v>45692</v>
      </c>
      <c r="H737" t="s">
        <v>17</v>
      </c>
      <c r="I737" t="s">
        <v>18</v>
      </c>
      <c r="J737">
        <v>3</v>
      </c>
      <c r="K737" t="s">
        <v>19</v>
      </c>
      <c r="L737" t="s">
        <v>55</v>
      </c>
      <c r="M737">
        <f>orders[[#This Row],[Ship Date]]-orders[[#This Row],[Order Date]]</f>
        <v>3</v>
      </c>
      <c r="N737">
        <f>WEEKNUM(orders[[#This Row],[Order Date]])</f>
        <v>5</v>
      </c>
      <c r="O737" t="str">
        <f>_xlfn.IFS(orders[[#This Row],[Customer Gender]]="M","Male", orders[[#This Row],[Customer Gender]]="F","Female", orders[[#This Row],[Customer Gender]]="O","Other", TRUE,"Unknown")</f>
        <v>Unknown</v>
      </c>
    </row>
    <row r="738" spans="1:15">
      <c r="A738" t="s">
        <v>831</v>
      </c>
      <c r="B738" t="s">
        <v>54</v>
      </c>
      <c r="C738">
        <v>2</v>
      </c>
      <c r="D738">
        <v>52.4</v>
      </c>
      <c r="E738">
        <v>104.8</v>
      </c>
      <c r="F738" s="1">
        <v>45689</v>
      </c>
      <c r="G738" s="1">
        <v>45689</v>
      </c>
      <c r="H738" t="s">
        <v>27</v>
      </c>
      <c r="I738" t="s">
        <v>18</v>
      </c>
      <c r="J738">
        <v>1</v>
      </c>
      <c r="K738" t="s">
        <v>19</v>
      </c>
      <c r="L738" t="s">
        <v>55</v>
      </c>
      <c r="M738">
        <f>orders[[#This Row],[Ship Date]]-orders[[#This Row],[Order Date]]</f>
        <v>0</v>
      </c>
      <c r="N738">
        <f>WEEKNUM(orders[[#This Row],[Order Date]])</f>
        <v>5</v>
      </c>
      <c r="O738" t="str">
        <f>_xlfn.IFS(orders[[#This Row],[Customer Gender]]="M","Male", orders[[#This Row],[Customer Gender]]="F","Female", orders[[#This Row],[Customer Gender]]="O","Other", TRUE,"Unknown")</f>
        <v>Female</v>
      </c>
    </row>
    <row r="739" spans="1:15">
      <c r="A739" t="s">
        <v>832</v>
      </c>
      <c r="B739" t="s">
        <v>44</v>
      </c>
      <c r="C739">
        <v>14</v>
      </c>
      <c r="D739">
        <v>16.2</v>
      </c>
      <c r="E739">
        <v>226.79999999999998</v>
      </c>
      <c r="F739" s="1">
        <v>45689</v>
      </c>
      <c r="G739" s="1">
        <v>45690</v>
      </c>
      <c r="H739" t="s">
        <v>17</v>
      </c>
      <c r="I739" t="s">
        <v>18</v>
      </c>
      <c r="J739">
        <v>3</v>
      </c>
      <c r="K739" t="s">
        <v>19</v>
      </c>
      <c r="L739" t="s">
        <v>62</v>
      </c>
      <c r="M739">
        <f>orders[[#This Row],[Ship Date]]-orders[[#This Row],[Order Date]]</f>
        <v>1</v>
      </c>
      <c r="N739">
        <f>WEEKNUM(orders[[#This Row],[Order Date]])</f>
        <v>5</v>
      </c>
      <c r="O739" t="str">
        <f>_xlfn.IFS(orders[[#This Row],[Customer Gender]]="M","Male", orders[[#This Row],[Customer Gender]]="F","Female", orders[[#This Row],[Customer Gender]]="O","Other", TRUE,"Unknown")</f>
        <v>Unknown</v>
      </c>
    </row>
    <row r="740" spans="1:15">
      <c r="A740" t="s">
        <v>833</v>
      </c>
      <c r="B740" t="s">
        <v>39</v>
      </c>
      <c r="C740">
        <v>47</v>
      </c>
      <c r="D740">
        <v>42.8</v>
      </c>
      <c r="E740">
        <v>2011.6</v>
      </c>
      <c r="F740" s="1">
        <v>45689</v>
      </c>
      <c r="G740" s="1">
        <v>45690</v>
      </c>
      <c r="H740" t="s">
        <v>27</v>
      </c>
      <c r="I740" t="s">
        <v>18</v>
      </c>
      <c r="J740">
        <v>4</v>
      </c>
      <c r="K740" t="s">
        <v>19</v>
      </c>
      <c r="L740" t="s">
        <v>62</v>
      </c>
      <c r="M740">
        <f>orders[[#This Row],[Ship Date]]-orders[[#This Row],[Order Date]]</f>
        <v>1</v>
      </c>
      <c r="N740">
        <f>WEEKNUM(orders[[#This Row],[Order Date]])</f>
        <v>5</v>
      </c>
      <c r="O740" t="str">
        <f>_xlfn.IFS(orders[[#This Row],[Customer Gender]]="M","Male", orders[[#This Row],[Customer Gender]]="F","Female", orders[[#This Row],[Customer Gender]]="O","Other", TRUE,"Unknown")</f>
        <v>Female</v>
      </c>
    </row>
    <row r="741" spans="1:15">
      <c r="A741" t="s">
        <v>834</v>
      </c>
      <c r="B741" t="s">
        <v>39</v>
      </c>
      <c r="C741">
        <v>9</v>
      </c>
      <c r="D741">
        <v>144.4</v>
      </c>
      <c r="E741">
        <v>1299.6000000000001</v>
      </c>
      <c r="F741" s="1">
        <v>45689</v>
      </c>
      <c r="G741" s="1">
        <v>45692</v>
      </c>
      <c r="H741" t="s">
        <v>27</v>
      </c>
      <c r="I741" t="s">
        <v>70</v>
      </c>
      <c r="J741">
        <v>4</v>
      </c>
      <c r="K741" t="s">
        <v>19</v>
      </c>
      <c r="L741" t="s">
        <v>62</v>
      </c>
      <c r="M741">
        <f>orders[[#This Row],[Ship Date]]-orders[[#This Row],[Order Date]]</f>
        <v>3</v>
      </c>
      <c r="N741">
        <f>WEEKNUM(orders[[#This Row],[Order Date]])</f>
        <v>5</v>
      </c>
      <c r="O741" t="str">
        <f>_xlfn.IFS(orders[[#This Row],[Customer Gender]]="M","Male", orders[[#This Row],[Customer Gender]]="F","Female", orders[[#This Row],[Customer Gender]]="O","Other", TRUE,"Unknown")</f>
        <v>Female</v>
      </c>
    </row>
    <row r="742" spans="1:15">
      <c r="A742" t="s">
        <v>711</v>
      </c>
      <c r="B742" t="s">
        <v>42</v>
      </c>
      <c r="C742">
        <v>1</v>
      </c>
      <c r="D742">
        <v>30.2</v>
      </c>
      <c r="E742">
        <v>30.2</v>
      </c>
      <c r="F742" s="1">
        <v>45684</v>
      </c>
      <c r="G742" s="1">
        <v>45685</v>
      </c>
      <c r="H742" t="s">
        <v>27</v>
      </c>
      <c r="I742" t="s">
        <v>40</v>
      </c>
      <c r="J742">
        <v>3</v>
      </c>
      <c r="K742" t="s">
        <v>19</v>
      </c>
      <c r="L742" t="s">
        <v>33</v>
      </c>
      <c r="M742">
        <f>orders[[#This Row],[Ship Date]]-orders[[#This Row],[Order Date]]</f>
        <v>1</v>
      </c>
      <c r="N742">
        <f>WEEKNUM(orders[[#This Row],[Order Date]])</f>
        <v>5</v>
      </c>
      <c r="O742" t="str">
        <f>_xlfn.IFS(orders[[#This Row],[Customer Gender]]="M","Male", orders[[#This Row],[Customer Gender]]="F","Female", orders[[#This Row],[Customer Gender]]="O","Other", TRUE,"Unknown")</f>
        <v>Female</v>
      </c>
    </row>
    <row r="743" spans="1:15">
      <c r="A743" t="s">
        <v>836</v>
      </c>
      <c r="B743" t="s">
        <v>26</v>
      </c>
      <c r="C743">
        <v>2</v>
      </c>
      <c r="D743">
        <v>117.5</v>
      </c>
      <c r="E743">
        <v>235</v>
      </c>
      <c r="F743" s="1">
        <v>45689</v>
      </c>
      <c r="G743" s="1">
        <v>45690</v>
      </c>
      <c r="H743" t="s">
        <v>23</v>
      </c>
      <c r="I743" t="s">
        <v>18</v>
      </c>
      <c r="J743">
        <v>4</v>
      </c>
      <c r="K743" t="s">
        <v>19</v>
      </c>
      <c r="L743" t="s">
        <v>110</v>
      </c>
      <c r="M743">
        <f>orders[[#This Row],[Ship Date]]-orders[[#This Row],[Order Date]]</f>
        <v>1</v>
      </c>
      <c r="N743">
        <f>WEEKNUM(orders[[#This Row],[Order Date]])</f>
        <v>5</v>
      </c>
      <c r="O743" t="str">
        <f>_xlfn.IFS(orders[[#This Row],[Customer Gender]]="M","Male", orders[[#This Row],[Customer Gender]]="F","Female", orders[[#This Row],[Customer Gender]]="O","Other", TRUE,"Unknown")</f>
        <v>Male</v>
      </c>
    </row>
    <row r="744" spans="1:15">
      <c r="A744" t="s">
        <v>772</v>
      </c>
      <c r="B744" t="s">
        <v>16</v>
      </c>
      <c r="C744">
        <v>1</v>
      </c>
      <c r="D744">
        <v>20</v>
      </c>
      <c r="E744">
        <v>20</v>
      </c>
      <c r="F744" s="1">
        <v>45687</v>
      </c>
      <c r="G744" s="1">
        <v>45690</v>
      </c>
      <c r="H744" t="s">
        <v>27</v>
      </c>
      <c r="I744" t="s">
        <v>40</v>
      </c>
      <c r="J744">
        <v>3</v>
      </c>
      <c r="K744" t="s">
        <v>19</v>
      </c>
      <c r="L744" t="s">
        <v>59</v>
      </c>
      <c r="M744">
        <f>orders[[#This Row],[Ship Date]]-orders[[#This Row],[Order Date]]</f>
        <v>3</v>
      </c>
      <c r="N744">
        <f>WEEKNUM(orders[[#This Row],[Order Date]])</f>
        <v>5</v>
      </c>
      <c r="O744" t="str">
        <f>_xlfn.IFS(orders[[#This Row],[Customer Gender]]="M","Male", orders[[#This Row],[Customer Gender]]="F","Female", orders[[#This Row],[Customer Gender]]="O","Other", TRUE,"Unknown")</f>
        <v>Female</v>
      </c>
    </row>
    <row r="745" spans="1:15">
      <c r="A745" t="s">
        <v>838</v>
      </c>
      <c r="B745" t="s">
        <v>30</v>
      </c>
      <c r="C745">
        <v>3</v>
      </c>
      <c r="D745">
        <v>133.69999999999999</v>
      </c>
      <c r="E745">
        <v>401.09999999999997</v>
      </c>
      <c r="F745" s="1">
        <v>45689</v>
      </c>
      <c r="G745" s="1">
        <v>45690</v>
      </c>
      <c r="H745" t="s">
        <v>17</v>
      </c>
      <c r="I745" t="s">
        <v>70</v>
      </c>
      <c r="J745">
        <v>5</v>
      </c>
      <c r="K745" t="s">
        <v>19</v>
      </c>
      <c r="L745" t="s">
        <v>115</v>
      </c>
      <c r="M745">
        <f>orders[[#This Row],[Ship Date]]-orders[[#This Row],[Order Date]]</f>
        <v>1</v>
      </c>
      <c r="N745">
        <f>WEEKNUM(orders[[#This Row],[Order Date]])</f>
        <v>5</v>
      </c>
      <c r="O745" t="str">
        <f>_xlfn.IFS(orders[[#This Row],[Customer Gender]]="M","Male", orders[[#This Row],[Customer Gender]]="F","Female", orders[[#This Row],[Customer Gender]]="O","Other", TRUE,"Unknown")</f>
        <v>Unknown</v>
      </c>
    </row>
    <row r="746" spans="1:15">
      <c r="A746" t="s">
        <v>839</v>
      </c>
      <c r="B746" t="s">
        <v>32</v>
      </c>
      <c r="C746">
        <v>5</v>
      </c>
      <c r="D746">
        <v>46.8</v>
      </c>
      <c r="E746">
        <v>234</v>
      </c>
      <c r="F746" s="1">
        <v>45690</v>
      </c>
      <c r="G746" s="1">
        <v>45698</v>
      </c>
      <c r="H746" t="s">
        <v>27</v>
      </c>
      <c r="I746" t="s">
        <v>18</v>
      </c>
      <c r="J746">
        <v>3</v>
      </c>
      <c r="K746" t="s">
        <v>19</v>
      </c>
      <c r="L746" t="s">
        <v>115</v>
      </c>
      <c r="M746">
        <f>orders[[#This Row],[Ship Date]]-orders[[#This Row],[Order Date]]</f>
        <v>8</v>
      </c>
      <c r="N746">
        <f>WEEKNUM(orders[[#This Row],[Order Date]])</f>
        <v>6</v>
      </c>
      <c r="O746" t="str">
        <f>_xlfn.IFS(orders[[#This Row],[Customer Gender]]="M","Male", orders[[#This Row],[Customer Gender]]="F","Female", orders[[#This Row],[Customer Gender]]="O","Other", TRUE,"Unknown")</f>
        <v>Female</v>
      </c>
    </row>
    <row r="747" spans="1:15">
      <c r="A747" t="s">
        <v>840</v>
      </c>
      <c r="B747" t="s">
        <v>54</v>
      </c>
      <c r="C747">
        <v>3</v>
      </c>
      <c r="D747">
        <v>58.4</v>
      </c>
      <c r="E747">
        <v>175.2</v>
      </c>
      <c r="F747" s="1">
        <v>45690</v>
      </c>
      <c r="G747" s="1">
        <v>45692</v>
      </c>
      <c r="H747" t="s">
        <v>27</v>
      </c>
      <c r="I747" t="s">
        <v>18</v>
      </c>
      <c r="J747">
        <v>4</v>
      </c>
      <c r="K747" t="s">
        <v>19</v>
      </c>
      <c r="L747" t="s">
        <v>24</v>
      </c>
      <c r="M747">
        <f>orders[[#This Row],[Ship Date]]-orders[[#This Row],[Order Date]]</f>
        <v>2</v>
      </c>
      <c r="N747">
        <f>WEEKNUM(orders[[#This Row],[Order Date]])</f>
        <v>6</v>
      </c>
      <c r="O747" t="str">
        <f>_xlfn.IFS(orders[[#This Row],[Customer Gender]]="M","Male", orders[[#This Row],[Customer Gender]]="F","Female", orders[[#This Row],[Customer Gender]]="O","Other", TRUE,"Unknown")</f>
        <v>Female</v>
      </c>
    </row>
    <row r="748" spans="1:15">
      <c r="A748" t="s">
        <v>841</v>
      </c>
      <c r="B748" t="s">
        <v>39</v>
      </c>
      <c r="C748">
        <v>9</v>
      </c>
      <c r="D748">
        <v>65.099999999999994</v>
      </c>
      <c r="E748">
        <v>585.9</v>
      </c>
      <c r="F748" s="1">
        <v>45690</v>
      </c>
      <c r="G748" s="1">
        <v>45694</v>
      </c>
      <c r="H748" t="s">
        <v>23</v>
      </c>
      <c r="I748" t="s">
        <v>35</v>
      </c>
      <c r="J748">
        <v>5</v>
      </c>
      <c r="K748" t="s">
        <v>19</v>
      </c>
      <c r="L748" t="s">
        <v>147</v>
      </c>
      <c r="M748">
        <f>orders[[#This Row],[Ship Date]]-orders[[#This Row],[Order Date]]</f>
        <v>4</v>
      </c>
      <c r="N748">
        <f>WEEKNUM(orders[[#This Row],[Order Date]])</f>
        <v>6</v>
      </c>
      <c r="O748" t="str">
        <f>_xlfn.IFS(orders[[#This Row],[Customer Gender]]="M","Male", orders[[#This Row],[Customer Gender]]="F","Female", orders[[#This Row],[Customer Gender]]="O","Other", TRUE,"Unknown")</f>
        <v>Male</v>
      </c>
    </row>
    <row r="749" spans="1:15">
      <c r="A749" t="s">
        <v>842</v>
      </c>
      <c r="B749" t="s">
        <v>44</v>
      </c>
      <c r="C749">
        <v>1</v>
      </c>
      <c r="D749">
        <v>18.600000000000001</v>
      </c>
      <c r="E749">
        <v>18.600000000000001</v>
      </c>
      <c r="F749" s="1">
        <v>45690</v>
      </c>
      <c r="G749" s="1">
        <v>45693</v>
      </c>
      <c r="H749" t="s">
        <v>27</v>
      </c>
      <c r="I749" t="s">
        <v>18</v>
      </c>
      <c r="J749">
        <v>2</v>
      </c>
      <c r="K749" t="s">
        <v>19</v>
      </c>
      <c r="L749" t="s">
        <v>147</v>
      </c>
      <c r="M749">
        <f>orders[[#This Row],[Ship Date]]-orders[[#This Row],[Order Date]]</f>
        <v>3</v>
      </c>
      <c r="N749">
        <f>WEEKNUM(orders[[#This Row],[Order Date]])</f>
        <v>6</v>
      </c>
      <c r="O749" t="str">
        <f>_xlfn.IFS(orders[[#This Row],[Customer Gender]]="M","Male", orders[[#This Row],[Customer Gender]]="F","Female", orders[[#This Row],[Customer Gender]]="O","Other", TRUE,"Unknown")</f>
        <v>Female</v>
      </c>
    </row>
    <row r="750" spans="1:15">
      <c r="A750" t="s">
        <v>843</v>
      </c>
      <c r="B750" t="s">
        <v>22</v>
      </c>
      <c r="C750">
        <v>11</v>
      </c>
      <c r="D750">
        <v>92.3</v>
      </c>
      <c r="E750">
        <v>1015.3</v>
      </c>
      <c r="F750" s="1">
        <v>45690</v>
      </c>
      <c r="G750" s="1">
        <v>45692</v>
      </c>
      <c r="H750" t="s">
        <v>23</v>
      </c>
      <c r="I750" t="s">
        <v>35</v>
      </c>
      <c r="J750">
        <v>4</v>
      </c>
      <c r="K750" t="s">
        <v>19</v>
      </c>
      <c r="L750" t="s">
        <v>33</v>
      </c>
      <c r="M750">
        <f>orders[[#This Row],[Ship Date]]-orders[[#This Row],[Order Date]]</f>
        <v>2</v>
      </c>
      <c r="N750">
        <f>WEEKNUM(orders[[#This Row],[Order Date]])</f>
        <v>6</v>
      </c>
      <c r="O750" t="str">
        <f>_xlfn.IFS(orders[[#This Row],[Customer Gender]]="M","Male", orders[[#This Row],[Customer Gender]]="F","Female", orders[[#This Row],[Customer Gender]]="O","Other", TRUE,"Unknown")</f>
        <v>Male</v>
      </c>
    </row>
    <row r="751" spans="1:15">
      <c r="A751" t="s">
        <v>844</v>
      </c>
      <c r="B751" t="s">
        <v>39</v>
      </c>
      <c r="C751">
        <v>3</v>
      </c>
      <c r="D751">
        <v>81.7</v>
      </c>
      <c r="E751">
        <v>245.10000000000002</v>
      </c>
      <c r="F751" s="1">
        <v>45690</v>
      </c>
      <c r="G751" s="1">
        <v>45691</v>
      </c>
      <c r="H751" t="s">
        <v>17</v>
      </c>
      <c r="I751" t="s">
        <v>70</v>
      </c>
      <c r="J751">
        <v>2</v>
      </c>
      <c r="K751" t="s">
        <v>19</v>
      </c>
      <c r="L751" t="s">
        <v>33</v>
      </c>
      <c r="M751">
        <f>orders[[#This Row],[Ship Date]]-orders[[#This Row],[Order Date]]</f>
        <v>1</v>
      </c>
      <c r="N751">
        <f>WEEKNUM(orders[[#This Row],[Order Date]])</f>
        <v>6</v>
      </c>
      <c r="O751" t="str">
        <f>_xlfn.IFS(orders[[#This Row],[Customer Gender]]="M","Male", orders[[#This Row],[Customer Gender]]="F","Female", orders[[#This Row],[Customer Gender]]="O","Other", TRUE,"Unknown")</f>
        <v>Unknown</v>
      </c>
    </row>
    <row r="752" spans="1:15">
      <c r="A752" t="s">
        <v>845</v>
      </c>
      <c r="B752" t="s">
        <v>44</v>
      </c>
      <c r="C752">
        <v>2</v>
      </c>
      <c r="D752">
        <v>40.9</v>
      </c>
      <c r="E752">
        <v>81.8</v>
      </c>
      <c r="F752" s="1">
        <v>45690</v>
      </c>
      <c r="G752" s="1">
        <v>45692</v>
      </c>
      <c r="H752" t="s">
        <v>23</v>
      </c>
      <c r="I752" t="s">
        <v>18</v>
      </c>
      <c r="J752">
        <v>3</v>
      </c>
      <c r="K752" t="s">
        <v>19</v>
      </c>
      <c r="L752" t="s">
        <v>33</v>
      </c>
      <c r="M752">
        <f>orders[[#This Row],[Ship Date]]-orders[[#This Row],[Order Date]]</f>
        <v>2</v>
      </c>
      <c r="N752">
        <f>WEEKNUM(orders[[#This Row],[Order Date]])</f>
        <v>6</v>
      </c>
      <c r="O752" t="str">
        <f>_xlfn.IFS(orders[[#This Row],[Customer Gender]]="M","Male", orders[[#This Row],[Customer Gender]]="F","Female", orders[[#This Row],[Customer Gender]]="O","Other", TRUE,"Unknown")</f>
        <v>Male</v>
      </c>
    </row>
    <row r="753" spans="1:15">
      <c r="A753" t="s">
        <v>846</v>
      </c>
      <c r="B753" t="s">
        <v>39</v>
      </c>
      <c r="C753">
        <v>4</v>
      </c>
      <c r="D753">
        <v>43.2</v>
      </c>
      <c r="E753">
        <v>172.8</v>
      </c>
      <c r="F753" s="1">
        <v>45690</v>
      </c>
      <c r="G753" s="1">
        <v>45696</v>
      </c>
      <c r="H753" t="s">
        <v>27</v>
      </c>
      <c r="I753" t="s">
        <v>18</v>
      </c>
      <c r="J753">
        <v>3</v>
      </c>
      <c r="K753" t="s">
        <v>19</v>
      </c>
      <c r="L753" t="s">
        <v>33</v>
      </c>
      <c r="M753">
        <f>orders[[#This Row],[Ship Date]]-orders[[#This Row],[Order Date]]</f>
        <v>6</v>
      </c>
      <c r="N753">
        <f>WEEKNUM(orders[[#This Row],[Order Date]])</f>
        <v>6</v>
      </c>
      <c r="O753" t="str">
        <f>_xlfn.IFS(orders[[#This Row],[Customer Gender]]="M","Male", orders[[#This Row],[Customer Gender]]="F","Female", orders[[#This Row],[Customer Gender]]="O","Other", TRUE,"Unknown")</f>
        <v>Female</v>
      </c>
    </row>
    <row r="754" spans="1:15">
      <c r="A754" t="s">
        <v>847</v>
      </c>
      <c r="B754" t="s">
        <v>44</v>
      </c>
      <c r="C754">
        <v>11</v>
      </c>
      <c r="D754">
        <v>25.8</v>
      </c>
      <c r="E754">
        <v>283.8</v>
      </c>
      <c r="F754" s="1">
        <v>45690</v>
      </c>
      <c r="G754" s="1">
        <v>45693</v>
      </c>
      <c r="H754" t="s">
        <v>23</v>
      </c>
      <c r="I754" t="s">
        <v>40</v>
      </c>
      <c r="J754">
        <v>3</v>
      </c>
      <c r="K754" t="s">
        <v>19</v>
      </c>
      <c r="L754" t="s">
        <v>33</v>
      </c>
      <c r="M754">
        <f>orders[[#This Row],[Ship Date]]-orders[[#This Row],[Order Date]]</f>
        <v>3</v>
      </c>
      <c r="N754">
        <f>WEEKNUM(orders[[#This Row],[Order Date]])</f>
        <v>6</v>
      </c>
      <c r="O754" t="str">
        <f>_xlfn.IFS(orders[[#This Row],[Customer Gender]]="M","Male", orders[[#This Row],[Customer Gender]]="F","Female", orders[[#This Row],[Customer Gender]]="O","Other", TRUE,"Unknown")</f>
        <v>Male</v>
      </c>
    </row>
    <row r="755" spans="1:15">
      <c r="A755" t="s">
        <v>848</v>
      </c>
      <c r="B755" t="s">
        <v>123</v>
      </c>
      <c r="C755">
        <v>4</v>
      </c>
      <c r="D755">
        <v>36.4</v>
      </c>
      <c r="E755">
        <v>145.6</v>
      </c>
      <c r="F755" s="1">
        <v>45690</v>
      </c>
      <c r="G755" s="1">
        <v>45691</v>
      </c>
      <c r="H755" t="s">
        <v>23</v>
      </c>
      <c r="I755" t="s">
        <v>18</v>
      </c>
      <c r="J755">
        <v>4</v>
      </c>
      <c r="K755" t="s">
        <v>19</v>
      </c>
      <c r="L755" t="s">
        <v>33</v>
      </c>
      <c r="M755">
        <f>orders[[#This Row],[Ship Date]]-orders[[#This Row],[Order Date]]</f>
        <v>1</v>
      </c>
      <c r="N755">
        <f>WEEKNUM(orders[[#This Row],[Order Date]])</f>
        <v>6</v>
      </c>
      <c r="O755" t="str">
        <f>_xlfn.IFS(orders[[#This Row],[Customer Gender]]="M","Male", orders[[#This Row],[Customer Gender]]="F","Female", orders[[#This Row],[Customer Gender]]="O","Other", TRUE,"Unknown")</f>
        <v>Male</v>
      </c>
    </row>
    <row r="756" spans="1:15">
      <c r="A756" t="s">
        <v>849</v>
      </c>
      <c r="B756" t="s">
        <v>54</v>
      </c>
      <c r="C756">
        <v>1</v>
      </c>
      <c r="D756">
        <v>59.1</v>
      </c>
      <c r="E756">
        <v>59.1</v>
      </c>
      <c r="F756" s="1">
        <v>45690</v>
      </c>
      <c r="G756" s="1">
        <v>45691</v>
      </c>
      <c r="H756" t="s">
        <v>27</v>
      </c>
      <c r="I756" t="s">
        <v>40</v>
      </c>
      <c r="J756">
        <v>4</v>
      </c>
      <c r="K756" t="s">
        <v>19</v>
      </c>
      <c r="L756" t="s">
        <v>59</v>
      </c>
      <c r="M756">
        <f>orders[[#This Row],[Ship Date]]-orders[[#This Row],[Order Date]]</f>
        <v>1</v>
      </c>
      <c r="N756">
        <f>WEEKNUM(orders[[#This Row],[Order Date]])</f>
        <v>6</v>
      </c>
      <c r="O756" t="str">
        <f>_xlfn.IFS(orders[[#This Row],[Customer Gender]]="M","Male", orders[[#This Row],[Customer Gender]]="F","Female", orders[[#This Row],[Customer Gender]]="O","Other", TRUE,"Unknown")</f>
        <v>Female</v>
      </c>
    </row>
    <row r="757" spans="1:15">
      <c r="A757" t="s">
        <v>850</v>
      </c>
      <c r="B757" t="s">
        <v>26</v>
      </c>
      <c r="C757">
        <v>17</v>
      </c>
      <c r="D757">
        <v>74.5</v>
      </c>
      <c r="E757">
        <v>1266.5</v>
      </c>
      <c r="F757" s="1">
        <v>45690</v>
      </c>
      <c r="G757" s="1">
        <v>45692</v>
      </c>
      <c r="H757" t="s">
        <v>23</v>
      </c>
      <c r="I757" t="s">
        <v>70</v>
      </c>
      <c r="J757">
        <v>4</v>
      </c>
      <c r="K757" t="s">
        <v>19</v>
      </c>
      <c r="L757" t="s">
        <v>108</v>
      </c>
      <c r="M757">
        <f>orders[[#This Row],[Ship Date]]-orders[[#This Row],[Order Date]]</f>
        <v>2</v>
      </c>
      <c r="N757">
        <f>WEEKNUM(orders[[#This Row],[Order Date]])</f>
        <v>6</v>
      </c>
      <c r="O757" t="str">
        <f>_xlfn.IFS(orders[[#This Row],[Customer Gender]]="M","Male", orders[[#This Row],[Customer Gender]]="F","Female", orders[[#This Row],[Customer Gender]]="O","Other", TRUE,"Unknown")</f>
        <v>Male</v>
      </c>
    </row>
    <row r="758" spans="1:15">
      <c r="A758" t="s">
        <v>851</v>
      </c>
      <c r="B758" t="s">
        <v>37</v>
      </c>
      <c r="C758">
        <v>1</v>
      </c>
      <c r="D758">
        <v>72.8</v>
      </c>
      <c r="E758">
        <v>72.8</v>
      </c>
      <c r="F758" s="1">
        <v>45690</v>
      </c>
      <c r="G758" s="1">
        <v>45691</v>
      </c>
      <c r="H758" t="s">
        <v>27</v>
      </c>
      <c r="I758" t="s">
        <v>18</v>
      </c>
      <c r="J758">
        <v>3</v>
      </c>
      <c r="K758" t="s">
        <v>19</v>
      </c>
      <c r="L758" t="s">
        <v>110</v>
      </c>
      <c r="M758">
        <f>orders[[#This Row],[Ship Date]]-orders[[#This Row],[Order Date]]</f>
        <v>1</v>
      </c>
      <c r="N758">
        <f>WEEKNUM(orders[[#This Row],[Order Date]])</f>
        <v>6</v>
      </c>
      <c r="O758" t="str">
        <f>_xlfn.IFS(orders[[#This Row],[Customer Gender]]="M","Male", orders[[#This Row],[Customer Gender]]="F","Female", orders[[#This Row],[Customer Gender]]="O","Other", TRUE,"Unknown")</f>
        <v>Female</v>
      </c>
    </row>
    <row r="759" spans="1:15">
      <c r="A759" t="s">
        <v>852</v>
      </c>
      <c r="B759" t="s">
        <v>39</v>
      </c>
      <c r="C759">
        <v>4</v>
      </c>
      <c r="D759">
        <v>137.30000000000001</v>
      </c>
      <c r="E759">
        <v>549.20000000000005</v>
      </c>
      <c r="F759" s="1">
        <v>45690</v>
      </c>
      <c r="G759" s="1">
        <v>45693</v>
      </c>
      <c r="H759" t="s">
        <v>27</v>
      </c>
      <c r="I759" t="s">
        <v>18</v>
      </c>
      <c r="J759">
        <v>4</v>
      </c>
      <c r="K759" t="s">
        <v>19</v>
      </c>
      <c r="L759" t="s">
        <v>82</v>
      </c>
      <c r="M759">
        <f>orders[[#This Row],[Ship Date]]-orders[[#This Row],[Order Date]]</f>
        <v>3</v>
      </c>
      <c r="N759">
        <f>WEEKNUM(orders[[#This Row],[Order Date]])</f>
        <v>6</v>
      </c>
      <c r="O759" t="str">
        <f>_xlfn.IFS(orders[[#This Row],[Customer Gender]]="M","Male", orders[[#This Row],[Customer Gender]]="F","Female", orders[[#This Row],[Customer Gender]]="O","Other", TRUE,"Unknown")</f>
        <v>Female</v>
      </c>
    </row>
    <row r="760" spans="1:15">
      <c r="A760" t="s">
        <v>853</v>
      </c>
      <c r="B760" t="s">
        <v>22</v>
      </c>
      <c r="C760">
        <v>3</v>
      </c>
      <c r="D760">
        <v>48.7</v>
      </c>
      <c r="E760">
        <v>146.10000000000002</v>
      </c>
      <c r="F760" s="1">
        <v>45690</v>
      </c>
      <c r="G760" s="1">
        <v>45695</v>
      </c>
      <c r="H760" t="s">
        <v>27</v>
      </c>
      <c r="I760" t="s">
        <v>18</v>
      </c>
      <c r="J760">
        <v>3</v>
      </c>
      <c r="K760" t="s">
        <v>19</v>
      </c>
      <c r="L760" t="s">
        <v>115</v>
      </c>
      <c r="M760">
        <f>orders[[#This Row],[Ship Date]]-orders[[#This Row],[Order Date]]</f>
        <v>5</v>
      </c>
      <c r="N760">
        <f>WEEKNUM(orders[[#This Row],[Order Date]])</f>
        <v>6</v>
      </c>
      <c r="O760" t="str">
        <f>_xlfn.IFS(orders[[#This Row],[Customer Gender]]="M","Male", orders[[#This Row],[Customer Gender]]="F","Female", orders[[#This Row],[Customer Gender]]="O","Other", TRUE,"Unknown")</f>
        <v>Female</v>
      </c>
    </row>
    <row r="761" spans="1:15">
      <c r="A761" t="s">
        <v>854</v>
      </c>
      <c r="B761" t="s">
        <v>39</v>
      </c>
      <c r="C761">
        <v>4</v>
      </c>
      <c r="D761">
        <v>53.7</v>
      </c>
      <c r="E761">
        <v>214.8</v>
      </c>
      <c r="F761" s="1">
        <v>45690</v>
      </c>
      <c r="G761" s="1">
        <v>45694</v>
      </c>
      <c r="H761" t="s">
        <v>23</v>
      </c>
      <c r="I761" t="s">
        <v>35</v>
      </c>
      <c r="J761">
        <v>2</v>
      </c>
      <c r="K761" t="s">
        <v>19</v>
      </c>
      <c r="L761" t="s">
        <v>28</v>
      </c>
      <c r="M761">
        <f>orders[[#This Row],[Ship Date]]-orders[[#This Row],[Order Date]]</f>
        <v>4</v>
      </c>
      <c r="N761">
        <f>WEEKNUM(orders[[#This Row],[Order Date]])</f>
        <v>6</v>
      </c>
      <c r="O761" t="str">
        <f>_xlfn.IFS(orders[[#This Row],[Customer Gender]]="M","Male", orders[[#This Row],[Customer Gender]]="F","Female", orders[[#This Row],[Customer Gender]]="O","Other", TRUE,"Unknown")</f>
        <v>Male</v>
      </c>
    </row>
    <row r="762" spans="1:15">
      <c r="A762" t="s">
        <v>855</v>
      </c>
      <c r="B762" t="s">
        <v>26</v>
      </c>
      <c r="C762">
        <v>7</v>
      </c>
      <c r="D762">
        <v>100.9</v>
      </c>
      <c r="E762">
        <v>706.30000000000007</v>
      </c>
      <c r="F762" s="1">
        <v>45690</v>
      </c>
      <c r="G762" s="1">
        <v>45692</v>
      </c>
      <c r="H762" t="s">
        <v>27</v>
      </c>
      <c r="I762" t="s">
        <v>18</v>
      </c>
      <c r="J762">
        <v>3</v>
      </c>
      <c r="K762" t="s">
        <v>19</v>
      </c>
      <c r="L762" t="s">
        <v>28</v>
      </c>
      <c r="M762">
        <f>orders[[#This Row],[Ship Date]]-orders[[#This Row],[Order Date]]</f>
        <v>2</v>
      </c>
      <c r="N762">
        <f>WEEKNUM(orders[[#This Row],[Order Date]])</f>
        <v>6</v>
      </c>
      <c r="O762" t="str">
        <f>_xlfn.IFS(orders[[#This Row],[Customer Gender]]="M","Male", orders[[#This Row],[Customer Gender]]="F","Female", orders[[#This Row],[Customer Gender]]="O","Other", TRUE,"Unknown")</f>
        <v>Female</v>
      </c>
    </row>
    <row r="763" spans="1:15">
      <c r="A763" t="s">
        <v>856</v>
      </c>
      <c r="B763" t="s">
        <v>54</v>
      </c>
      <c r="C763">
        <v>2</v>
      </c>
      <c r="D763">
        <v>41.8</v>
      </c>
      <c r="E763">
        <v>83.6</v>
      </c>
      <c r="F763" s="1">
        <v>45690</v>
      </c>
      <c r="G763" s="1">
        <v>45694</v>
      </c>
      <c r="H763" t="s">
        <v>23</v>
      </c>
      <c r="I763" t="s">
        <v>51</v>
      </c>
      <c r="J763">
        <v>5</v>
      </c>
      <c r="K763" t="s">
        <v>19</v>
      </c>
      <c r="L763" t="s">
        <v>147</v>
      </c>
      <c r="M763">
        <f>orders[[#This Row],[Ship Date]]-orders[[#This Row],[Order Date]]</f>
        <v>4</v>
      </c>
      <c r="N763">
        <f>WEEKNUM(orders[[#This Row],[Order Date]])</f>
        <v>6</v>
      </c>
      <c r="O763" t="str">
        <f>_xlfn.IFS(orders[[#This Row],[Customer Gender]]="M","Male", orders[[#This Row],[Customer Gender]]="F","Female", orders[[#This Row],[Customer Gender]]="O","Other", TRUE,"Unknown")</f>
        <v>Male</v>
      </c>
    </row>
    <row r="764" spans="1:15">
      <c r="A764" t="s">
        <v>857</v>
      </c>
      <c r="B764" t="s">
        <v>32</v>
      </c>
      <c r="C764">
        <v>8</v>
      </c>
      <c r="D764">
        <v>28.5</v>
      </c>
      <c r="E764">
        <v>228</v>
      </c>
      <c r="F764" s="1">
        <v>45690</v>
      </c>
      <c r="G764" s="1">
        <v>45692</v>
      </c>
      <c r="H764" t="s">
        <v>23</v>
      </c>
      <c r="I764" t="s">
        <v>40</v>
      </c>
      <c r="J764">
        <v>3</v>
      </c>
      <c r="K764" t="s">
        <v>19</v>
      </c>
      <c r="L764" t="s">
        <v>33</v>
      </c>
      <c r="M764">
        <f>orders[[#This Row],[Ship Date]]-orders[[#This Row],[Order Date]]</f>
        <v>2</v>
      </c>
      <c r="N764">
        <f>WEEKNUM(orders[[#This Row],[Order Date]])</f>
        <v>6</v>
      </c>
      <c r="O764" t="str">
        <f>_xlfn.IFS(orders[[#This Row],[Customer Gender]]="M","Male", orders[[#This Row],[Customer Gender]]="F","Female", orders[[#This Row],[Customer Gender]]="O","Other", TRUE,"Unknown")</f>
        <v>Male</v>
      </c>
    </row>
    <row r="765" spans="1:15">
      <c r="A765" t="s">
        <v>858</v>
      </c>
      <c r="B765" t="s">
        <v>42</v>
      </c>
      <c r="C765">
        <v>4</v>
      </c>
      <c r="D765">
        <v>88.9</v>
      </c>
      <c r="E765">
        <v>355.6</v>
      </c>
      <c r="F765" s="1">
        <v>45690</v>
      </c>
      <c r="G765" s="1">
        <v>45693</v>
      </c>
      <c r="H765" t="s">
        <v>27</v>
      </c>
      <c r="I765" t="s">
        <v>18</v>
      </c>
      <c r="J765">
        <v>5</v>
      </c>
      <c r="K765" t="s">
        <v>19</v>
      </c>
      <c r="L765" t="s">
        <v>33</v>
      </c>
      <c r="M765">
        <f>orders[[#This Row],[Ship Date]]-orders[[#This Row],[Order Date]]</f>
        <v>3</v>
      </c>
      <c r="N765">
        <f>WEEKNUM(orders[[#This Row],[Order Date]])</f>
        <v>6</v>
      </c>
      <c r="O765" t="str">
        <f>_xlfn.IFS(orders[[#This Row],[Customer Gender]]="M","Male", orders[[#This Row],[Customer Gender]]="F","Female", orders[[#This Row],[Customer Gender]]="O","Other", TRUE,"Unknown")</f>
        <v>Female</v>
      </c>
    </row>
    <row r="766" spans="1:15">
      <c r="A766" t="s">
        <v>859</v>
      </c>
      <c r="B766" t="s">
        <v>39</v>
      </c>
      <c r="C766">
        <v>1</v>
      </c>
      <c r="D766">
        <v>62.5</v>
      </c>
      <c r="E766">
        <v>62.5</v>
      </c>
      <c r="F766" s="1">
        <v>45690</v>
      </c>
      <c r="G766" s="1">
        <v>45699</v>
      </c>
      <c r="H766" t="s">
        <v>27</v>
      </c>
      <c r="I766" t="s">
        <v>18</v>
      </c>
      <c r="J766">
        <v>5</v>
      </c>
      <c r="K766" t="s">
        <v>19</v>
      </c>
      <c r="L766" t="s">
        <v>33</v>
      </c>
      <c r="M766">
        <f>orders[[#This Row],[Ship Date]]-orders[[#This Row],[Order Date]]</f>
        <v>9</v>
      </c>
      <c r="N766">
        <f>WEEKNUM(orders[[#This Row],[Order Date]])</f>
        <v>6</v>
      </c>
      <c r="O766" t="str">
        <f>_xlfn.IFS(orders[[#This Row],[Customer Gender]]="M","Male", orders[[#This Row],[Customer Gender]]="F","Female", orders[[#This Row],[Customer Gender]]="O","Other", TRUE,"Unknown")</f>
        <v>Female</v>
      </c>
    </row>
    <row r="767" spans="1:15">
      <c r="A767" t="s">
        <v>860</v>
      </c>
      <c r="B767" t="s">
        <v>22</v>
      </c>
      <c r="C767">
        <v>3</v>
      </c>
      <c r="D767">
        <v>46.9</v>
      </c>
      <c r="E767">
        <v>140.69999999999999</v>
      </c>
      <c r="F767" s="1">
        <v>45690</v>
      </c>
      <c r="G767" s="1">
        <v>45691</v>
      </c>
      <c r="H767" t="s">
        <v>23</v>
      </c>
      <c r="I767" t="s">
        <v>18</v>
      </c>
      <c r="J767">
        <v>5</v>
      </c>
      <c r="K767" t="s">
        <v>19</v>
      </c>
      <c r="L767" t="s">
        <v>33</v>
      </c>
      <c r="M767">
        <f>orders[[#This Row],[Ship Date]]-orders[[#This Row],[Order Date]]</f>
        <v>1</v>
      </c>
      <c r="N767">
        <f>WEEKNUM(orders[[#This Row],[Order Date]])</f>
        <v>6</v>
      </c>
      <c r="O767" t="str">
        <f>_xlfn.IFS(orders[[#This Row],[Customer Gender]]="M","Male", orders[[#This Row],[Customer Gender]]="F","Female", orders[[#This Row],[Customer Gender]]="O","Other", TRUE,"Unknown")</f>
        <v>Male</v>
      </c>
    </row>
    <row r="768" spans="1:15">
      <c r="A768" t="s">
        <v>861</v>
      </c>
      <c r="B768" t="s">
        <v>44</v>
      </c>
      <c r="C768">
        <v>3</v>
      </c>
      <c r="D768">
        <v>45</v>
      </c>
      <c r="E768">
        <v>135</v>
      </c>
      <c r="F768" s="1">
        <v>45690</v>
      </c>
      <c r="G768" s="1">
        <v>45704</v>
      </c>
      <c r="H768" t="s">
        <v>23</v>
      </c>
      <c r="I768" t="s">
        <v>35</v>
      </c>
      <c r="J768">
        <v>4</v>
      </c>
      <c r="K768" t="s">
        <v>19</v>
      </c>
      <c r="L768" t="s">
        <v>33</v>
      </c>
      <c r="M768">
        <f>orders[[#This Row],[Ship Date]]-orders[[#This Row],[Order Date]]</f>
        <v>14</v>
      </c>
      <c r="N768">
        <f>WEEKNUM(orders[[#This Row],[Order Date]])</f>
        <v>6</v>
      </c>
      <c r="O768" t="str">
        <f>_xlfn.IFS(orders[[#This Row],[Customer Gender]]="M","Male", orders[[#This Row],[Customer Gender]]="F","Female", orders[[#This Row],[Customer Gender]]="O","Other", TRUE,"Unknown")</f>
        <v>Male</v>
      </c>
    </row>
    <row r="769" spans="1:15">
      <c r="A769" t="s">
        <v>862</v>
      </c>
      <c r="B769" t="s">
        <v>39</v>
      </c>
      <c r="C769">
        <v>3</v>
      </c>
      <c r="D769">
        <v>45.2</v>
      </c>
      <c r="E769">
        <v>135.60000000000002</v>
      </c>
      <c r="F769" s="1">
        <v>45690</v>
      </c>
      <c r="G769" s="1">
        <v>45692</v>
      </c>
      <c r="H769" t="s">
        <v>23</v>
      </c>
      <c r="I769" t="s">
        <v>70</v>
      </c>
      <c r="J769">
        <v>5</v>
      </c>
      <c r="K769" t="s">
        <v>19</v>
      </c>
      <c r="L769" t="s">
        <v>33</v>
      </c>
      <c r="M769">
        <f>orders[[#This Row],[Ship Date]]-orders[[#This Row],[Order Date]]</f>
        <v>2</v>
      </c>
      <c r="N769">
        <f>WEEKNUM(orders[[#This Row],[Order Date]])</f>
        <v>6</v>
      </c>
      <c r="O769" t="str">
        <f>_xlfn.IFS(orders[[#This Row],[Customer Gender]]="M","Male", orders[[#This Row],[Customer Gender]]="F","Female", orders[[#This Row],[Customer Gender]]="O","Other", TRUE,"Unknown")</f>
        <v>Male</v>
      </c>
    </row>
    <row r="770" spans="1:15">
      <c r="A770" t="s">
        <v>863</v>
      </c>
      <c r="B770" t="s">
        <v>32</v>
      </c>
      <c r="C770">
        <v>2</v>
      </c>
      <c r="D770">
        <v>60.1</v>
      </c>
      <c r="E770">
        <v>120.2</v>
      </c>
      <c r="F770" s="1">
        <v>45690</v>
      </c>
      <c r="G770" s="1">
        <v>45691</v>
      </c>
      <c r="H770" t="s">
        <v>27</v>
      </c>
      <c r="I770" t="s">
        <v>18</v>
      </c>
      <c r="J770">
        <v>5</v>
      </c>
      <c r="K770" t="s">
        <v>19</v>
      </c>
      <c r="L770" t="s">
        <v>33</v>
      </c>
      <c r="M770">
        <f>orders[[#This Row],[Ship Date]]-orders[[#This Row],[Order Date]]</f>
        <v>1</v>
      </c>
      <c r="N770">
        <f>WEEKNUM(orders[[#This Row],[Order Date]])</f>
        <v>6</v>
      </c>
      <c r="O770" t="str">
        <f>_xlfn.IFS(orders[[#This Row],[Customer Gender]]="M","Male", orders[[#This Row],[Customer Gender]]="F","Female", orders[[#This Row],[Customer Gender]]="O","Other", TRUE,"Unknown")</f>
        <v>Female</v>
      </c>
    </row>
    <row r="771" spans="1:15">
      <c r="A771" t="s">
        <v>864</v>
      </c>
      <c r="B771" t="s">
        <v>69</v>
      </c>
      <c r="C771">
        <v>4</v>
      </c>
      <c r="D771">
        <v>118.7</v>
      </c>
      <c r="E771">
        <v>474.8</v>
      </c>
      <c r="F771" s="1">
        <v>45690</v>
      </c>
      <c r="G771" s="1">
        <v>45692</v>
      </c>
      <c r="H771" t="s">
        <v>27</v>
      </c>
      <c r="I771" t="s">
        <v>18</v>
      </c>
      <c r="J771">
        <v>4</v>
      </c>
      <c r="K771" t="s">
        <v>19</v>
      </c>
      <c r="L771" t="s">
        <v>33</v>
      </c>
      <c r="M771">
        <f>orders[[#This Row],[Ship Date]]-orders[[#This Row],[Order Date]]</f>
        <v>2</v>
      </c>
      <c r="N771">
        <f>WEEKNUM(orders[[#This Row],[Order Date]])</f>
        <v>6</v>
      </c>
      <c r="O771" t="str">
        <f>_xlfn.IFS(orders[[#This Row],[Customer Gender]]="M","Male", orders[[#This Row],[Customer Gender]]="F","Female", orders[[#This Row],[Customer Gender]]="O","Other", TRUE,"Unknown")</f>
        <v>Female</v>
      </c>
    </row>
    <row r="772" spans="1:15">
      <c r="A772" t="s">
        <v>865</v>
      </c>
      <c r="B772" t="s">
        <v>46</v>
      </c>
      <c r="C772">
        <v>1</v>
      </c>
      <c r="D772">
        <v>57.8</v>
      </c>
      <c r="E772">
        <v>57.8</v>
      </c>
      <c r="F772" s="1">
        <v>45690</v>
      </c>
      <c r="G772" s="1">
        <v>45699</v>
      </c>
      <c r="H772" t="s">
        <v>27</v>
      </c>
      <c r="I772" t="s">
        <v>35</v>
      </c>
      <c r="J772">
        <v>4</v>
      </c>
      <c r="K772" t="s">
        <v>19</v>
      </c>
      <c r="L772" t="s">
        <v>33</v>
      </c>
      <c r="M772">
        <f>orders[[#This Row],[Ship Date]]-orders[[#This Row],[Order Date]]</f>
        <v>9</v>
      </c>
      <c r="N772">
        <f>WEEKNUM(orders[[#This Row],[Order Date]])</f>
        <v>6</v>
      </c>
      <c r="O772" t="str">
        <f>_xlfn.IFS(orders[[#This Row],[Customer Gender]]="M","Male", orders[[#This Row],[Customer Gender]]="F","Female", orders[[#This Row],[Customer Gender]]="O","Other", TRUE,"Unknown")</f>
        <v>Female</v>
      </c>
    </row>
    <row r="773" spans="1:15">
      <c r="A773" t="s">
        <v>866</v>
      </c>
      <c r="B773" t="s">
        <v>32</v>
      </c>
      <c r="C773">
        <v>1</v>
      </c>
      <c r="D773">
        <v>19.5</v>
      </c>
      <c r="E773">
        <v>19.5</v>
      </c>
      <c r="F773" s="1">
        <v>45690</v>
      </c>
      <c r="G773" s="1">
        <v>45691</v>
      </c>
      <c r="H773" t="s">
        <v>23</v>
      </c>
      <c r="I773" t="s">
        <v>35</v>
      </c>
      <c r="J773">
        <v>3</v>
      </c>
      <c r="K773" t="s">
        <v>19</v>
      </c>
      <c r="L773" t="s">
        <v>33</v>
      </c>
      <c r="M773">
        <f>orders[[#This Row],[Ship Date]]-orders[[#This Row],[Order Date]]</f>
        <v>1</v>
      </c>
      <c r="N773">
        <f>WEEKNUM(orders[[#This Row],[Order Date]])</f>
        <v>6</v>
      </c>
      <c r="O773" t="str">
        <f>_xlfn.IFS(orders[[#This Row],[Customer Gender]]="M","Male", orders[[#This Row],[Customer Gender]]="F","Female", orders[[#This Row],[Customer Gender]]="O","Other", TRUE,"Unknown")</f>
        <v>Male</v>
      </c>
    </row>
    <row r="774" spans="1:15">
      <c r="A774" t="s">
        <v>867</v>
      </c>
      <c r="B774" t="s">
        <v>69</v>
      </c>
      <c r="C774">
        <v>1</v>
      </c>
      <c r="D774">
        <v>42.6</v>
      </c>
      <c r="E774">
        <v>42.6</v>
      </c>
      <c r="F774" s="1">
        <v>45690</v>
      </c>
      <c r="G774" s="1">
        <v>45691</v>
      </c>
      <c r="H774" t="s">
        <v>23</v>
      </c>
      <c r="I774" t="s">
        <v>18</v>
      </c>
      <c r="J774">
        <v>3</v>
      </c>
      <c r="K774" t="s">
        <v>19</v>
      </c>
      <c r="L774" t="s">
        <v>33</v>
      </c>
      <c r="M774">
        <f>orders[[#This Row],[Ship Date]]-orders[[#This Row],[Order Date]]</f>
        <v>1</v>
      </c>
      <c r="N774">
        <f>WEEKNUM(orders[[#This Row],[Order Date]])</f>
        <v>6</v>
      </c>
      <c r="O774" t="str">
        <f>_xlfn.IFS(orders[[#This Row],[Customer Gender]]="M","Male", orders[[#This Row],[Customer Gender]]="F","Female", orders[[#This Row],[Customer Gender]]="O","Other", TRUE,"Unknown")</f>
        <v>Male</v>
      </c>
    </row>
    <row r="775" spans="1:15">
      <c r="A775" t="s">
        <v>868</v>
      </c>
      <c r="B775" t="s">
        <v>39</v>
      </c>
      <c r="C775">
        <v>2</v>
      </c>
      <c r="D775">
        <v>74.8</v>
      </c>
      <c r="E775">
        <v>149.6</v>
      </c>
      <c r="F775" s="1">
        <v>45690</v>
      </c>
      <c r="G775" s="1">
        <v>45691</v>
      </c>
      <c r="H775" t="s">
        <v>27</v>
      </c>
      <c r="I775" t="s">
        <v>51</v>
      </c>
      <c r="J775">
        <v>5</v>
      </c>
      <c r="K775" t="s">
        <v>19</v>
      </c>
      <c r="L775" t="s">
        <v>364</v>
      </c>
      <c r="M775">
        <f>orders[[#This Row],[Ship Date]]-orders[[#This Row],[Order Date]]</f>
        <v>1</v>
      </c>
      <c r="N775">
        <f>WEEKNUM(orders[[#This Row],[Order Date]])</f>
        <v>6</v>
      </c>
      <c r="O775" t="str">
        <f>_xlfn.IFS(orders[[#This Row],[Customer Gender]]="M","Male", orders[[#This Row],[Customer Gender]]="F","Female", orders[[#This Row],[Customer Gender]]="O","Other", TRUE,"Unknown")</f>
        <v>Female</v>
      </c>
    </row>
    <row r="776" spans="1:15">
      <c r="A776" t="s">
        <v>869</v>
      </c>
      <c r="B776" t="s">
        <v>44</v>
      </c>
      <c r="C776">
        <v>3</v>
      </c>
      <c r="D776">
        <v>32.5</v>
      </c>
      <c r="E776">
        <v>97.5</v>
      </c>
      <c r="F776" s="1">
        <v>45690</v>
      </c>
      <c r="G776" s="1">
        <v>45691</v>
      </c>
      <c r="H776" t="s">
        <v>23</v>
      </c>
      <c r="I776" t="s">
        <v>40</v>
      </c>
      <c r="J776">
        <v>2</v>
      </c>
      <c r="K776" t="s">
        <v>19</v>
      </c>
      <c r="L776" t="s">
        <v>98</v>
      </c>
      <c r="M776">
        <f>orders[[#This Row],[Ship Date]]-orders[[#This Row],[Order Date]]</f>
        <v>1</v>
      </c>
      <c r="N776">
        <f>WEEKNUM(orders[[#This Row],[Order Date]])</f>
        <v>6</v>
      </c>
      <c r="O776" t="str">
        <f>_xlfn.IFS(orders[[#This Row],[Customer Gender]]="M","Male", orders[[#This Row],[Customer Gender]]="F","Female", orders[[#This Row],[Customer Gender]]="O","Other", TRUE,"Unknown")</f>
        <v>Male</v>
      </c>
    </row>
    <row r="777" spans="1:15">
      <c r="A777" t="s">
        <v>870</v>
      </c>
      <c r="B777" t="s">
        <v>26</v>
      </c>
      <c r="C777">
        <v>3</v>
      </c>
      <c r="D777">
        <v>60.5</v>
      </c>
      <c r="E777">
        <v>181.5</v>
      </c>
      <c r="F777" s="1">
        <v>45690</v>
      </c>
      <c r="G777" s="1">
        <v>45690</v>
      </c>
      <c r="H777" t="s">
        <v>27</v>
      </c>
      <c r="I777" t="s">
        <v>35</v>
      </c>
      <c r="J777">
        <v>5</v>
      </c>
      <c r="K777" t="s">
        <v>19</v>
      </c>
      <c r="L777" t="s">
        <v>188</v>
      </c>
      <c r="M777">
        <f>orders[[#This Row],[Ship Date]]-orders[[#This Row],[Order Date]]</f>
        <v>0</v>
      </c>
      <c r="N777">
        <f>WEEKNUM(orders[[#This Row],[Order Date]])</f>
        <v>6</v>
      </c>
      <c r="O777" t="str">
        <f>_xlfn.IFS(orders[[#This Row],[Customer Gender]]="M","Male", orders[[#This Row],[Customer Gender]]="F","Female", orders[[#This Row],[Customer Gender]]="O","Other", TRUE,"Unknown")</f>
        <v>Female</v>
      </c>
    </row>
    <row r="778" spans="1:15">
      <c r="A778" t="s">
        <v>871</v>
      </c>
      <c r="B778" t="s">
        <v>22</v>
      </c>
      <c r="C778">
        <v>7</v>
      </c>
      <c r="D778">
        <v>57.2</v>
      </c>
      <c r="E778">
        <v>400.40000000000003</v>
      </c>
      <c r="F778" s="1">
        <v>45690</v>
      </c>
      <c r="G778" s="1">
        <v>45692</v>
      </c>
      <c r="H778" t="s">
        <v>17</v>
      </c>
      <c r="I778" t="s">
        <v>40</v>
      </c>
      <c r="J778">
        <v>4</v>
      </c>
      <c r="K778" t="s">
        <v>19</v>
      </c>
      <c r="L778" t="s">
        <v>188</v>
      </c>
      <c r="M778">
        <f>orders[[#This Row],[Ship Date]]-orders[[#This Row],[Order Date]]</f>
        <v>2</v>
      </c>
      <c r="N778">
        <f>WEEKNUM(orders[[#This Row],[Order Date]])</f>
        <v>6</v>
      </c>
      <c r="O778" t="str">
        <f>_xlfn.IFS(orders[[#This Row],[Customer Gender]]="M","Male", orders[[#This Row],[Customer Gender]]="F","Female", orders[[#This Row],[Customer Gender]]="O","Other", TRUE,"Unknown")</f>
        <v>Unknown</v>
      </c>
    </row>
    <row r="779" spans="1:15">
      <c r="A779" t="s">
        <v>872</v>
      </c>
      <c r="B779" t="s">
        <v>128</v>
      </c>
      <c r="C779">
        <v>2</v>
      </c>
      <c r="D779">
        <v>112</v>
      </c>
      <c r="E779">
        <v>224</v>
      </c>
      <c r="F779" s="1">
        <v>45690</v>
      </c>
      <c r="G779" s="1">
        <v>45691</v>
      </c>
      <c r="H779" t="s">
        <v>27</v>
      </c>
      <c r="I779" t="s">
        <v>35</v>
      </c>
      <c r="J779">
        <v>3</v>
      </c>
      <c r="K779" t="s">
        <v>19</v>
      </c>
      <c r="L779" t="s">
        <v>52</v>
      </c>
      <c r="M779">
        <f>orders[[#This Row],[Ship Date]]-orders[[#This Row],[Order Date]]</f>
        <v>1</v>
      </c>
      <c r="N779">
        <f>WEEKNUM(orders[[#This Row],[Order Date]])</f>
        <v>6</v>
      </c>
      <c r="O779" t="str">
        <f>_xlfn.IFS(orders[[#This Row],[Customer Gender]]="M","Male", orders[[#This Row],[Customer Gender]]="F","Female", orders[[#This Row],[Customer Gender]]="O","Other", TRUE,"Unknown")</f>
        <v>Female</v>
      </c>
    </row>
    <row r="780" spans="1:15">
      <c r="A780" t="s">
        <v>873</v>
      </c>
      <c r="B780" t="s">
        <v>42</v>
      </c>
      <c r="C780">
        <v>10</v>
      </c>
      <c r="D780">
        <v>49</v>
      </c>
      <c r="E780">
        <v>490</v>
      </c>
      <c r="F780" s="1">
        <v>45690</v>
      </c>
      <c r="G780" s="1">
        <v>45691</v>
      </c>
      <c r="H780" t="s">
        <v>89</v>
      </c>
      <c r="I780" t="s">
        <v>40</v>
      </c>
      <c r="J780">
        <v>3</v>
      </c>
      <c r="K780" t="s">
        <v>19</v>
      </c>
      <c r="L780" t="s">
        <v>55</v>
      </c>
      <c r="M780">
        <f>orders[[#This Row],[Ship Date]]-orders[[#This Row],[Order Date]]</f>
        <v>1</v>
      </c>
      <c r="N780">
        <f>WEEKNUM(orders[[#This Row],[Order Date]])</f>
        <v>6</v>
      </c>
      <c r="O780" t="str">
        <f>_xlfn.IFS(orders[[#This Row],[Customer Gender]]="M","Male", orders[[#This Row],[Customer Gender]]="F","Female", orders[[#This Row],[Customer Gender]]="O","Other", TRUE,"Unknown")</f>
        <v>Other</v>
      </c>
    </row>
    <row r="781" spans="1:15">
      <c r="A781" t="s">
        <v>874</v>
      </c>
      <c r="B781" t="s">
        <v>16</v>
      </c>
      <c r="C781">
        <v>2</v>
      </c>
      <c r="D781">
        <v>33.700000000000003</v>
      </c>
      <c r="E781">
        <v>67.400000000000006</v>
      </c>
      <c r="F781" s="1">
        <v>45690</v>
      </c>
      <c r="G781" s="1">
        <v>45694</v>
      </c>
      <c r="H781" t="s">
        <v>27</v>
      </c>
      <c r="I781" t="s">
        <v>51</v>
      </c>
      <c r="J781">
        <v>4</v>
      </c>
      <c r="K781" t="s">
        <v>19</v>
      </c>
      <c r="L781" t="s">
        <v>55</v>
      </c>
      <c r="M781">
        <f>orders[[#This Row],[Ship Date]]-orders[[#This Row],[Order Date]]</f>
        <v>4</v>
      </c>
      <c r="N781">
        <f>WEEKNUM(orders[[#This Row],[Order Date]])</f>
        <v>6</v>
      </c>
      <c r="O781" t="str">
        <f>_xlfn.IFS(orders[[#This Row],[Customer Gender]]="M","Male", orders[[#This Row],[Customer Gender]]="F","Female", orders[[#This Row],[Customer Gender]]="O","Other", TRUE,"Unknown")</f>
        <v>Female</v>
      </c>
    </row>
    <row r="782" spans="1:15">
      <c r="A782" t="s">
        <v>875</v>
      </c>
      <c r="B782" t="s">
        <v>32</v>
      </c>
      <c r="C782">
        <v>3</v>
      </c>
      <c r="D782">
        <v>35.6</v>
      </c>
      <c r="E782">
        <v>106.80000000000001</v>
      </c>
      <c r="F782" s="1">
        <v>45690</v>
      </c>
      <c r="G782" s="1">
        <v>45693</v>
      </c>
      <c r="H782" t="s">
        <v>27</v>
      </c>
      <c r="I782" t="s">
        <v>18</v>
      </c>
      <c r="J782">
        <v>5</v>
      </c>
      <c r="K782" t="s">
        <v>19</v>
      </c>
      <c r="L782" t="s">
        <v>55</v>
      </c>
      <c r="M782">
        <f>orders[[#This Row],[Ship Date]]-orders[[#This Row],[Order Date]]</f>
        <v>3</v>
      </c>
      <c r="N782">
        <f>WEEKNUM(orders[[#This Row],[Order Date]])</f>
        <v>6</v>
      </c>
      <c r="O782" t="str">
        <f>_xlfn.IFS(orders[[#This Row],[Customer Gender]]="M","Male", orders[[#This Row],[Customer Gender]]="F","Female", orders[[#This Row],[Customer Gender]]="O","Other", TRUE,"Unknown")</f>
        <v>Female</v>
      </c>
    </row>
    <row r="783" spans="1:15">
      <c r="A783" t="s">
        <v>876</v>
      </c>
      <c r="B783" t="s">
        <v>32</v>
      </c>
      <c r="C783">
        <v>35</v>
      </c>
      <c r="D783">
        <v>30.4</v>
      </c>
      <c r="E783">
        <v>1064</v>
      </c>
      <c r="F783" s="1">
        <v>45691</v>
      </c>
      <c r="G783" s="1">
        <v>45691</v>
      </c>
      <c r="H783" t="s">
        <v>27</v>
      </c>
      <c r="I783" t="s">
        <v>18</v>
      </c>
      <c r="J783">
        <v>3</v>
      </c>
      <c r="K783" t="s">
        <v>19</v>
      </c>
      <c r="L783" t="s">
        <v>59</v>
      </c>
      <c r="M783">
        <f>orders[[#This Row],[Ship Date]]-orders[[#This Row],[Order Date]]</f>
        <v>0</v>
      </c>
      <c r="N783">
        <f>WEEKNUM(orders[[#This Row],[Order Date]])</f>
        <v>6</v>
      </c>
      <c r="O783" t="str">
        <f>_xlfn.IFS(orders[[#This Row],[Customer Gender]]="M","Male", orders[[#This Row],[Customer Gender]]="F","Female", orders[[#This Row],[Customer Gender]]="O","Other", TRUE,"Unknown")</f>
        <v>Female</v>
      </c>
    </row>
    <row r="784" spans="1:15">
      <c r="A784" t="s">
        <v>877</v>
      </c>
      <c r="B784" t="s">
        <v>54</v>
      </c>
      <c r="C784">
        <v>12</v>
      </c>
      <c r="D784">
        <v>50.2</v>
      </c>
      <c r="E784">
        <v>602.40000000000009</v>
      </c>
      <c r="F784" s="1">
        <v>45691</v>
      </c>
      <c r="G784" s="1">
        <v>45692</v>
      </c>
      <c r="H784" t="s">
        <v>23</v>
      </c>
      <c r="I784" t="s">
        <v>70</v>
      </c>
      <c r="J784">
        <v>4</v>
      </c>
      <c r="K784" t="s">
        <v>19</v>
      </c>
      <c r="L784" t="s">
        <v>62</v>
      </c>
      <c r="M784">
        <f>orders[[#This Row],[Ship Date]]-orders[[#This Row],[Order Date]]</f>
        <v>1</v>
      </c>
      <c r="N784">
        <f>WEEKNUM(orders[[#This Row],[Order Date]])</f>
        <v>6</v>
      </c>
      <c r="O784" t="str">
        <f>_xlfn.IFS(orders[[#This Row],[Customer Gender]]="M","Male", orders[[#This Row],[Customer Gender]]="F","Female", orders[[#This Row],[Customer Gender]]="O","Other", TRUE,"Unknown")</f>
        <v>Male</v>
      </c>
    </row>
    <row r="785" spans="1:15">
      <c r="A785" t="s">
        <v>878</v>
      </c>
      <c r="B785" t="s">
        <v>22</v>
      </c>
      <c r="C785">
        <v>2</v>
      </c>
      <c r="D785">
        <v>43.7</v>
      </c>
      <c r="E785">
        <v>87.4</v>
      </c>
      <c r="F785" s="1">
        <v>45691</v>
      </c>
      <c r="G785" s="1">
        <v>45693</v>
      </c>
      <c r="H785" t="s">
        <v>27</v>
      </c>
      <c r="I785" t="s">
        <v>18</v>
      </c>
      <c r="J785">
        <v>4</v>
      </c>
      <c r="K785" t="s">
        <v>19</v>
      </c>
      <c r="L785" t="s">
        <v>62</v>
      </c>
      <c r="M785">
        <f>orders[[#This Row],[Ship Date]]-orders[[#This Row],[Order Date]]</f>
        <v>2</v>
      </c>
      <c r="N785">
        <f>WEEKNUM(orders[[#This Row],[Order Date]])</f>
        <v>6</v>
      </c>
      <c r="O785" t="str">
        <f>_xlfn.IFS(orders[[#This Row],[Customer Gender]]="M","Male", orders[[#This Row],[Customer Gender]]="F","Female", orders[[#This Row],[Customer Gender]]="O","Other", TRUE,"Unknown")</f>
        <v>Female</v>
      </c>
    </row>
    <row r="786" spans="1:15">
      <c r="A786" t="s">
        <v>879</v>
      </c>
      <c r="B786" t="s">
        <v>54</v>
      </c>
      <c r="C786">
        <v>1</v>
      </c>
      <c r="D786">
        <v>33.299999999999997</v>
      </c>
      <c r="E786">
        <v>33.299999999999997</v>
      </c>
      <c r="F786" s="1">
        <v>45691</v>
      </c>
      <c r="G786" s="1">
        <v>45692</v>
      </c>
      <c r="H786" t="s">
        <v>27</v>
      </c>
      <c r="I786" t="s">
        <v>40</v>
      </c>
      <c r="J786">
        <v>3</v>
      </c>
      <c r="K786" t="s">
        <v>19</v>
      </c>
      <c r="L786" t="s">
        <v>62</v>
      </c>
      <c r="M786">
        <f>orders[[#This Row],[Ship Date]]-orders[[#This Row],[Order Date]]</f>
        <v>1</v>
      </c>
      <c r="N786">
        <f>WEEKNUM(orders[[#This Row],[Order Date]])</f>
        <v>6</v>
      </c>
      <c r="O786" t="str">
        <f>_xlfn.IFS(orders[[#This Row],[Customer Gender]]="M","Male", orders[[#This Row],[Customer Gender]]="F","Female", orders[[#This Row],[Customer Gender]]="O","Other", TRUE,"Unknown")</f>
        <v>Female</v>
      </c>
    </row>
    <row r="787" spans="1:15">
      <c r="A787" t="s">
        <v>880</v>
      </c>
      <c r="B787" t="s">
        <v>44</v>
      </c>
      <c r="C787">
        <v>4</v>
      </c>
      <c r="D787">
        <v>15.1</v>
      </c>
      <c r="E787">
        <v>60.4</v>
      </c>
      <c r="F787" s="1">
        <v>45691</v>
      </c>
      <c r="G787" s="1">
        <v>45693</v>
      </c>
      <c r="H787" t="s">
        <v>27</v>
      </c>
      <c r="I787" t="s">
        <v>70</v>
      </c>
      <c r="J787">
        <v>5</v>
      </c>
      <c r="K787" t="s">
        <v>19</v>
      </c>
      <c r="L787" t="s">
        <v>62</v>
      </c>
      <c r="M787">
        <f>orders[[#This Row],[Ship Date]]-orders[[#This Row],[Order Date]]</f>
        <v>2</v>
      </c>
      <c r="N787">
        <f>WEEKNUM(orders[[#This Row],[Order Date]])</f>
        <v>6</v>
      </c>
      <c r="O787" t="str">
        <f>_xlfn.IFS(orders[[#This Row],[Customer Gender]]="M","Male", orders[[#This Row],[Customer Gender]]="F","Female", orders[[#This Row],[Customer Gender]]="O","Other", TRUE,"Unknown")</f>
        <v>Female</v>
      </c>
    </row>
    <row r="788" spans="1:15">
      <c r="A788" t="s">
        <v>881</v>
      </c>
      <c r="B788" t="s">
        <v>39</v>
      </c>
      <c r="C788">
        <v>5</v>
      </c>
      <c r="D788">
        <v>118.2</v>
      </c>
      <c r="E788">
        <v>591</v>
      </c>
      <c r="F788" s="1">
        <v>45691</v>
      </c>
      <c r="G788" s="1">
        <v>45692</v>
      </c>
      <c r="H788" t="s">
        <v>27</v>
      </c>
      <c r="I788" t="s">
        <v>51</v>
      </c>
      <c r="J788">
        <v>2</v>
      </c>
      <c r="K788" t="s">
        <v>19</v>
      </c>
      <c r="L788" t="s">
        <v>62</v>
      </c>
      <c r="M788">
        <f>orders[[#This Row],[Ship Date]]-orders[[#This Row],[Order Date]]</f>
        <v>1</v>
      </c>
      <c r="N788">
        <f>WEEKNUM(orders[[#This Row],[Order Date]])</f>
        <v>6</v>
      </c>
      <c r="O788" t="str">
        <f>_xlfn.IFS(orders[[#This Row],[Customer Gender]]="M","Male", orders[[#This Row],[Customer Gender]]="F","Female", orders[[#This Row],[Customer Gender]]="O","Other", TRUE,"Unknown")</f>
        <v>Female</v>
      </c>
    </row>
    <row r="789" spans="1:15">
      <c r="A789" t="s">
        <v>882</v>
      </c>
      <c r="B789" t="s">
        <v>54</v>
      </c>
      <c r="C789">
        <v>3</v>
      </c>
      <c r="D789">
        <v>28.9</v>
      </c>
      <c r="E789">
        <v>86.699999999999989</v>
      </c>
      <c r="F789" s="1">
        <v>45691</v>
      </c>
      <c r="G789" s="1">
        <v>45693</v>
      </c>
      <c r="H789" t="s">
        <v>27</v>
      </c>
      <c r="I789" t="s">
        <v>40</v>
      </c>
      <c r="J789">
        <v>3</v>
      </c>
      <c r="K789" t="s">
        <v>19</v>
      </c>
      <c r="L789" t="s">
        <v>62</v>
      </c>
      <c r="M789">
        <f>orders[[#This Row],[Ship Date]]-orders[[#This Row],[Order Date]]</f>
        <v>2</v>
      </c>
      <c r="N789">
        <f>WEEKNUM(orders[[#This Row],[Order Date]])</f>
        <v>6</v>
      </c>
      <c r="O789" t="str">
        <f>_xlfn.IFS(orders[[#This Row],[Customer Gender]]="M","Male", orders[[#This Row],[Customer Gender]]="F","Female", orders[[#This Row],[Customer Gender]]="O","Other", TRUE,"Unknown")</f>
        <v>Female</v>
      </c>
    </row>
    <row r="790" spans="1:15">
      <c r="A790" t="s">
        <v>883</v>
      </c>
      <c r="B790" t="s">
        <v>32</v>
      </c>
      <c r="C790">
        <v>3</v>
      </c>
      <c r="D790">
        <v>55.6</v>
      </c>
      <c r="E790">
        <v>166.8</v>
      </c>
      <c r="F790" s="1">
        <v>45691</v>
      </c>
      <c r="G790" s="1">
        <v>45692</v>
      </c>
      <c r="H790" t="s">
        <v>23</v>
      </c>
      <c r="I790" t="s">
        <v>18</v>
      </c>
      <c r="J790">
        <v>3</v>
      </c>
      <c r="K790" t="s">
        <v>19</v>
      </c>
      <c r="L790" t="s">
        <v>62</v>
      </c>
      <c r="M790">
        <f>orders[[#This Row],[Ship Date]]-orders[[#This Row],[Order Date]]</f>
        <v>1</v>
      </c>
      <c r="N790">
        <f>WEEKNUM(orders[[#This Row],[Order Date]])</f>
        <v>6</v>
      </c>
      <c r="O790" t="str">
        <f>_xlfn.IFS(orders[[#This Row],[Customer Gender]]="M","Male", orders[[#This Row],[Customer Gender]]="F","Female", orders[[#This Row],[Customer Gender]]="O","Other", TRUE,"Unknown")</f>
        <v>Male</v>
      </c>
    </row>
    <row r="791" spans="1:15">
      <c r="A791" t="s">
        <v>884</v>
      </c>
      <c r="B791" t="s">
        <v>46</v>
      </c>
      <c r="C791">
        <v>4</v>
      </c>
      <c r="D791">
        <v>25.6</v>
      </c>
      <c r="E791">
        <v>102.4</v>
      </c>
      <c r="F791" s="1">
        <v>45691</v>
      </c>
      <c r="G791" s="1">
        <v>45693</v>
      </c>
      <c r="H791" t="s">
        <v>27</v>
      </c>
      <c r="I791" t="s">
        <v>18</v>
      </c>
      <c r="J791">
        <v>3</v>
      </c>
      <c r="K791" t="s">
        <v>19</v>
      </c>
      <c r="L791" t="s">
        <v>62</v>
      </c>
      <c r="M791">
        <f>orders[[#This Row],[Ship Date]]-orders[[#This Row],[Order Date]]</f>
        <v>2</v>
      </c>
      <c r="N791">
        <f>WEEKNUM(orders[[#This Row],[Order Date]])</f>
        <v>6</v>
      </c>
      <c r="O791" t="str">
        <f>_xlfn.IFS(orders[[#This Row],[Customer Gender]]="M","Male", orders[[#This Row],[Customer Gender]]="F","Female", orders[[#This Row],[Customer Gender]]="O","Other", TRUE,"Unknown")</f>
        <v>Female</v>
      </c>
    </row>
    <row r="792" spans="1:15">
      <c r="A792" t="s">
        <v>885</v>
      </c>
      <c r="B792" t="s">
        <v>42</v>
      </c>
      <c r="C792">
        <v>3</v>
      </c>
      <c r="D792">
        <v>31.3</v>
      </c>
      <c r="E792">
        <v>93.9</v>
      </c>
      <c r="F792" s="1">
        <v>45691</v>
      </c>
      <c r="G792" s="1">
        <v>45692</v>
      </c>
      <c r="H792" t="s">
        <v>23</v>
      </c>
      <c r="I792" t="s">
        <v>18</v>
      </c>
      <c r="J792">
        <v>4</v>
      </c>
      <c r="K792" t="s">
        <v>19</v>
      </c>
      <c r="L792" t="s">
        <v>103</v>
      </c>
      <c r="M792">
        <f>orders[[#This Row],[Ship Date]]-orders[[#This Row],[Order Date]]</f>
        <v>1</v>
      </c>
      <c r="N792">
        <f>WEEKNUM(orders[[#This Row],[Order Date]])</f>
        <v>6</v>
      </c>
      <c r="O792" t="str">
        <f>_xlfn.IFS(orders[[#This Row],[Customer Gender]]="M","Male", orders[[#This Row],[Customer Gender]]="F","Female", orders[[#This Row],[Customer Gender]]="O","Other", TRUE,"Unknown")</f>
        <v>Male</v>
      </c>
    </row>
    <row r="793" spans="1:15">
      <c r="A793" t="s">
        <v>886</v>
      </c>
      <c r="B793" t="s">
        <v>16</v>
      </c>
      <c r="C793">
        <v>3</v>
      </c>
      <c r="D793">
        <v>22.1</v>
      </c>
      <c r="E793">
        <v>66.300000000000011</v>
      </c>
      <c r="F793" s="1">
        <v>45691</v>
      </c>
      <c r="G793" s="1">
        <v>45695</v>
      </c>
      <c r="H793" t="s">
        <v>23</v>
      </c>
      <c r="I793" t="s">
        <v>18</v>
      </c>
      <c r="J793">
        <v>4</v>
      </c>
      <c r="K793" t="s">
        <v>19</v>
      </c>
      <c r="L793" t="s">
        <v>103</v>
      </c>
      <c r="M793">
        <f>orders[[#This Row],[Ship Date]]-orders[[#This Row],[Order Date]]</f>
        <v>4</v>
      </c>
      <c r="N793">
        <f>WEEKNUM(orders[[#This Row],[Order Date]])</f>
        <v>6</v>
      </c>
      <c r="O793" t="str">
        <f>_xlfn.IFS(orders[[#This Row],[Customer Gender]]="M","Male", orders[[#This Row],[Customer Gender]]="F","Female", orders[[#This Row],[Customer Gender]]="O","Other", TRUE,"Unknown")</f>
        <v>Male</v>
      </c>
    </row>
    <row r="794" spans="1:15">
      <c r="A794" t="s">
        <v>887</v>
      </c>
      <c r="B794" t="s">
        <v>26</v>
      </c>
      <c r="C794">
        <v>14</v>
      </c>
      <c r="D794">
        <v>99.4</v>
      </c>
      <c r="E794">
        <v>1391.6000000000001</v>
      </c>
      <c r="F794" s="1">
        <v>45691</v>
      </c>
      <c r="G794" s="1">
        <v>45692</v>
      </c>
      <c r="H794" t="s">
        <v>23</v>
      </c>
      <c r="I794" t="s">
        <v>35</v>
      </c>
      <c r="J794">
        <v>4</v>
      </c>
      <c r="K794" t="s">
        <v>19</v>
      </c>
      <c r="L794" t="s">
        <v>77</v>
      </c>
      <c r="M794">
        <f>orders[[#This Row],[Ship Date]]-orders[[#This Row],[Order Date]]</f>
        <v>1</v>
      </c>
      <c r="N794">
        <f>WEEKNUM(orders[[#This Row],[Order Date]])</f>
        <v>6</v>
      </c>
      <c r="O794" t="str">
        <f>_xlfn.IFS(orders[[#This Row],[Customer Gender]]="M","Male", orders[[#This Row],[Customer Gender]]="F","Female", orders[[#This Row],[Customer Gender]]="O","Other", TRUE,"Unknown")</f>
        <v>Male</v>
      </c>
    </row>
    <row r="795" spans="1:15">
      <c r="A795" t="s">
        <v>888</v>
      </c>
      <c r="B795" t="s">
        <v>42</v>
      </c>
      <c r="C795">
        <v>6</v>
      </c>
      <c r="D795">
        <v>66.599999999999994</v>
      </c>
      <c r="E795">
        <v>399.59999999999997</v>
      </c>
      <c r="F795" s="1">
        <v>45691</v>
      </c>
      <c r="G795" s="1">
        <v>45692</v>
      </c>
      <c r="H795" t="s">
        <v>27</v>
      </c>
      <c r="I795" t="s">
        <v>18</v>
      </c>
      <c r="J795">
        <v>4</v>
      </c>
      <c r="K795" t="s">
        <v>19</v>
      </c>
      <c r="L795" t="s">
        <v>77</v>
      </c>
      <c r="M795">
        <f>orders[[#This Row],[Ship Date]]-orders[[#This Row],[Order Date]]</f>
        <v>1</v>
      </c>
      <c r="N795">
        <f>WEEKNUM(orders[[#This Row],[Order Date]])</f>
        <v>6</v>
      </c>
      <c r="O795" t="str">
        <f>_xlfn.IFS(orders[[#This Row],[Customer Gender]]="M","Male", orders[[#This Row],[Customer Gender]]="F","Female", orders[[#This Row],[Customer Gender]]="O","Other", TRUE,"Unknown")</f>
        <v>Female</v>
      </c>
    </row>
    <row r="796" spans="1:15">
      <c r="A796" t="s">
        <v>889</v>
      </c>
      <c r="B796" t="s">
        <v>44</v>
      </c>
      <c r="C796">
        <v>2</v>
      </c>
      <c r="D796">
        <v>22.6</v>
      </c>
      <c r="E796">
        <v>45.2</v>
      </c>
      <c r="F796" s="1">
        <v>45691</v>
      </c>
      <c r="G796" s="1">
        <v>45694</v>
      </c>
      <c r="H796" t="s">
        <v>23</v>
      </c>
      <c r="I796" t="s">
        <v>18</v>
      </c>
      <c r="J796">
        <v>4</v>
      </c>
      <c r="K796" t="s">
        <v>19</v>
      </c>
      <c r="L796" t="s">
        <v>77</v>
      </c>
      <c r="M796">
        <f>orders[[#This Row],[Ship Date]]-orders[[#This Row],[Order Date]]</f>
        <v>3</v>
      </c>
      <c r="N796">
        <f>WEEKNUM(orders[[#This Row],[Order Date]])</f>
        <v>6</v>
      </c>
      <c r="O796" t="str">
        <f>_xlfn.IFS(orders[[#This Row],[Customer Gender]]="M","Male", orders[[#This Row],[Customer Gender]]="F","Female", orders[[#This Row],[Customer Gender]]="O","Other", TRUE,"Unknown")</f>
        <v>Male</v>
      </c>
    </row>
    <row r="797" spans="1:15">
      <c r="A797" t="s">
        <v>890</v>
      </c>
      <c r="B797" t="s">
        <v>26</v>
      </c>
      <c r="C797">
        <v>18</v>
      </c>
      <c r="D797">
        <v>66.8</v>
      </c>
      <c r="E797">
        <v>1202.3999999999999</v>
      </c>
      <c r="F797" s="1">
        <v>45691</v>
      </c>
      <c r="G797" s="1">
        <v>45692</v>
      </c>
      <c r="H797" t="s">
        <v>27</v>
      </c>
      <c r="I797" t="s">
        <v>18</v>
      </c>
      <c r="J797">
        <v>2</v>
      </c>
      <c r="K797" t="s">
        <v>19</v>
      </c>
      <c r="L797" t="s">
        <v>82</v>
      </c>
      <c r="M797">
        <f>orders[[#This Row],[Ship Date]]-orders[[#This Row],[Order Date]]</f>
        <v>1</v>
      </c>
      <c r="N797">
        <f>WEEKNUM(orders[[#This Row],[Order Date]])</f>
        <v>6</v>
      </c>
      <c r="O797" t="str">
        <f>_xlfn.IFS(orders[[#This Row],[Customer Gender]]="M","Male", orders[[#This Row],[Customer Gender]]="F","Female", orders[[#This Row],[Customer Gender]]="O","Other", TRUE,"Unknown")</f>
        <v>Female</v>
      </c>
    </row>
    <row r="798" spans="1:15">
      <c r="A798" t="s">
        <v>891</v>
      </c>
      <c r="B798" t="s">
        <v>16</v>
      </c>
      <c r="C798">
        <v>4</v>
      </c>
      <c r="D798">
        <v>20.8</v>
      </c>
      <c r="E798">
        <v>83.2</v>
      </c>
      <c r="F798" s="1">
        <v>45691</v>
      </c>
      <c r="G798" s="1">
        <v>45698</v>
      </c>
      <c r="H798" t="s">
        <v>23</v>
      </c>
      <c r="I798" t="s">
        <v>35</v>
      </c>
      <c r="J798">
        <v>2</v>
      </c>
      <c r="K798" t="s">
        <v>19</v>
      </c>
      <c r="L798" t="s">
        <v>24</v>
      </c>
      <c r="M798">
        <f>orders[[#This Row],[Ship Date]]-orders[[#This Row],[Order Date]]</f>
        <v>7</v>
      </c>
      <c r="N798">
        <f>WEEKNUM(orders[[#This Row],[Order Date]])</f>
        <v>6</v>
      </c>
      <c r="O798" t="str">
        <f>_xlfn.IFS(orders[[#This Row],[Customer Gender]]="M","Male", orders[[#This Row],[Customer Gender]]="F","Female", orders[[#This Row],[Customer Gender]]="O","Other", TRUE,"Unknown")</f>
        <v>Male</v>
      </c>
    </row>
    <row r="799" spans="1:15">
      <c r="A799" t="s">
        <v>892</v>
      </c>
      <c r="B799" t="s">
        <v>26</v>
      </c>
      <c r="C799">
        <v>7</v>
      </c>
      <c r="D799">
        <v>102.5</v>
      </c>
      <c r="E799">
        <v>717.5</v>
      </c>
      <c r="F799" s="1">
        <v>45691</v>
      </c>
      <c r="G799" s="1">
        <v>45692</v>
      </c>
      <c r="H799" t="s">
        <v>27</v>
      </c>
      <c r="I799" t="s">
        <v>70</v>
      </c>
      <c r="J799">
        <v>5</v>
      </c>
      <c r="K799" t="s">
        <v>19</v>
      </c>
      <c r="L799" t="s">
        <v>33</v>
      </c>
      <c r="M799">
        <f>orders[[#This Row],[Ship Date]]-orders[[#This Row],[Order Date]]</f>
        <v>1</v>
      </c>
      <c r="N799">
        <f>WEEKNUM(orders[[#This Row],[Order Date]])</f>
        <v>6</v>
      </c>
      <c r="O799" t="str">
        <f>_xlfn.IFS(orders[[#This Row],[Customer Gender]]="M","Male", orders[[#This Row],[Customer Gender]]="F","Female", orders[[#This Row],[Customer Gender]]="O","Other", TRUE,"Unknown")</f>
        <v>Female</v>
      </c>
    </row>
    <row r="800" spans="1:15">
      <c r="A800" t="s">
        <v>893</v>
      </c>
      <c r="B800" t="s">
        <v>16</v>
      </c>
      <c r="C800">
        <v>18</v>
      </c>
      <c r="D800">
        <v>24.8</v>
      </c>
      <c r="E800">
        <v>446.40000000000003</v>
      </c>
      <c r="F800" s="1">
        <v>45691</v>
      </c>
      <c r="G800" s="1">
        <v>45695</v>
      </c>
      <c r="H800" t="s">
        <v>27</v>
      </c>
      <c r="I800" t="s">
        <v>18</v>
      </c>
      <c r="J800">
        <v>4</v>
      </c>
      <c r="K800" t="s">
        <v>19</v>
      </c>
      <c r="L800" t="s">
        <v>33</v>
      </c>
      <c r="M800">
        <f>orders[[#This Row],[Ship Date]]-orders[[#This Row],[Order Date]]</f>
        <v>4</v>
      </c>
      <c r="N800">
        <f>WEEKNUM(orders[[#This Row],[Order Date]])</f>
        <v>6</v>
      </c>
      <c r="O800" t="str">
        <f>_xlfn.IFS(orders[[#This Row],[Customer Gender]]="M","Male", orders[[#This Row],[Customer Gender]]="F","Female", orders[[#This Row],[Customer Gender]]="O","Other", TRUE,"Unknown")</f>
        <v>Female</v>
      </c>
    </row>
    <row r="801" spans="1:15">
      <c r="A801" t="s">
        <v>894</v>
      </c>
      <c r="B801" t="s">
        <v>32</v>
      </c>
      <c r="C801">
        <v>31</v>
      </c>
      <c r="D801">
        <v>31.4</v>
      </c>
      <c r="E801">
        <v>973.4</v>
      </c>
      <c r="F801" s="1">
        <v>45691</v>
      </c>
      <c r="G801" s="1">
        <v>45692</v>
      </c>
      <c r="H801" t="s">
        <v>27</v>
      </c>
      <c r="I801" t="s">
        <v>51</v>
      </c>
      <c r="J801">
        <v>4</v>
      </c>
      <c r="K801" t="s">
        <v>19</v>
      </c>
      <c r="L801" t="s">
        <v>33</v>
      </c>
      <c r="M801">
        <f>orders[[#This Row],[Ship Date]]-orders[[#This Row],[Order Date]]</f>
        <v>1</v>
      </c>
      <c r="N801">
        <f>WEEKNUM(orders[[#This Row],[Order Date]])</f>
        <v>6</v>
      </c>
      <c r="O801" t="str">
        <f>_xlfn.IFS(orders[[#This Row],[Customer Gender]]="M","Male", orders[[#This Row],[Customer Gender]]="F","Female", orders[[#This Row],[Customer Gender]]="O","Other", TRUE,"Unknown")</f>
        <v>Female</v>
      </c>
    </row>
    <row r="802" spans="1:15">
      <c r="A802" t="s">
        <v>895</v>
      </c>
      <c r="B802" t="s">
        <v>46</v>
      </c>
      <c r="C802">
        <v>5</v>
      </c>
      <c r="D802">
        <v>59.3</v>
      </c>
      <c r="E802">
        <v>296.5</v>
      </c>
      <c r="F802" s="1">
        <v>45691</v>
      </c>
      <c r="G802" s="1">
        <v>45694</v>
      </c>
      <c r="H802" t="s">
        <v>23</v>
      </c>
      <c r="I802" t="s">
        <v>35</v>
      </c>
      <c r="J802">
        <v>5</v>
      </c>
      <c r="K802" t="s">
        <v>19</v>
      </c>
      <c r="L802" t="s">
        <v>545</v>
      </c>
      <c r="M802">
        <f>orders[[#This Row],[Ship Date]]-orders[[#This Row],[Order Date]]</f>
        <v>3</v>
      </c>
      <c r="N802">
        <f>WEEKNUM(orders[[#This Row],[Order Date]])</f>
        <v>6</v>
      </c>
      <c r="O802" t="str">
        <f>_xlfn.IFS(orders[[#This Row],[Customer Gender]]="M","Male", orders[[#This Row],[Customer Gender]]="F","Female", orders[[#This Row],[Customer Gender]]="O","Other", TRUE,"Unknown")</f>
        <v>Male</v>
      </c>
    </row>
    <row r="803" spans="1:15">
      <c r="A803" t="s">
        <v>896</v>
      </c>
      <c r="B803" t="s">
        <v>67</v>
      </c>
      <c r="C803">
        <v>6</v>
      </c>
      <c r="D803">
        <v>39</v>
      </c>
      <c r="E803">
        <v>234</v>
      </c>
      <c r="F803" s="1">
        <v>45691</v>
      </c>
      <c r="G803" s="1">
        <v>45694</v>
      </c>
      <c r="H803" t="s">
        <v>23</v>
      </c>
      <c r="I803" t="s">
        <v>35</v>
      </c>
      <c r="J803">
        <v>4</v>
      </c>
      <c r="K803" t="s">
        <v>19</v>
      </c>
      <c r="L803" t="s">
        <v>55</v>
      </c>
      <c r="M803">
        <f>orders[[#This Row],[Ship Date]]-orders[[#This Row],[Order Date]]</f>
        <v>3</v>
      </c>
      <c r="N803">
        <f>WEEKNUM(orders[[#This Row],[Order Date]])</f>
        <v>6</v>
      </c>
      <c r="O803" t="str">
        <f>_xlfn.IFS(orders[[#This Row],[Customer Gender]]="M","Male", orders[[#This Row],[Customer Gender]]="F","Female", orders[[#This Row],[Customer Gender]]="O","Other", TRUE,"Unknown")</f>
        <v>Male</v>
      </c>
    </row>
    <row r="804" spans="1:15">
      <c r="A804" t="s">
        <v>897</v>
      </c>
      <c r="B804" t="s">
        <v>37</v>
      </c>
      <c r="C804">
        <v>6</v>
      </c>
      <c r="D804">
        <v>98.6</v>
      </c>
      <c r="E804">
        <v>591.59999999999991</v>
      </c>
      <c r="F804" s="1">
        <v>45691</v>
      </c>
      <c r="G804" s="1">
        <v>45693</v>
      </c>
      <c r="H804" t="s">
        <v>27</v>
      </c>
      <c r="I804" t="s">
        <v>35</v>
      </c>
      <c r="J804">
        <v>4</v>
      </c>
      <c r="K804" t="s">
        <v>19</v>
      </c>
      <c r="L804" t="s">
        <v>55</v>
      </c>
      <c r="M804">
        <f>orders[[#This Row],[Ship Date]]-orders[[#This Row],[Order Date]]</f>
        <v>2</v>
      </c>
      <c r="N804">
        <f>WEEKNUM(orders[[#This Row],[Order Date]])</f>
        <v>6</v>
      </c>
      <c r="O804" t="str">
        <f>_xlfn.IFS(orders[[#This Row],[Customer Gender]]="M","Male", orders[[#This Row],[Customer Gender]]="F","Female", orders[[#This Row],[Customer Gender]]="O","Other", TRUE,"Unknown")</f>
        <v>Female</v>
      </c>
    </row>
    <row r="805" spans="1:15">
      <c r="A805" t="s">
        <v>898</v>
      </c>
      <c r="B805" t="s">
        <v>44</v>
      </c>
      <c r="C805">
        <v>1</v>
      </c>
      <c r="D805">
        <v>20</v>
      </c>
      <c r="E805">
        <v>20</v>
      </c>
      <c r="F805" s="1">
        <v>45692</v>
      </c>
      <c r="G805" s="1">
        <v>45693</v>
      </c>
      <c r="H805" t="s">
        <v>23</v>
      </c>
      <c r="I805" t="s">
        <v>51</v>
      </c>
      <c r="J805">
        <v>5</v>
      </c>
      <c r="K805" t="s">
        <v>19</v>
      </c>
      <c r="L805" t="s">
        <v>62</v>
      </c>
      <c r="M805">
        <f>orders[[#This Row],[Ship Date]]-orders[[#This Row],[Order Date]]</f>
        <v>1</v>
      </c>
      <c r="N805">
        <f>WEEKNUM(orders[[#This Row],[Order Date]])</f>
        <v>6</v>
      </c>
      <c r="O805" t="str">
        <f>_xlfn.IFS(orders[[#This Row],[Customer Gender]]="M","Male", orders[[#This Row],[Customer Gender]]="F","Female", orders[[#This Row],[Customer Gender]]="O","Other", TRUE,"Unknown")</f>
        <v>Male</v>
      </c>
    </row>
    <row r="806" spans="1:15">
      <c r="A806" t="s">
        <v>899</v>
      </c>
      <c r="B806" t="s">
        <v>22</v>
      </c>
      <c r="C806">
        <v>2</v>
      </c>
      <c r="D806">
        <v>42.9</v>
      </c>
      <c r="E806">
        <v>85.8</v>
      </c>
      <c r="F806" s="1">
        <v>45692</v>
      </c>
      <c r="G806" s="1">
        <v>45694</v>
      </c>
      <c r="H806" t="s">
        <v>27</v>
      </c>
      <c r="I806" t="s">
        <v>18</v>
      </c>
      <c r="J806">
        <v>5</v>
      </c>
      <c r="K806" t="s">
        <v>19</v>
      </c>
      <c r="L806" t="s">
        <v>62</v>
      </c>
      <c r="M806">
        <f>orders[[#This Row],[Ship Date]]-orders[[#This Row],[Order Date]]</f>
        <v>2</v>
      </c>
      <c r="N806">
        <f>WEEKNUM(orders[[#This Row],[Order Date]])</f>
        <v>6</v>
      </c>
      <c r="O806" t="str">
        <f>_xlfn.IFS(orders[[#This Row],[Customer Gender]]="M","Male", orders[[#This Row],[Customer Gender]]="F","Female", orders[[#This Row],[Customer Gender]]="O","Other", TRUE,"Unknown")</f>
        <v>Female</v>
      </c>
    </row>
    <row r="807" spans="1:15">
      <c r="A807" t="s">
        <v>900</v>
      </c>
      <c r="B807" t="s">
        <v>42</v>
      </c>
      <c r="C807">
        <v>7</v>
      </c>
      <c r="D807">
        <v>55.6</v>
      </c>
      <c r="E807">
        <v>389.2</v>
      </c>
      <c r="F807" s="1">
        <v>45692</v>
      </c>
      <c r="G807" s="1">
        <v>45694</v>
      </c>
      <c r="H807" t="s">
        <v>27</v>
      </c>
      <c r="I807" t="s">
        <v>40</v>
      </c>
      <c r="J807">
        <v>3</v>
      </c>
      <c r="K807" t="s">
        <v>19</v>
      </c>
      <c r="L807" t="s">
        <v>62</v>
      </c>
      <c r="M807">
        <f>orders[[#This Row],[Ship Date]]-orders[[#This Row],[Order Date]]</f>
        <v>2</v>
      </c>
      <c r="N807">
        <f>WEEKNUM(orders[[#This Row],[Order Date]])</f>
        <v>6</v>
      </c>
      <c r="O807" t="str">
        <f>_xlfn.IFS(orders[[#This Row],[Customer Gender]]="M","Male", orders[[#This Row],[Customer Gender]]="F","Female", orders[[#This Row],[Customer Gender]]="O","Other", TRUE,"Unknown")</f>
        <v>Female</v>
      </c>
    </row>
    <row r="808" spans="1:15">
      <c r="A808" t="s">
        <v>901</v>
      </c>
      <c r="B808" t="s">
        <v>44</v>
      </c>
      <c r="C808">
        <v>4</v>
      </c>
      <c r="D808">
        <v>19.2</v>
      </c>
      <c r="E808">
        <v>76.8</v>
      </c>
      <c r="F808" s="1">
        <v>45692</v>
      </c>
      <c r="G808" s="1">
        <v>45697</v>
      </c>
      <c r="H808" t="s">
        <v>27</v>
      </c>
      <c r="I808" t="s">
        <v>18</v>
      </c>
      <c r="J808">
        <v>4</v>
      </c>
      <c r="K808" t="s">
        <v>19</v>
      </c>
      <c r="L808" t="s">
        <v>429</v>
      </c>
      <c r="M808">
        <f>orders[[#This Row],[Ship Date]]-orders[[#This Row],[Order Date]]</f>
        <v>5</v>
      </c>
      <c r="N808">
        <f>WEEKNUM(orders[[#This Row],[Order Date]])</f>
        <v>6</v>
      </c>
      <c r="O808" t="str">
        <f>_xlfn.IFS(orders[[#This Row],[Customer Gender]]="M","Male", orders[[#This Row],[Customer Gender]]="F","Female", orders[[#This Row],[Customer Gender]]="O","Other", TRUE,"Unknown")</f>
        <v>Female</v>
      </c>
    </row>
    <row r="809" spans="1:15">
      <c r="A809" t="s">
        <v>902</v>
      </c>
      <c r="B809" t="s">
        <v>37</v>
      </c>
      <c r="C809">
        <v>2</v>
      </c>
      <c r="D809">
        <v>28.8</v>
      </c>
      <c r="E809">
        <v>57.6</v>
      </c>
      <c r="F809" s="1">
        <v>45692</v>
      </c>
      <c r="G809" s="1">
        <v>45694</v>
      </c>
      <c r="H809" t="s">
        <v>23</v>
      </c>
      <c r="I809" t="s">
        <v>35</v>
      </c>
      <c r="J809">
        <v>4</v>
      </c>
      <c r="K809" t="s">
        <v>19</v>
      </c>
      <c r="L809" t="s">
        <v>108</v>
      </c>
      <c r="M809">
        <f>orders[[#This Row],[Ship Date]]-orders[[#This Row],[Order Date]]</f>
        <v>2</v>
      </c>
      <c r="N809">
        <f>WEEKNUM(orders[[#This Row],[Order Date]])</f>
        <v>6</v>
      </c>
      <c r="O809" t="str">
        <f>_xlfn.IFS(orders[[#This Row],[Customer Gender]]="M","Male", orders[[#This Row],[Customer Gender]]="F","Female", orders[[#This Row],[Customer Gender]]="O","Other", TRUE,"Unknown")</f>
        <v>Male</v>
      </c>
    </row>
    <row r="810" spans="1:15">
      <c r="A810" t="s">
        <v>903</v>
      </c>
      <c r="B810" t="s">
        <v>32</v>
      </c>
      <c r="C810">
        <v>1</v>
      </c>
      <c r="D810">
        <v>29.7</v>
      </c>
      <c r="E810">
        <v>29.7</v>
      </c>
      <c r="F810" s="1">
        <v>45692</v>
      </c>
      <c r="G810" s="1">
        <v>45694</v>
      </c>
      <c r="H810" t="s">
        <v>27</v>
      </c>
      <c r="I810" t="s">
        <v>40</v>
      </c>
      <c r="J810">
        <v>2</v>
      </c>
      <c r="K810" t="s">
        <v>19</v>
      </c>
      <c r="L810" t="s">
        <v>113</v>
      </c>
      <c r="M810">
        <f>orders[[#This Row],[Ship Date]]-orders[[#This Row],[Order Date]]</f>
        <v>2</v>
      </c>
      <c r="N810">
        <f>WEEKNUM(orders[[#This Row],[Order Date]])</f>
        <v>6</v>
      </c>
      <c r="O810" t="str">
        <f>_xlfn.IFS(orders[[#This Row],[Customer Gender]]="M","Male", orders[[#This Row],[Customer Gender]]="F","Female", orders[[#This Row],[Customer Gender]]="O","Other", TRUE,"Unknown")</f>
        <v>Female</v>
      </c>
    </row>
    <row r="811" spans="1:15">
      <c r="A811" t="s">
        <v>904</v>
      </c>
      <c r="B811" t="s">
        <v>39</v>
      </c>
      <c r="C811">
        <v>6</v>
      </c>
      <c r="D811">
        <v>63.3</v>
      </c>
      <c r="E811">
        <v>379.79999999999995</v>
      </c>
      <c r="F811" s="1">
        <v>45692</v>
      </c>
      <c r="G811" s="1">
        <v>45693</v>
      </c>
      <c r="H811" t="s">
        <v>17</v>
      </c>
      <c r="I811" t="s">
        <v>18</v>
      </c>
      <c r="J811">
        <v>5</v>
      </c>
      <c r="K811" t="s">
        <v>19</v>
      </c>
      <c r="L811" t="s">
        <v>115</v>
      </c>
      <c r="M811">
        <f>orders[[#This Row],[Ship Date]]-orders[[#This Row],[Order Date]]</f>
        <v>1</v>
      </c>
      <c r="N811">
        <f>WEEKNUM(orders[[#This Row],[Order Date]])</f>
        <v>6</v>
      </c>
      <c r="O811" t="str">
        <f>_xlfn.IFS(orders[[#This Row],[Customer Gender]]="M","Male", orders[[#This Row],[Customer Gender]]="F","Female", orders[[#This Row],[Customer Gender]]="O","Other", TRUE,"Unknown")</f>
        <v>Unknown</v>
      </c>
    </row>
    <row r="812" spans="1:15">
      <c r="A812" t="s">
        <v>905</v>
      </c>
      <c r="B812" t="s">
        <v>32</v>
      </c>
      <c r="C812">
        <v>1</v>
      </c>
      <c r="D812">
        <v>46</v>
      </c>
      <c r="E812">
        <v>46</v>
      </c>
      <c r="F812" s="1">
        <v>45692</v>
      </c>
      <c r="G812" s="1">
        <v>45693</v>
      </c>
      <c r="H812" t="s">
        <v>27</v>
      </c>
      <c r="I812" t="s">
        <v>18</v>
      </c>
      <c r="J812">
        <v>5</v>
      </c>
      <c r="K812" t="s">
        <v>19</v>
      </c>
      <c r="L812" t="s">
        <v>115</v>
      </c>
      <c r="M812">
        <f>orders[[#This Row],[Ship Date]]-orders[[#This Row],[Order Date]]</f>
        <v>1</v>
      </c>
      <c r="N812">
        <f>WEEKNUM(orders[[#This Row],[Order Date]])</f>
        <v>6</v>
      </c>
      <c r="O812" t="str">
        <f>_xlfn.IFS(orders[[#This Row],[Customer Gender]]="M","Male", orders[[#This Row],[Customer Gender]]="F","Female", orders[[#This Row],[Customer Gender]]="O","Other", TRUE,"Unknown")</f>
        <v>Female</v>
      </c>
    </row>
    <row r="813" spans="1:15">
      <c r="A813" t="s">
        <v>906</v>
      </c>
      <c r="B813" t="s">
        <v>67</v>
      </c>
      <c r="C813">
        <v>3</v>
      </c>
      <c r="D813">
        <v>38</v>
      </c>
      <c r="E813">
        <v>114</v>
      </c>
      <c r="F813" s="1">
        <v>45692</v>
      </c>
      <c r="G813" s="1">
        <v>45694</v>
      </c>
      <c r="H813" t="s">
        <v>27</v>
      </c>
      <c r="I813" t="s">
        <v>35</v>
      </c>
      <c r="J813">
        <v>5</v>
      </c>
      <c r="K813" t="s">
        <v>19</v>
      </c>
      <c r="L813" t="s">
        <v>115</v>
      </c>
      <c r="M813">
        <f>orders[[#This Row],[Ship Date]]-orders[[#This Row],[Order Date]]</f>
        <v>2</v>
      </c>
      <c r="N813">
        <f>WEEKNUM(orders[[#This Row],[Order Date]])</f>
        <v>6</v>
      </c>
      <c r="O813" t="str">
        <f>_xlfn.IFS(orders[[#This Row],[Customer Gender]]="M","Male", orders[[#This Row],[Customer Gender]]="F","Female", orders[[#This Row],[Customer Gender]]="O","Other", TRUE,"Unknown")</f>
        <v>Female</v>
      </c>
    </row>
    <row r="814" spans="1:15">
      <c r="A814" t="s">
        <v>907</v>
      </c>
      <c r="B814" t="s">
        <v>54</v>
      </c>
      <c r="C814">
        <v>13</v>
      </c>
      <c r="D814">
        <v>34.6</v>
      </c>
      <c r="E814">
        <v>449.8</v>
      </c>
      <c r="F814" s="1">
        <v>45692</v>
      </c>
      <c r="G814" s="1">
        <v>45694</v>
      </c>
      <c r="H814" t="s">
        <v>27</v>
      </c>
      <c r="I814" t="s">
        <v>18</v>
      </c>
      <c r="J814">
        <v>3</v>
      </c>
      <c r="K814" t="s">
        <v>19</v>
      </c>
      <c r="L814" t="s">
        <v>115</v>
      </c>
      <c r="M814">
        <f>orders[[#This Row],[Ship Date]]-orders[[#This Row],[Order Date]]</f>
        <v>2</v>
      </c>
      <c r="N814">
        <f>WEEKNUM(orders[[#This Row],[Order Date]])</f>
        <v>6</v>
      </c>
      <c r="O814" t="str">
        <f>_xlfn.IFS(orders[[#This Row],[Customer Gender]]="M","Male", orders[[#This Row],[Customer Gender]]="F","Female", orders[[#This Row],[Customer Gender]]="O","Other", TRUE,"Unknown")</f>
        <v>Female</v>
      </c>
    </row>
    <row r="815" spans="1:15">
      <c r="A815" t="s">
        <v>908</v>
      </c>
      <c r="B815" t="s">
        <v>30</v>
      </c>
      <c r="C815">
        <v>10</v>
      </c>
      <c r="D815">
        <v>79.7</v>
      </c>
      <c r="E815">
        <v>797</v>
      </c>
      <c r="F815" s="1">
        <v>45692</v>
      </c>
      <c r="G815" s="1">
        <v>45693</v>
      </c>
      <c r="H815" t="s">
        <v>27</v>
      </c>
      <c r="I815" t="s">
        <v>70</v>
      </c>
      <c r="J815">
        <v>3</v>
      </c>
      <c r="K815" t="s">
        <v>19</v>
      </c>
      <c r="L815" t="s">
        <v>115</v>
      </c>
      <c r="M815">
        <f>orders[[#This Row],[Ship Date]]-orders[[#This Row],[Order Date]]</f>
        <v>1</v>
      </c>
      <c r="N815">
        <f>WEEKNUM(orders[[#This Row],[Order Date]])</f>
        <v>6</v>
      </c>
      <c r="O815" t="str">
        <f>_xlfn.IFS(orders[[#This Row],[Customer Gender]]="M","Male", orders[[#This Row],[Customer Gender]]="F","Female", orders[[#This Row],[Customer Gender]]="O","Other", TRUE,"Unknown")</f>
        <v>Female</v>
      </c>
    </row>
    <row r="816" spans="1:15">
      <c r="A816" t="s">
        <v>909</v>
      </c>
      <c r="B816" t="s">
        <v>44</v>
      </c>
      <c r="C816">
        <v>8</v>
      </c>
      <c r="D816">
        <v>30.5</v>
      </c>
      <c r="E816">
        <v>244</v>
      </c>
      <c r="F816" s="1">
        <v>45692</v>
      </c>
      <c r="G816" s="1">
        <v>45696</v>
      </c>
      <c r="H816" t="s">
        <v>23</v>
      </c>
      <c r="I816" t="s">
        <v>51</v>
      </c>
      <c r="J816">
        <v>4</v>
      </c>
      <c r="K816" t="s">
        <v>19</v>
      </c>
      <c r="L816" t="s">
        <v>24</v>
      </c>
      <c r="M816">
        <f>orders[[#This Row],[Ship Date]]-orders[[#This Row],[Order Date]]</f>
        <v>4</v>
      </c>
      <c r="N816">
        <f>WEEKNUM(orders[[#This Row],[Order Date]])</f>
        <v>6</v>
      </c>
      <c r="O816" t="str">
        <f>_xlfn.IFS(orders[[#This Row],[Customer Gender]]="M","Male", orders[[#This Row],[Customer Gender]]="F","Female", orders[[#This Row],[Customer Gender]]="O","Other", TRUE,"Unknown")</f>
        <v>Male</v>
      </c>
    </row>
    <row r="817" spans="1:15">
      <c r="A817" t="s">
        <v>910</v>
      </c>
      <c r="B817" t="s">
        <v>16</v>
      </c>
      <c r="C817">
        <v>2</v>
      </c>
      <c r="D817">
        <v>20.8</v>
      </c>
      <c r="E817">
        <v>41.6</v>
      </c>
      <c r="F817" s="1">
        <v>45692</v>
      </c>
      <c r="G817" s="1">
        <v>45693</v>
      </c>
      <c r="H817" t="s">
        <v>27</v>
      </c>
      <c r="I817" t="s">
        <v>18</v>
      </c>
      <c r="J817">
        <v>4</v>
      </c>
      <c r="K817" t="s">
        <v>19</v>
      </c>
      <c r="L817" t="s">
        <v>28</v>
      </c>
      <c r="M817">
        <f>orders[[#This Row],[Ship Date]]-orders[[#This Row],[Order Date]]</f>
        <v>1</v>
      </c>
      <c r="N817">
        <f>WEEKNUM(orders[[#This Row],[Order Date]])</f>
        <v>6</v>
      </c>
      <c r="O817" t="str">
        <f>_xlfn.IFS(orders[[#This Row],[Customer Gender]]="M","Male", orders[[#This Row],[Customer Gender]]="F","Female", orders[[#This Row],[Customer Gender]]="O","Other", TRUE,"Unknown")</f>
        <v>Female</v>
      </c>
    </row>
    <row r="818" spans="1:15">
      <c r="A818" t="s">
        <v>911</v>
      </c>
      <c r="B818" t="s">
        <v>67</v>
      </c>
      <c r="C818">
        <v>7</v>
      </c>
      <c r="D818">
        <v>48.5</v>
      </c>
      <c r="E818">
        <v>339.5</v>
      </c>
      <c r="F818" s="1">
        <v>45692</v>
      </c>
      <c r="G818" s="1">
        <v>45696</v>
      </c>
      <c r="H818" t="s">
        <v>27</v>
      </c>
      <c r="I818" t="s">
        <v>40</v>
      </c>
      <c r="J818">
        <v>5</v>
      </c>
      <c r="K818" t="s">
        <v>19</v>
      </c>
      <c r="L818" t="s">
        <v>28</v>
      </c>
      <c r="M818">
        <f>orders[[#This Row],[Ship Date]]-orders[[#This Row],[Order Date]]</f>
        <v>4</v>
      </c>
      <c r="N818">
        <f>WEEKNUM(orders[[#This Row],[Order Date]])</f>
        <v>6</v>
      </c>
      <c r="O818" t="str">
        <f>_xlfn.IFS(orders[[#This Row],[Customer Gender]]="M","Male", orders[[#This Row],[Customer Gender]]="F","Female", orders[[#This Row],[Customer Gender]]="O","Other", TRUE,"Unknown")</f>
        <v>Female</v>
      </c>
    </row>
    <row r="819" spans="1:15">
      <c r="A819" t="s">
        <v>912</v>
      </c>
      <c r="B819" t="s">
        <v>26</v>
      </c>
      <c r="C819">
        <v>4</v>
      </c>
      <c r="D819">
        <v>61.8</v>
      </c>
      <c r="E819">
        <v>247.2</v>
      </c>
      <c r="F819" s="1">
        <v>45692</v>
      </c>
      <c r="G819" s="1">
        <v>45696</v>
      </c>
      <c r="H819" t="s">
        <v>27</v>
      </c>
      <c r="I819" t="s">
        <v>70</v>
      </c>
      <c r="J819">
        <v>4</v>
      </c>
      <c r="K819" t="s">
        <v>19</v>
      </c>
      <c r="L819" t="s">
        <v>147</v>
      </c>
      <c r="M819">
        <f>orders[[#This Row],[Ship Date]]-orders[[#This Row],[Order Date]]</f>
        <v>4</v>
      </c>
      <c r="N819">
        <f>WEEKNUM(orders[[#This Row],[Order Date]])</f>
        <v>6</v>
      </c>
      <c r="O819" t="str">
        <f>_xlfn.IFS(orders[[#This Row],[Customer Gender]]="M","Male", orders[[#This Row],[Customer Gender]]="F","Female", orders[[#This Row],[Customer Gender]]="O","Other", TRUE,"Unknown")</f>
        <v>Female</v>
      </c>
    </row>
    <row r="820" spans="1:15">
      <c r="A820" t="s">
        <v>913</v>
      </c>
      <c r="B820" t="s">
        <v>54</v>
      </c>
      <c r="C820">
        <v>1</v>
      </c>
      <c r="D820">
        <v>46.1</v>
      </c>
      <c r="E820">
        <v>46.1</v>
      </c>
      <c r="F820" s="1">
        <v>45692</v>
      </c>
      <c r="G820" s="1">
        <v>45693</v>
      </c>
      <c r="H820" t="s">
        <v>89</v>
      </c>
      <c r="I820" t="s">
        <v>40</v>
      </c>
      <c r="J820">
        <v>4</v>
      </c>
      <c r="K820" t="s">
        <v>19</v>
      </c>
      <c r="L820" t="s">
        <v>33</v>
      </c>
      <c r="M820">
        <f>orders[[#This Row],[Ship Date]]-orders[[#This Row],[Order Date]]</f>
        <v>1</v>
      </c>
      <c r="N820">
        <f>WEEKNUM(orders[[#This Row],[Order Date]])</f>
        <v>6</v>
      </c>
      <c r="O820" t="str">
        <f>_xlfn.IFS(orders[[#This Row],[Customer Gender]]="M","Male", orders[[#This Row],[Customer Gender]]="F","Female", orders[[#This Row],[Customer Gender]]="O","Other", TRUE,"Unknown")</f>
        <v>Other</v>
      </c>
    </row>
    <row r="821" spans="1:15">
      <c r="A821" t="s">
        <v>914</v>
      </c>
      <c r="B821" t="s">
        <v>32</v>
      </c>
      <c r="C821">
        <v>6</v>
      </c>
      <c r="D821">
        <v>44</v>
      </c>
      <c r="E821">
        <v>264</v>
      </c>
      <c r="F821" s="1">
        <v>45692</v>
      </c>
      <c r="G821" s="1">
        <v>45693</v>
      </c>
      <c r="H821" t="s">
        <v>27</v>
      </c>
      <c r="I821" t="s">
        <v>18</v>
      </c>
      <c r="J821">
        <v>4</v>
      </c>
      <c r="K821" t="s">
        <v>19</v>
      </c>
      <c r="L821" t="s">
        <v>33</v>
      </c>
      <c r="M821">
        <f>orders[[#This Row],[Ship Date]]-orders[[#This Row],[Order Date]]</f>
        <v>1</v>
      </c>
      <c r="N821">
        <f>WEEKNUM(orders[[#This Row],[Order Date]])</f>
        <v>6</v>
      </c>
      <c r="O821" t="str">
        <f>_xlfn.IFS(orders[[#This Row],[Customer Gender]]="M","Male", orders[[#This Row],[Customer Gender]]="F","Female", orders[[#This Row],[Customer Gender]]="O","Other", TRUE,"Unknown")</f>
        <v>Female</v>
      </c>
    </row>
    <row r="822" spans="1:15">
      <c r="A822" t="s">
        <v>915</v>
      </c>
      <c r="B822" t="s">
        <v>146</v>
      </c>
      <c r="C822">
        <v>2</v>
      </c>
      <c r="D822">
        <v>95.7</v>
      </c>
      <c r="E822">
        <v>191.4</v>
      </c>
      <c r="F822" s="1">
        <v>45692</v>
      </c>
      <c r="G822" s="1">
        <v>45698</v>
      </c>
      <c r="H822" t="s">
        <v>27</v>
      </c>
      <c r="I822" t="s">
        <v>51</v>
      </c>
      <c r="J822">
        <v>5</v>
      </c>
      <c r="K822" t="s">
        <v>19</v>
      </c>
      <c r="L822" t="s">
        <v>33</v>
      </c>
      <c r="M822">
        <f>orders[[#This Row],[Ship Date]]-orders[[#This Row],[Order Date]]</f>
        <v>6</v>
      </c>
      <c r="N822">
        <f>WEEKNUM(orders[[#This Row],[Order Date]])</f>
        <v>6</v>
      </c>
      <c r="O822" t="str">
        <f>_xlfn.IFS(orders[[#This Row],[Customer Gender]]="M","Male", orders[[#This Row],[Customer Gender]]="F","Female", orders[[#This Row],[Customer Gender]]="O","Other", TRUE,"Unknown")</f>
        <v>Female</v>
      </c>
    </row>
    <row r="823" spans="1:15">
      <c r="A823" t="s">
        <v>916</v>
      </c>
      <c r="B823" t="s">
        <v>42</v>
      </c>
      <c r="C823">
        <v>5</v>
      </c>
      <c r="D823">
        <v>46.4</v>
      </c>
      <c r="E823">
        <v>232</v>
      </c>
      <c r="F823" s="1">
        <v>45692</v>
      </c>
      <c r="G823" s="1">
        <v>45695</v>
      </c>
      <c r="H823" t="s">
        <v>27</v>
      </c>
      <c r="I823" t="s">
        <v>18</v>
      </c>
      <c r="J823">
        <v>4</v>
      </c>
      <c r="K823" t="s">
        <v>19</v>
      </c>
      <c r="L823" t="s">
        <v>33</v>
      </c>
      <c r="M823">
        <f>orders[[#This Row],[Ship Date]]-orders[[#This Row],[Order Date]]</f>
        <v>3</v>
      </c>
      <c r="N823">
        <f>WEEKNUM(orders[[#This Row],[Order Date]])</f>
        <v>6</v>
      </c>
      <c r="O823" t="str">
        <f>_xlfn.IFS(orders[[#This Row],[Customer Gender]]="M","Male", orders[[#This Row],[Customer Gender]]="F","Female", orders[[#This Row],[Customer Gender]]="O","Other", TRUE,"Unknown")</f>
        <v>Female</v>
      </c>
    </row>
    <row r="824" spans="1:15">
      <c r="A824" t="s">
        <v>917</v>
      </c>
      <c r="B824" t="s">
        <v>39</v>
      </c>
      <c r="C824">
        <v>2</v>
      </c>
      <c r="D824">
        <v>47.2</v>
      </c>
      <c r="E824">
        <v>94.4</v>
      </c>
      <c r="F824" s="1">
        <v>45692</v>
      </c>
      <c r="G824" s="1">
        <v>45694</v>
      </c>
      <c r="H824" t="s">
        <v>27</v>
      </c>
      <c r="I824" t="s">
        <v>18</v>
      </c>
      <c r="J824">
        <v>5</v>
      </c>
      <c r="K824" t="s">
        <v>19</v>
      </c>
      <c r="L824" t="s">
        <v>33</v>
      </c>
      <c r="M824">
        <f>orders[[#This Row],[Ship Date]]-orders[[#This Row],[Order Date]]</f>
        <v>2</v>
      </c>
      <c r="N824">
        <f>WEEKNUM(orders[[#This Row],[Order Date]])</f>
        <v>6</v>
      </c>
      <c r="O824" t="str">
        <f>_xlfn.IFS(orders[[#This Row],[Customer Gender]]="M","Male", orders[[#This Row],[Customer Gender]]="F","Female", orders[[#This Row],[Customer Gender]]="O","Other", TRUE,"Unknown")</f>
        <v>Female</v>
      </c>
    </row>
    <row r="825" spans="1:15">
      <c r="A825" t="s">
        <v>918</v>
      </c>
      <c r="B825" t="s">
        <v>42</v>
      </c>
      <c r="C825">
        <v>2</v>
      </c>
      <c r="D825">
        <v>58.6</v>
      </c>
      <c r="E825">
        <v>117.2</v>
      </c>
      <c r="F825" s="1">
        <v>45692</v>
      </c>
      <c r="G825" s="1">
        <v>45693</v>
      </c>
      <c r="H825" t="s">
        <v>27</v>
      </c>
      <c r="I825" t="s">
        <v>40</v>
      </c>
      <c r="J825">
        <v>3</v>
      </c>
      <c r="K825" t="s">
        <v>19</v>
      </c>
      <c r="L825" t="s">
        <v>33</v>
      </c>
      <c r="M825">
        <f>orders[[#This Row],[Ship Date]]-orders[[#This Row],[Order Date]]</f>
        <v>1</v>
      </c>
      <c r="N825">
        <f>WEEKNUM(orders[[#This Row],[Order Date]])</f>
        <v>6</v>
      </c>
      <c r="O825" t="str">
        <f>_xlfn.IFS(orders[[#This Row],[Customer Gender]]="M","Male", orders[[#This Row],[Customer Gender]]="F","Female", orders[[#This Row],[Customer Gender]]="O","Other", TRUE,"Unknown")</f>
        <v>Female</v>
      </c>
    </row>
    <row r="826" spans="1:15">
      <c r="A826" t="s">
        <v>919</v>
      </c>
      <c r="B826" t="s">
        <v>32</v>
      </c>
      <c r="C826">
        <v>3</v>
      </c>
      <c r="D826">
        <v>57</v>
      </c>
      <c r="E826">
        <v>171</v>
      </c>
      <c r="F826" s="1">
        <v>45692</v>
      </c>
      <c r="G826" s="1">
        <v>45693</v>
      </c>
      <c r="H826" t="s">
        <v>23</v>
      </c>
      <c r="I826" t="s">
        <v>18</v>
      </c>
      <c r="J826">
        <v>5</v>
      </c>
      <c r="K826" t="s">
        <v>19</v>
      </c>
      <c r="L826" t="s">
        <v>33</v>
      </c>
      <c r="M826">
        <f>orders[[#This Row],[Ship Date]]-orders[[#This Row],[Order Date]]</f>
        <v>1</v>
      </c>
      <c r="N826">
        <f>WEEKNUM(orders[[#This Row],[Order Date]])</f>
        <v>6</v>
      </c>
      <c r="O826" t="str">
        <f>_xlfn.IFS(orders[[#This Row],[Customer Gender]]="M","Male", orders[[#This Row],[Customer Gender]]="F","Female", orders[[#This Row],[Customer Gender]]="O","Other", TRUE,"Unknown")</f>
        <v>Male</v>
      </c>
    </row>
    <row r="827" spans="1:15">
      <c r="A827" t="s">
        <v>920</v>
      </c>
      <c r="B827" t="s">
        <v>44</v>
      </c>
      <c r="C827">
        <v>4</v>
      </c>
      <c r="D827">
        <v>28.9</v>
      </c>
      <c r="E827">
        <v>115.6</v>
      </c>
      <c r="F827" s="1">
        <v>45692</v>
      </c>
      <c r="G827" s="1">
        <v>45696</v>
      </c>
      <c r="H827" t="s">
        <v>23</v>
      </c>
      <c r="I827" t="s">
        <v>40</v>
      </c>
      <c r="J827">
        <v>4</v>
      </c>
      <c r="K827" t="s">
        <v>19</v>
      </c>
      <c r="L827" t="s">
        <v>33</v>
      </c>
      <c r="M827">
        <f>orders[[#This Row],[Ship Date]]-orders[[#This Row],[Order Date]]</f>
        <v>4</v>
      </c>
      <c r="N827">
        <f>WEEKNUM(orders[[#This Row],[Order Date]])</f>
        <v>6</v>
      </c>
      <c r="O827" t="str">
        <f>_xlfn.IFS(orders[[#This Row],[Customer Gender]]="M","Male", orders[[#This Row],[Customer Gender]]="F","Female", orders[[#This Row],[Customer Gender]]="O","Other", TRUE,"Unknown")</f>
        <v>Male</v>
      </c>
    </row>
    <row r="828" spans="1:15">
      <c r="A828" t="s">
        <v>921</v>
      </c>
      <c r="B828" t="s">
        <v>69</v>
      </c>
      <c r="C828">
        <v>5</v>
      </c>
      <c r="D828">
        <v>60.7</v>
      </c>
      <c r="E828">
        <v>303.5</v>
      </c>
      <c r="F828" s="1">
        <v>45692</v>
      </c>
      <c r="G828" s="1">
        <v>45696</v>
      </c>
      <c r="H828" t="s">
        <v>17</v>
      </c>
      <c r="I828" t="s">
        <v>35</v>
      </c>
      <c r="J828">
        <v>3</v>
      </c>
      <c r="K828" t="s">
        <v>19</v>
      </c>
      <c r="L828" t="s">
        <v>33</v>
      </c>
      <c r="M828">
        <f>orders[[#This Row],[Ship Date]]-orders[[#This Row],[Order Date]]</f>
        <v>4</v>
      </c>
      <c r="N828">
        <f>WEEKNUM(orders[[#This Row],[Order Date]])</f>
        <v>6</v>
      </c>
      <c r="O828" t="str">
        <f>_xlfn.IFS(orders[[#This Row],[Customer Gender]]="M","Male", orders[[#This Row],[Customer Gender]]="F","Female", orders[[#This Row],[Customer Gender]]="O","Other", TRUE,"Unknown")</f>
        <v>Unknown</v>
      </c>
    </row>
    <row r="829" spans="1:15">
      <c r="A829" t="s">
        <v>922</v>
      </c>
      <c r="B829" t="s">
        <v>39</v>
      </c>
      <c r="C829">
        <v>5</v>
      </c>
      <c r="D829">
        <v>60.8</v>
      </c>
      <c r="E829">
        <v>304</v>
      </c>
      <c r="F829" s="1">
        <v>45692</v>
      </c>
      <c r="G829" s="1">
        <v>45696</v>
      </c>
      <c r="H829" t="s">
        <v>23</v>
      </c>
      <c r="I829" t="s">
        <v>18</v>
      </c>
      <c r="J829">
        <v>3</v>
      </c>
      <c r="K829" t="s">
        <v>19</v>
      </c>
      <c r="L829" t="s">
        <v>33</v>
      </c>
      <c r="M829">
        <f>orders[[#This Row],[Ship Date]]-orders[[#This Row],[Order Date]]</f>
        <v>4</v>
      </c>
      <c r="N829">
        <f>WEEKNUM(orders[[#This Row],[Order Date]])</f>
        <v>6</v>
      </c>
      <c r="O829" t="str">
        <f>_xlfn.IFS(orders[[#This Row],[Customer Gender]]="M","Male", orders[[#This Row],[Customer Gender]]="F","Female", orders[[#This Row],[Customer Gender]]="O","Other", TRUE,"Unknown")</f>
        <v>Male</v>
      </c>
    </row>
    <row r="830" spans="1:15">
      <c r="A830" t="s">
        <v>923</v>
      </c>
      <c r="B830" t="s">
        <v>39</v>
      </c>
      <c r="C830">
        <v>5</v>
      </c>
      <c r="D830">
        <v>64.599999999999994</v>
      </c>
      <c r="E830">
        <v>323</v>
      </c>
      <c r="F830" s="1">
        <v>45692</v>
      </c>
      <c r="G830" s="1">
        <v>45693</v>
      </c>
      <c r="H830" t="s">
        <v>27</v>
      </c>
      <c r="I830" t="s">
        <v>51</v>
      </c>
      <c r="J830">
        <v>4</v>
      </c>
      <c r="K830" t="s">
        <v>19</v>
      </c>
      <c r="L830" t="s">
        <v>33</v>
      </c>
      <c r="M830">
        <f>orders[[#This Row],[Ship Date]]-orders[[#This Row],[Order Date]]</f>
        <v>1</v>
      </c>
      <c r="N830">
        <f>WEEKNUM(orders[[#This Row],[Order Date]])</f>
        <v>6</v>
      </c>
      <c r="O830" t="str">
        <f>_xlfn.IFS(orders[[#This Row],[Customer Gender]]="M","Male", orders[[#This Row],[Customer Gender]]="F","Female", orders[[#This Row],[Customer Gender]]="O","Other", TRUE,"Unknown")</f>
        <v>Female</v>
      </c>
    </row>
    <row r="831" spans="1:15">
      <c r="A831" t="s">
        <v>924</v>
      </c>
      <c r="B831" t="s">
        <v>44</v>
      </c>
      <c r="C831">
        <v>1</v>
      </c>
      <c r="D831">
        <v>21.9</v>
      </c>
      <c r="E831">
        <v>21.9</v>
      </c>
      <c r="F831" s="1">
        <v>45692</v>
      </c>
      <c r="G831" s="1">
        <v>45695</v>
      </c>
      <c r="H831" t="s">
        <v>23</v>
      </c>
      <c r="I831" t="s">
        <v>35</v>
      </c>
      <c r="J831">
        <v>5</v>
      </c>
      <c r="K831" t="s">
        <v>19</v>
      </c>
      <c r="L831" t="s">
        <v>49</v>
      </c>
      <c r="M831">
        <f>orders[[#This Row],[Ship Date]]-orders[[#This Row],[Order Date]]</f>
        <v>3</v>
      </c>
      <c r="N831">
        <f>WEEKNUM(orders[[#This Row],[Order Date]])</f>
        <v>6</v>
      </c>
      <c r="O831" t="str">
        <f>_xlfn.IFS(orders[[#This Row],[Customer Gender]]="M","Male", orders[[#This Row],[Customer Gender]]="F","Female", orders[[#This Row],[Customer Gender]]="O","Other", TRUE,"Unknown")</f>
        <v>Male</v>
      </c>
    </row>
    <row r="832" spans="1:15">
      <c r="A832" t="s">
        <v>925</v>
      </c>
      <c r="B832" t="s">
        <v>32</v>
      </c>
      <c r="C832">
        <v>12</v>
      </c>
      <c r="D832">
        <v>33.4</v>
      </c>
      <c r="E832">
        <v>400.79999999999995</v>
      </c>
      <c r="F832" s="1">
        <v>45692</v>
      </c>
      <c r="G832" s="1">
        <v>45694</v>
      </c>
      <c r="H832" t="s">
        <v>27</v>
      </c>
      <c r="I832" t="s">
        <v>18</v>
      </c>
      <c r="J832">
        <v>4</v>
      </c>
      <c r="K832" t="s">
        <v>19</v>
      </c>
      <c r="L832" t="s">
        <v>158</v>
      </c>
      <c r="M832">
        <f>orders[[#This Row],[Ship Date]]-orders[[#This Row],[Order Date]]</f>
        <v>2</v>
      </c>
      <c r="N832">
        <f>WEEKNUM(orders[[#This Row],[Order Date]])</f>
        <v>6</v>
      </c>
      <c r="O832" t="str">
        <f>_xlfn.IFS(orders[[#This Row],[Customer Gender]]="M","Male", orders[[#This Row],[Customer Gender]]="F","Female", orders[[#This Row],[Customer Gender]]="O","Other", TRUE,"Unknown")</f>
        <v>Female</v>
      </c>
    </row>
    <row r="833" spans="1:15">
      <c r="A833" t="s">
        <v>926</v>
      </c>
      <c r="B833" t="s">
        <v>26</v>
      </c>
      <c r="C833">
        <v>1</v>
      </c>
      <c r="D833">
        <v>51.7</v>
      </c>
      <c r="E833">
        <v>51.7</v>
      </c>
      <c r="F833" s="1">
        <v>45692</v>
      </c>
      <c r="G833" s="1">
        <v>45693</v>
      </c>
      <c r="H833" t="s">
        <v>17</v>
      </c>
      <c r="I833" t="s">
        <v>18</v>
      </c>
      <c r="J833">
        <v>4</v>
      </c>
      <c r="K833" t="s">
        <v>19</v>
      </c>
      <c r="L833" t="s">
        <v>55</v>
      </c>
      <c r="M833">
        <f>orders[[#This Row],[Ship Date]]-orders[[#This Row],[Order Date]]</f>
        <v>1</v>
      </c>
      <c r="N833">
        <f>WEEKNUM(orders[[#This Row],[Order Date]])</f>
        <v>6</v>
      </c>
      <c r="O833" t="str">
        <f>_xlfn.IFS(orders[[#This Row],[Customer Gender]]="M","Male", orders[[#This Row],[Customer Gender]]="F","Female", orders[[#This Row],[Customer Gender]]="O","Other", TRUE,"Unknown")</f>
        <v>Unknown</v>
      </c>
    </row>
    <row r="834" spans="1:15">
      <c r="A834" t="s">
        <v>927</v>
      </c>
      <c r="B834" t="s">
        <v>22</v>
      </c>
      <c r="C834">
        <v>4</v>
      </c>
      <c r="D834">
        <v>84.9</v>
      </c>
      <c r="E834">
        <v>339.6</v>
      </c>
      <c r="F834" s="1">
        <v>45692</v>
      </c>
      <c r="G834" s="1">
        <v>45693</v>
      </c>
      <c r="H834" t="s">
        <v>27</v>
      </c>
      <c r="I834" t="s">
        <v>35</v>
      </c>
      <c r="J834">
        <v>3</v>
      </c>
      <c r="K834" t="s">
        <v>19</v>
      </c>
      <c r="L834" t="s">
        <v>55</v>
      </c>
      <c r="M834">
        <f>orders[[#This Row],[Ship Date]]-orders[[#This Row],[Order Date]]</f>
        <v>1</v>
      </c>
      <c r="N834">
        <f>WEEKNUM(orders[[#This Row],[Order Date]])</f>
        <v>6</v>
      </c>
      <c r="O834" t="str">
        <f>_xlfn.IFS(orders[[#This Row],[Customer Gender]]="M","Male", orders[[#This Row],[Customer Gender]]="F","Female", orders[[#This Row],[Customer Gender]]="O","Other", TRUE,"Unknown")</f>
        <v>Female</v>
      </c>
    </row>
    <row r="835" spans="1:15">
      <c r="A835" t="s">
        <v>928</v>
      </c>
      <c r="B835" t="s">
        <v>22</v>
      </c>
      <c r="C835">
        <v>11</v>
      </c>
      <c r="D835">
        <v>62.3</v>
      </c>
      <c r="E835">
        <v>685.3</v>
      </c>
      <c r="F835" s="1">
        <v>45692</v>
      </c>
      <c r="G835" s="1">
        <v>45693</v>
      </c>
      <c r="H835" t="s">
        <v>27</v>
      </c>
      <c r="I835" t="s">
        <v>40</v>
      </c>
      <c r="J835">
        <v>5</v>
      </c>
      <c r="K835" t="s">
        <v>19</v>
      </c>
      <c r="L835" t="s">
        <v>59</v>
      </c>
      <c r="M835">
        <f>orders[[#This Row],[Ship Date]]-orders[[#This Row],[Order Date]]</f>
        <v>1</v>
      </c>
      <c r="N835">
        <f>WEEKNUM(orders[[#This Row],[Order Date]])</f>
        <v>6</v>
      </c>
      <c r="O835" t="str">
        <f>_xlfn.IFS(orders[[#This Row],[Customer Gender]]="M","Male", orders[[#This Row],[Customer Gender]]="F","Female", orders[[#This Row],[Customer Gender]]="O","Other", TRUE,"Unknown")</f>
        <v>Female</v>
      </c>
    </row>
    <row r="836" spans="1:15">
      <c r="A836" t="s">
        <v>929</v>
      </c>
      <c r="B836" t="s">
        <v>32</v>
      </c>
      <c r="C836">
        <v>1</v>
      </c>
      <c r="D836">
        <v>50.7</v>
      </c>
      <c r="E836">
        <v>50.7</v>
      </c>
      <c r="F836" s="1">
        <v>45692</v>
      </c>
      <c r="G836" s="1">
        <v>45694</v>
      </c>
      <c r="H836" t="s">
        <v>23</v>
      </c>
      <c r="I836" t="s">
        <v>40</v>
      </c>
      <c r="J836">
        <v>5</v>
      </c>
      <c r="K836" t="s">
        <v>19</v>
      </c>
      <c r="L836" t="s">
        <v>62</v>
      </c>
      <c r="M836">
        <f>orders[[#This Row],[Ship Date]]-orders[[#This Row],[Order Date]]</f>
        <v>2</v>
      </c>
      <c r="N836">
        <f>WEEKNUM(orders[[#This Row],[Order Date]])</f>
        <v>6</v>
      </c>
      <c r="O836" t="str">
        <f>_xlfn.IFS(orders[[#This Row],[Customer Gender]]="M","Male", orders[[#This Row],[Customer Gender]]="F","Female", orders[[#This Row],[Customer Gender]]="O","Other", TRUE,"Unknown")</f>
        <v>Male</v>
      </c>
    </row>
    <row r="837" spans="1:15">
      <c r="A837" t="s">
        <v>930</v>
      </c>
      <c r="B837" t="s">
        <v>146</v>
      </c>
      <c r="C837">
        <v>1</v>
      </c>
      <c r="D837">
        <v>39.5</v>
      </c>
      <c r="E837">
        <v>39.5</v>
      </c>
      <c r="F837" s="1">
        <v>45692</v>
      </c>
      <c r="G837" s="1">
        <v>45693</v>
      </c>
      <c r="H837" t="s">
        <v>23</v>
      </c>
      <c r="I837" t="s">
        <v>70</v>
      </c>
      <c r="J837">
        <v>3</v>
      </c>
      <c r="K837" t="s">
        <v>19</v>
      </c>
      <c r="L837" t="s">
        <v>62</v>
      </c>
      <c r="M837">
        <f>orders[[#This Row],[Ship Date]]-orders[[#This Row],[Order Date]]</f>
        <v>1</v>
      </c>
      <c r="N837">
        <f>WEEKNUM(orders[[#This Row],[Order Date]])</f>
        <v>6</v>
      </c>
      <c r="O837" t="str">
        <f>_xlfn.IFS(orders[[#This Row],[Customer Gender]]="M","Male", orders[[#This Row],[Customer Gender]]="F","Female", orders[[#This Row],[Customer Gender]]="O","Other", TRUE,"Unknown")</f>
        <v>Male</v>
      </c>
    </row>
    <row r="838" spans="1:15">
      <c r="A838" t="s">
        <v>931</v>
      </c>
      <c r="B838" t="s">
        <v>69</v>
      </c>
      <c r="C838">
        <v>3</v>
      </c>
      <c r="D838">
        <v>30.9</v>
      </c>
      <c r="E838">
        <v>92.699999999999989</v>
      </c>
      <c r="F838" s="1">
        <v>45692</v>
      </c>
      <c r="G838" s="1">
        <v>45693</v>
      </c>
      <c r="H838" t="s">
        <v>17</v>
      </c>
      <c r="I838" t="s">
        <v>70</v>
      </c>
      <c r="J838">
        <v>5</v>
      </c>
      <c r="K838" t="s">
        <v>19</v>
      </c>
      <c r="L838" t="s">
        <v>62</v>
      </c>
      <c r="M838">
        <f>orders[[#This Row],[Ship Date]]-orders[[#This Row],[Order Date]]</f>
        <v>1</v>
      </c>
      <c r="N838">
        <f>WEEKNUM(orders[[#This Row],[Order Date]])</f>
        <v>6</v>
      </c>
      <c r="O838" t="str">
        <f>_xlfn.IFS(orders[[#This Row],[Customer Gender]]="M","Male", orders[[#This Row],[Customer Gender]]="F","Female", orders[[#This Row],[Customer Gender]]="O","Other", TRUE,"Unknown")</f>
        <v>Unknown</v>
      </c>
    </row>
    <row r="839" spans="1:15">
      <c r="A839" t="s">
        <v>932</v>
      </c>
      <c r="B839" t="s">
        <v>22</v>
      </c>
      <c r="C839">
        <v>7</v>
      </c>
      <c r="D839">
        <v>36.4</v>
      </c>
      <c r="E839">
        <v>254.79999999999998</v>
      </c>
      <c r="F839" s="1">
        <v>45692</v>
      </c>
      <c r="G839" s="1">
        <v>45695</v>
      </c>
      <c r="H839" t="s">
        <v>27</v>
      </c>
      <c r="I839" t="s">
        <v>18</v>
      </c>
      <c r="J839">
        <v>5</v>
      </c>
      <c r="K839" t="s">
        <v>19</v>
      </c>
      <c r="L839" t="s">
        <v>62</v>
      </c>
      <c r="M839">
        <f>orders[[#This Row],[Ship Date]]-orders[[#This Row],[Order Date]]</f>
        <v>3</v>
      </c>
      <c r="N839">
        <f>WEEKNUM(orders[[#This Row],[Order Date]])</f>
        <v>6</v>
      </c>
      <c r="O839" t="str">
        <f>_xlfn.IFS(orders[[#This Row],[Customer Gender]]="M","Male", orders[[#This Row],[Customer Gender]]="F","Female", orders[[#This Row],[Customer Gender]]="O","Other", TRUE,"Unknown")</f>
        <v>Female</v>
      </c>
    </row>
    <row r="840" spans="1:15">
      <c r="A840" t="s">
        <v>933</v>
      </c>
      <c r="B840" t="s">
        <v>39</v>
      </c>
      <c r="C840">
        <v>8</v>
      </c>
      <c r="D840">
        <v>105.6</v>
      </c>
      <c r="E840">
        <v>844.8</v>
      </c>
      <c r="F840" s="1">
        <v>45692</v>
      </c>
      <c r="G840" s="1">
        <v>45702</v>
      </c>
      <c r="H840" t="s">
        <v>27</v>
      </c>
      <c r="I840" t="s">
        <v>18</v>
      </c>
      <c r="J840">
        <v>4</v>
      </c>
      <c r="K840" t="s">
        <v>19</v>
      </c>
      <c r="L840" t="s">
        <v>62</v>
      </c>
      <c r="M840">
        <f>orders[[#This Row],[Ship Date]]-orders[[#This Row],[Order Date]]</f>
        <v>10</v>
      </c>
      <c r="N840">
        <f>WEEKNUM(orders[[#This Row],[Order Date]])</f>
        <v>6</v>
      </c>
      <c r="O840" t="str">
        <f>_xlfn.IFS(orders[[#This Row],[Customer Gender]]="M","Male", orders[[#This Row],[Customer Gender]]="F","Female", orders[[#This Row],[Customer Gender]]="O","Other", TRUE,"Unknown")</f>
        <v>Female</v>
      </c>
    </row>
    <row r="841" spans="1:15">
      <c r="A841" t="s">
        <v>934</v>
      </c>
      <c r="B841" t="s">
        <v>44</v>
      </c>
      <c r="C841">
        <v>2</v>
      </c>
      <c r="D841">
        <v>22.1</v>
      </c>
      <c r="E841">
        <v>44.2</v>
      </c>
      <c r="F841" s="1">
        <v>45692</v>
      </c>
      <c r="G841" s="1">
        <v>45693</v>
      </c>
      <c r="H841" t="s">
        <v>27</v>
      </c>
      <c r="I841" t="s">
        <v>18</v>
      </c>
      <c r="J841">
        <v>5</v>
      </c>
      <c r="K841" t="s">
        <v>19</v>
      </c>
      <c r="L841" t="s">
        <v>103</v>
      </c>
      <c r="M841">
        <f>orders[[#This Row],[Ship Date]]-orders[[#This Row],[Order Date]]</f>
        <v>1</v>
      </c>
      <c r="N841">
        <f>WEEKNUM(orders[[#This Row],[Order Date]])</f>
        <v>6</v>
      </c>
      <c r="O841" t="str">
        <f>_xlfn.IFS(orders[[#This Row],[Customer Gender]]="M","Male", orders[[#This Row],[Customer Gender]]="F","Female", orders[[#This Row],[Customer Gender]]="O","Other", TRUE,"Unknown")</f>
        <v>Female</v>
      </c>
    </row>
    <row r="842" spans="1:15">
      <c r="A842" t="s">
        <v>935</v>
      </c>
      <c r="B842" t="s">
        <v>16</v>
      </c>
      <c r="C842">
        <v>3</v>
      </c>
      <c r="D842">
        <v>22.6</v>
      </c>
      <c r="E842">
        <v>67.800000000000011</v>
      </c>
      <c r="F842" s="1">
        <v>45692</v>
      </c>
      <c r="G842" s="1">
        <v>45693</v>
      </c>
      <c r="H842" t="s">
        <v>27</v>
      </c>
      <c r="I842" t="s">
        <v>40</v>
      </c>
      <c r="J842">
        <v>4</v>
      </c>
      <c r="K842" t="s">
        <v>19</v>
      </c>
      <c r="L842" t="s">
        <v>103</v>
      </c>
      <c r="M842">
        <f>orders[[#This Row],[Ship Date]]-orders[[#This Row],[Order Date]]</f>
        <v>1</v>
      </c>
      <c r="N842">
        <f>WEEKNUM(orders[[#This Row],[Order Date]])</f>
        <v>6</v>
      </c>
      <c r="O842" t="str">
        <f>_xlfn.IFS(orders[[#This Row],[Customer Gender]]="M","Male", orders[[#This Row],[Customer Gender]]="F","Female", orders[[#This Row],[Customer Gender]]="O","Other", TRUE,"Unknown")</f>
        <v>Female</v>
      </c>
    </row>
    <row r="843" spans="1:15">
      <c r="A843" t="s">
        <v>936</v>
      </c>
      <c r="B843" t="s">
        <v>54</v>
      </c>
      <c r="C843">
        <v>6</v>
      </c>
      <c r="D843">
        <v>26.3</v>
      </c>
      <c r="E843">
        <v>157.80000000000001</v>
      </c>
      <c r="F843" s="1">
        <v>45692</v>
      </c>
      <c r="G843" s="1">
        <v>45692</v>
      </c>
      <c r="H843" t="s">
        <v>27</v>
      </c>
      <c r="I843" t="s">
        <v>40</v>
      </c>
      <c r="J843">
        <v>4</v>
      </c>
      <c r="K843" t="s">
        <v>19</v>
      </c>
      <c r="L843" t="s">
        <v>72</v>
      </c>
      <c r="M843">
        <f>orders[[#This Row],[Ship Date]]-orders[[#This Row],[Order Date]]</f>
        <v>0</v>
      </c>
      <c r="N843">
        <f>WEEKNUM(orders[[#This Row],[Order Date]])</f>
        <v>6</v>
      </c>
      <c r="O843" t="str">
        <f>_xlfn.IFS(orders[[#This Row],[Customer Gender]]="M","Male", orders[[#This Row],[Customer Gender]]="F","Female", orders[[#This Row],[Customer Gender]]="O","Other", TRUE,"Unknown")</f>
        <v>Female</v>
      </c>
    </row>
    <row r="844" spans="1:15">
      <c r="A844" t="s">
        <v>937</v>
      </c>
      <c r="B844" t="s">
        <v>22</v>
      </c>
      <c r="C844">
        <v>4</v>
      </c>
      <c r="D844">
        <v>37.799999999999997</v>
      </c>
      <c r="E844">
        <v>151.19999999999999</v>
      </c>
      <c r="F844" s="1">
        <v>45692</v>
      </c>
      <c r="G844" s="1">
        <v>45693</v>
      </c>
      <c r="H844" t="s">
        <v>27</v>
      </c>
      <c r="I844" t="s">
        <v>18</v>
      </c>
      <c r="J844">
        <v>5</v>
      </c>
      <c r="K844" t="s">
        <v>19</v>
      </c>
      <c r="L844" t="s">
        <v>77</v>
      </c>
      <c r="M844">
        <f>orders[[#This Row],[Ship Date]]-orders[[#This Row],[Order Date]]</f>
        <v>1</v>
      </c>
      <c r="N844">
        <f>WEEKNUM(orders[[#This Row],[Order Date]])</f>
        <v>6</v>
      </c>
      <c r="O844" t="str">
        <f>_xlfn.IFS(orders[[#This Row],[Customer Gender]]="M","Male", orders[[#This Row],[Customer Gender]]="F","Female", orders[[#This Row],[Customer Gender]]="O","Other", TRUE,"Unknown")</f>
        <v>Female</v>
      </c>
    </row>
    <row r="845" spans="1:15">
      <c r="A845" t="s">
        <v>938</v>
      </c>
      <c r="B845" t="s">
        <v>39</v>
      </c>
      <c r="C845">
        <v>17</v>
      </c>
      <c r="D845">
        <v>96</v>
      </c>
      <c r="E845">
        <v>1632</v>
      </c>
      <c r="F845" s="1">
        <v>45692</v>
      </c>
      <c r="G845" s="1">
        <v>45695</v>
      </c>
      <c r="H845" t="s">
        <v>27</v>
      </c>
      <c r="I845" t="s">
        <v>70</v>
      </c>
      <c r="J845">
        <v>3</v>
      </c>
      <c r="K845" t="s">
        <v>19</v>
      </c>
      <c r="L845" t="s">
        <v>108</v>
      </c>
      <c r="M845">
        <f>orders[[#This Row],[Ship Date]]-orders[[#This Row],[Order Date]]</f>
        <v>3</v>
      </c>
      <c r="N845">
        <f>WEEKNUM(orders[[#This Row],[Order Date]])</f>
        <v>6</v>
      </c>
      <c r="O845" t="str">
        <f>_xlfn.IFS(orders[[#This Row],[Customer Gender]]="M","Male", orders[[#This Row],[Customer Gender]]="F","Female", orders[[#This Row],[Customer Gender]]="O","Other", TRUE,"Unknown")</f>
        <v>Female</v>
      </c>
    </row>
    <row r="846" spans="1:15">
      <c r="A846" t="s">
        <v>939</v>
      </c>
      <c r="B846" t="s">
        <v>22</v>
      </c>
      <c r="C846">
        <v>1</v>
      </c>
      <c r="D846">
        <v>83.6</v>
      </c>
      <c r="E846">
        <v>83.6</v>
      </c>
      <c r="F846" s="1">
        <v>45692</v>
      </c>
      <c r="G846" s="1">
        <v>45695</v>
      </c>
      <c r="H846" t="s">
        <v>27</v>
      </c>
      <c r="I846" t="s">
        <v>40</v>
      </c>
      <c r="J846">
        <v>3</v>
      </c>
      <c r="K846" t="s">
        <v>19</v>
      </c>
      <c r="L846" t="s">
        <v>110</v>
      </c>
      <c r="M846">
        <f>orders[[#This Row],[Ship Date]]-orders[[#This Row],[Order Date]]</f>
        <v>3</v>
      </c>
      <c r="N846">
        <f>WEEKNUM(orders[[#This Row],[Order Date]])</f>
        <v>6</v>
      </c>
      <c r="O846" t="str">
        <f>_xlfn.IFS(orders[[#This Row],[Customer Gender]]="M","Male", orders[[#This Row],[Customer Gender]]="F","Female", orders[[#This Row],[Customer Gender]]="O","Other", TRUE,"Unknown")</f>
        <v>Female</v>
      </c>
    </row>
    <row r="847" spans="1:15">
      <c r="A847" t="s">
        <v>940</v>
      </c>
      <c r="B847" t="s">
        <v>26</v>
      </c>
      <c r="C847">
        <v>6</v>
      </c>
      <c r="D847">
        <v>72.599999999999994</v>
      </c>
      <c r="E847">
        <v>435.59999999999997</v>
      </c>
      <c r="F847" s="1">
        <v>45692</v>
      </c>
      <c r="G847" s="1">
        <v>45693</v>
      </c>
      <c r="H847" t="s">
        <v>27</v>
      </c>
      <c r="I847" t="s">
        <v>18</v>
      </c>
      <c r="J847">
        <v>4</v>
      </c>
      <c r="K847" t="s">
        <v>19</v>
      </c>
      <c r="L847" t="s">
        <v>115</v>
      </c>
      <c r="M847">
        <f>orders[[#This Row],[Ship Date]]-orders[[#This Row],[Order Date]]</f>
        <v>1</v>
      </c>
      <c r="N847">
        <f>WEEKNUM(orders[[#This Row],[Order Date]])</f>
        <v>6</v>
      </c>
      <c r="O847" t="str">
        <f>_xlfn.IFS(orders[[#This Row],[Customer Gender]]="M","Male", orders[[#This Row],[Customer Gender]]="F","Female", orders[[#This Row],[Customer Gender]]="O","Other", TRUE,"Unknown")</f>
        <v>Female</v>
      </c>
    </row>
    <row r="848" spans="1:15">
      <c r="A848" t="s">
        <v>941</v>
      </c>
      <c r="B848" t="s">
        <v>37</v>
      </c>
      <c r="C848">
        <v>20</v>
      </c>
      <c r="D848">
        <v>69.099999999999994</v>
      </c>
      <c r="E848">
        <v>1382</v>
      </c>
      <c r="F848" s="1">
        <v>45693</v>
      </c>
      <c r="G848" s="1">
        <v>45699</v>
      </c>
      <c r="H848" t="s">
        <v>23</v>
      </c>
      <c r="I848" t="s">
        <v>18</v>
      </c>
      <c r="J848">
        <v>5</v>
      </c>
      <c r="K848" t="s">
        <v>19</v>
      </c>
      <c r="L848" t="s">
        <v>115</v>
      </c>
      <c r="M848">
        <f>orders[[#This Row],[Ship Date]]-orders[[#This Row],[Order Date]]</f>
        <v>6</v>
      </c>
      <c r="N848">
        <f>WEEKNUM(orders[[#This Row],[Order Date]])</f>
        <v>6</v>
      </c>
      <c r="O848" t="str">
        <f>_xlfn.IFS(orders[[#This Row],[Customer Gender]]="M","Male", orders[[#This Row],[Customer Gender]]="F","Female", orders[[#This Row],[Customer Gender]]="O","Other", TRUE,"Unknown")</f>
        <v>Male</v>
      </c>
    </row>
    <row r="849" spans="1:15">
      <c r="A849" t="s">
        <v>942</v>
      </c>
      <c r="B849" t="s">
        <v>32</v>
      </c>
      <c r="C849">
        <v>2</v>
      </c>
      <c r="D849">
        <v>22.6</v>
      </c>
      <c r="E849">
        <v>45.2</v>
      </c>
      <c r="F849" s="1">
        <v>45693</v>
      </c>
      <c r="G849" s="1">
        <v>45695</v>
      </c>
      <c r="H849" t="s">
        <v>27</v>
      </c>
      <c r="I849" t="s">
        <v>35</v>
      </c>
      <c r="J849">
        <v>5</v>
      </c>
      <c r="K849" t="s">
        <v>19</v>
      </c>
      <c r="L849" t="s">
        <v>115</v>
      </c>
      <c r="M849">
        <f>orders[[#This Row],[Ship Date]]-orders[[#This Row],[Order Date]]</f>
        <v>2</v>
      </c>
      <c r="N849">
        <f>WEEKNUM(orders[[#This Row],[Order Date]])</f>
        <v>6</v>
      </c>
      <c r="O849" t="str">
        <f>_xlfn.IFS(orders[[#This Row],[Customer Gender]]="M","Male", orders[[#This Row],[Customer Gender]]="F","Female", orders[[#This Row],[Customer Gender]]="O","Other", TRUE,"Unknown")</f>
        <v>Female</v>
      </c>
    </row>
    <row r="850" spans="1:15">
      <c r="A850" t="s">
        <v>943</v>
      </c>
      <c r="B850" t="s">
        <v>39</v>
      </c>
      <c r="C850">
        <v>2</v>
      </c>
      <c r="D850">
        <v>45.3</v>
      </c>
      <c r="E850">
        <v>90.6</v>
      </c>
      <c r="F850" s="1">
        <v>45693</v>
      </c>
      <c r="G850" s="1">
        <v>45697</v>
      </c>
      <c r="H850" t="s">
        <v>23</v>
      </c>
      <c r="I850" t="s">
        <v>70</v>
      </c>
      <c r="J850">
        <v>5</v>
      </c>
      <c r="K850" t="s">
        <v>19</v>
      </c>
      <c r="L850" t="s">
        <v>115</v>
      </c>
      <c r="M850">
        <f>orders[[#This Row],[Ship Date]]-orders[[#This Row],[Order Date]]</f>
        <v>4</v>
      </c>
      <c r="N850">
        <f>WEEKNUM(orders[[#This Row],[Order Date]])</f>
        <v>6</v>
      </c>
      <c r="O850" t="str">
        <f>_xlfn.IFS(orders[[#This Row],[Customer Gender]]="M","Male", orders[[#This Row],[Customer Gender]]="F","Female", orders[[#This Row],[Customer Gender]]="O","Other", TRUE,"Unknown")</f>
        <v>Male</v>
      </c>
    </row>
    <row r="851" spans="1:15">
      <c r="A851" t="s">
        <v>944</v>
      </c>
      <c r="B851" t="s">
        <v>26</v>
      </c>
      <c r="C851">
        <v>2</v>
      </c>
      <c r="D851">
        <v>115.1</v>
      </c>
      <c r="E851">
        <v>230.2</v>
      </c>
      <c r="F851" s="1">
        <v>45693</v>
      </c>
      <c r="G851" s="1">
        <v>45694</v>
      </c>
      <c r="H851" t="s">
        <v>27</v>
      </c>
      <c r="I851" t="s">
        <v>35</v>
      </c>
      <c r="J851">
        <v>4</v>
      </c>
      <c r="K851" t="s">
        <v>19</v>
      </c>
      <c r="L851" t="s">
        <v>24</v>
      </c>
      <c r="M851">
        <f>orders[[#This Row],[Ship Date]]-orders[[#This Row],[Order Date]]</f>
        <v>1</v>
      </c>
      <c r="N851">
        <f>WEEKNUM(orders[[#This Row],[Order Date]])</f>
        <v>6</v>
      </c>
      <c r="O851" t="str">
        <f>_xlfn.IFS(orders[[#This Row],[Customer Gender]]="M","Male", orders[[#This Row],[Customer Gender]]="F","Female", orders[[#This Row],[Customer Gender]]="O","Other", TRUE,"Unknown")</f>
        <v>Female</v>
      </c>
    </row>
    <row r="852" spans="1:15">
      <c r="A852" t="s">
        <v>945</v>
      </c>
      <c r="B852" t="s">
        <v>146</v>
      </c>
      <c r="C852">
        <v>4</v>
      </c>
      <c r="D852">
        <v>79</v>
      </c>
      <c r="E852">
        <v>316</v>
      </c>
      <c r="F852" s="1">
        <v>45693</v>
      </c>
      <c r="G852" s="1">
        <v>45695</v>
      </c>
      <c r="H852" t="s">
        <v>23</v>
      </c>
      <c r="I852" t="s">
        <v>40</v>
      </c>
      <c r="J852">
        <v>2</v>
      </c>
      <c r="K852" t="s">
        <v>19</v>
      </c>
      <c r="L852" t="s">
        <v>24</v>
      </c>
      <c r="M852">
        <f>orders[[#This Row],[Ship Date]]-orders[[#This Row],[Order Date]]</f>
        <v>2</v>
      </c>
      <c r="N852">
        <f>WEEKNUM(orders[[#This Row],[Order Date]])</f>
        <v>6</v>
      </c>
      <c r="O852" t="str">
        <f>_xlfn.IFS(orders[[#This Row],[Customer Gender]]="M","Male", orders[[#This Row],[Customer Gender]]="F","Female", orders[[#This Row],[Customer Gender]]="O","Other", TRUE,"Unknown")</f>
        <v>Male</v>
      </c>
    </row>
    <row r="853" spans="1:15">
      <c r="A853" t="s">
        <v>946</v>
      </c>
      <c r="B853" t="s">
        <v>39</v>
      </c>
      <c r="C853">
        <v>5</v>
      </c>
      <c r="D853">
        <v>52.8</v>
      </c>
      <c r="E853">
        <v>264</v>
      </c>
      <c r="F853" s="1">
        <v>45693</v>
      </c>
      <c r="G853" s="1">
        <v>45694</v>
      </c>
      <c r="H853" t="s">
        <v>27</v>
      </c>
      <c r="I853" t="s">
        <v>18</v>
      </c>
      <c r="J853">
        <v>4</v>
      </c>
      <c r="K853" t="s">
        <v>19</v>
      </c>
      <c r="L853" t="s">
        <v>437</v>
      </c>
      <c r="M853">
        <f>orders[[#This Row],[Ship Date]]-orders[[#This Row],[Order Date]]</f>
        <v>1</v>
      </c>
      <c r="N853">
        <f>WEEKNUM(orders[[#This Row],[Order Date]])</f>
        <v>6</v>
      </c>
      <c r="O853" t="str">
        <f>_xlfn.IFS(orders[[#This Row],[Customer Gender]]="M","Male", orders[[#This Row],[Customer Gender]]="F","Female", orders[[#This Row],[Customer Gender]]="O","Other", TRUE,"Unknown")</f>
        <v>Female</v>
      </c>
    </row>
    <row r="854" spans="1:15">
      <c r="A854" t="s">
        <v>947</v>
      </c>
      <c r="B854" t="s">
        <v>44</v>
      </c>
      <c r="C854">
        <v>2</v>
      </c>
      <c r="D854">
        <v>34.1</v>
      </c>
      <c r="E854">
        <v>68.2</v>
      </c>
      <c r="F854" s="1">
        <v>45693</v>
      </c>
      <c r="G854" s="1">
        <v>45694</v>
      </c>
      <c r="H854" t="s">
        <v>23</v>
      </c>
      <c r="I854" t="s">
        <v>51</v>
      </c>
      <c r="J854">
        <v>5</v>
      </c>
      <c r="K854" t="s">
        <v>19</v>
      </c>
      <c r="L854" t="s">
        <v>587</v>
      </c>
      <c r="M854">
        <f>orders[[#This Row],[Ship Date]]-orders[[#This Row],[Order Date]]</f>
        <v>1</v>
      </c>
      <c r="N854">
        <f>WEEKNUM(orders[[#This Row],[Order Date]])</f>
        <v>6</v>
      </c>
      <c r="O854" t="str">
        <f>_xlfn.IFS(orders[[#This Row],[Customer Gender]]="M","Male", orders[[#This Row],[Customer Gender]]="F","Female", orders[[#This Row],[Customer Gender]]="O","Other", TRUE,"Unknown")</f>
        <v>Male</v>
      </c>
    </row>
    <row r="855" spans="1:15">
      <c r="A855" t="s">
        <v>948</v>
      </c>
      <c r="B855" t="s">
        <v>39</v>
      </c>
      <c r="C855">
        <v>5</v>
      </c>
      <c r="D855">
        <v>107.9</v>
      </c>
      <c r="E855">
        <v>539.5</v>
      </c>
      <c r="F855" s="1">
        <v>45693</v>
      </c>
      <c r="G855" s="1">
        <v>45693</v>
      </c>
      <c r="H855" t="s">
        <v>27</v>
      </c>
      <c r="I855" t="s">
        <v>18</v>
      </c>
      <c r="J855">
        <v>5</v>
      </c>
      <c r="K855" t="s">
        <v>19</v>
      </c>
      <c r="L855" t="s">
        <v>949</v>
      </c>
      <c r="M855">
        <f>orders[[#This Row],[Ship Date]]-orders[[#This Row],[Order Date]]</f>
        <v>0</v>
      </c>
      <c r="N855">
        <f>WEEKNUM(orders[[#This Row],[Order Date]])</f>
        <v>6</v>
      </c>
      <c r="O855" t="str">
        <f>_xlfn.IFS(orders[[#This Row],[Customer Gender]]="M","Male", orders[[#This Row],[Customer Gender]]="F","Female", orders[[#This Row],[Customer Gender]]="O","Other", TRUE,"Unknown")</f>
        <v>Female</v>
      </c>
    </row>
    <row r="856" spans="1:15">
      <c r="A856" t="s">
        <v>950</v>
      </c>
      <c r="B856" t="s">
        <v>44</v>
      </c>
      <c r="C856">
        <v>13</v>
      </c>
      <c r="D856">
        <v>48.5</v>
      </c>
      <c r="E856">
        <v>630.5</v>
      </c>
      <c r="F856" s="1">
        <v>45693</v>
      </c>
      <c r="G856" s="1">
        <v>45693</v>
      </c>
      <c r="H856" t="s">
        <v>23</v>
      </c>
      <c r="I856" t="s">
        <v>40</v>
      </c>
      <c r="J856">
        <v>5</v>
      </c>
      <c r="K856" t="s">
        <v>19</v>
      </c>
      <c r="L856" t="s">
        <v>33</v>
      </c>
      <c r="M856">
        <f>orders[[#This Row],[Ship Date]]-orders[[#This Row],[Order Date]]</f>
        <v>0</v>
      </c>
      <c r="N856">
        <f>WEEKNUM(orders[[#This Row],[Order Date]])</f>
        <v>6</v>
      </c>
      <c r="O856" t="str">
        <f>_xlfn.IFS(orders[[#This Row],[Customer Gender]]="M","Male", orders[[#This Row],[Customer Gender]]="F","Female", orders[[#This Row],[Customer Gender]]="O","Other", TRUE,"Unknown")</f>
        <v>Male</v>
      </c>
    </row>
    <row r="857" spans="1:15">
      <c r="A857" t="s">
        <v>951</v>
      </c>
      <c r="B857" t="s">
        <v>37</v>
      </c>
      <c r="C857">
        <v>3</v>
      </c>
      <c r="D857">
        <v>34.700000000000003</v>
      </c>
      <c r="E857">
        <v>104.10000000000001</v>
      </c>
      <c r="F857" s="1">
        <v>45693</v>
      </c>
      <c r="G857" s="1">
        <v>45694</v>
      </c>
      <c r="H857" t="s">
        <v>17</v>
      </c>
      <c r="I857" t="s">
        <v>70</v>
      </c>
      <c r="J857">
        <v>3</v>
      </c>
      <c r="K857" t="s">
        <v>19</v>
      </c>
      <c r="L857" t="s">
        <v>33</v>
      </c>
      <c r="M857">
        <f>orders[[#This Row],[Ship Date]]-orders[[#This Row],[Order Date]]</f>
        <v>1</v>
      </c>
      <c r="N857">
        <f>WEEKNUM(orders[[#This Row],[Order Date]])</f>
        <v>6</v>
      </c>
      <c r="O857" t="str">
        <f>_xlfn.IFS(orders[[#This Row],[Customer Gender]]="M","Male", orders[[#This Row],[Customer Gender]]="F","Female", orders[[#This Row],[Customer Gender]]="O","Other", TRUE,"Unknown")</f>
        <v>Unknown</v>
      </c>
    </row>
    <row r="858" spans="1:15">
      <c r="A858" t="s">
        <v>952</v>
      </c>
      <c r="B858" t="s">
        <v>44</v>
      </c>
      <c r="C858">
        <v>1</v>
      </c>
      <c r="D858">
        <v>16.8</v>
      </c>
      <c r="E858">
        <v>16.8</v>
      </c>
      <c r="F858" s="1">
        <v>45693</v>
      </c>
      <c r="G858" s="1">
        <v>45695</v>
      </c>
      <c r="H858" t="s">
        <v>27</v>
      </c>
      <c r="I858" t="s">
        <v>51</v>
      </c>
      <c r="J858">
        <v>4</v>
      </c>
      <c r="K858" t="s">
        <v>19</v>
      </c>
      <c r="L858" t="s">
        <v>33</v>
      </c>
      <c r="M858">
        <f>orders[[#This Row],[Ship Date]]-orders[[#This Row],[Order Date]]</f>
        <v>2</v>
      </c>
      <c r="N858">
        <f>WEEKNUM(orders[[#This Row],[Order Date]])</f>
        <v>6</v>
      </c>
      <c r="O858" t="str">
        <f>_xlfn.IFS(orders[[#This Row],[Customer Gender]]="M","Male", orders[[#This Row],[Customer Gender]]="F","Female", orders[[#This Row],[Customer Gender]]="O","Other", TRUE,"Unknown")</f>
        <v>Female</v>
      </c>
    </row>
    <row r="859" spans="1:15">
      <c r="A859" t="s">
        <v>953</v>
      </c>
      <c r="B859" t="s">
        <v>44</v>
      </c>
      <c r="C859">
        <v>6</v>
      </c>
      <c r="D859">
        <v>18.3</v>
      </c>
      <c r="E859">
        <v>109.80000000000001</v>
      </c>
      <c r="F859" s="1">
        <v>45693</v>
      </c>
      <c r="G859" s="1">
        <v>45696</v>
      </c>
      <c r="H859" t="s">
        <v>27</v>
      </c>
      <c r="I859" t="s">
        <v>18</v>
      </c>
      <c r="J859">
        <v>4</v>
      </c>
      <c r="K859" t="s">
        <v>19</v>
      </c>
      <c r="L859" t="s">
        <v>33</v>
      </c>
      <c r="M859">
        <f>orders[[#This Row],[Ship Date]]-orders[[#This Row],[Order Date]]</f>
        <v>3</v>
      </c>
      <c r="N859">
        <f>WEEKNUM(orders[[#This Row],[Order Date]])</f>
        <v>6</v>
      </c>
      <c r="O859" t="str">
        <f>_xlfn.IFS(orders[[#This Row],[Customer Gender]]="M","Male", orders[[#This Row],[Customer Gender]]="F","Female", orders[[#This Row],[Customer Gender]]="O","Other", TRUE,"Unknown")</f>
        <v>Female</v>
      </c>
    </row>
    <row r="860" spans="1:15">
      <c r="A860" t="s">
        <v>954</v>
      </c>
      <c r="B860" t="s">
        <v>146</v>
      </c>
      <c r="C860">
        <v>3</v>
      </c>
      <c r="D860">
        <v>55.9</v>
      </c>
      <c r="E860">
        <v>167.7</v>
      </c>
      <c r="F860" s="1">
        <v>45693</v>
      </c>
      <c r="G860" s="1">
        <v>45699</v>
      </c>
      <c r="H860" t="s">
        <v>23</v>
      </c>
      <c r="I860" t="s">
        <v>51</v>
      </c>
      <c r="J860">
        <v>3</v>
      </c>
      <c r="K860" t="s">
        <v>19</v>
      </c>
      <c r="L860" t="s">
        <v>33</v>
      </c>
      <c r="M860">
        <f>orders[[#This Row],[Ship Date]]-orders[[#This Row],[Order Date]]</f>
        <v>6</v>
      </c>
      <c r="N860">
        <f>WEEKNUM(orders[[#This Row],[Order Date]])</f>
        <v>6</v>
      </c>
      <c r="O860" t="str">
        <f>_xlfn.IFS(orders[[#This Row],[Customer Gender]]="M","Male", orders[[#This Row],[Customer Gender]]="F","Female", orders[[#This Row],[Customer Gender]]="O","Other", TRUE,"Unknown")</f>
        <v>Male</v>
      </c>
    </row>
    <row r="861" spans="1:15">
      <c r="A861" t="s">
        <v>955</v>
      </c>
      <c r="B861" t="s">
        <v>44</v>
      </c>
      <c r="C861">
        <v>3</v>
      </c>
      <c r="D861">
        <v>39.200000000000003</v>
      </c>
      <c r="E861">
        <v>117.60000000000001</v>
      </c>
      <c r="F861" s="1">
        <v>45693</v>
      </c>
      <c r="G861" s="1">
        <v>45695</v>
      </c>
      <c r="H861" t="s">
        <v>27</v>
      </c>
      <c r="I861" t="s">
        <v>18</v>
      </c>
      <c r="J861">
        <v>3</v>
      </c>
      <c r="K861" t="s">
        <v>19</v>
      </c>
      <c r="L861" t="s">
        <v>33</v>
      </c>
      <c r="M861">
        <f>orders[[#This Row],[Ship Date]]-orders[[#This Row],[Order Date]]</f>
        <v>2</v>
      </c>
      <c r="N861">
        <f>WEEKNUM(orders[[#This Row],[Order Date]])</f>
        <v>6</v>
      </c>
      <c r="O861" t="str">
        <f>_xlfn.IFS(orders[[#This Row],[Customer Gender]]="M","Male", orders[[#This Row],[Customer Gender]]="F","Female", orders[[#This Row],[Customer Gender]]="O","Other", TRUE,"Unknown")</f>
        <v>Female</v>
      </c>
    </row>
    <row r="862" spans="1:15">
      <c r="A862" t="s">
        <v>956</v>
      </c>
      <c r="B862" t="s">
        <v>123</v>
      </c>
      <c r="C862">
        <v>4</v>
      </c>
      <c r="D862">
        <v>66.5</v>
      </c>
      <c r="E862">
        <v>266</v>
      </c>
      <c r="F862" s="1">
        <v>45693</v>
      </c>
      <c r="G862" s="1">
        <v>45695</v>
      </c>
      <c r="H862" t="s">
        <v>17</v>
      </c>
      <c r="I862" t="s">
        <v>51</v>
      </c>
      <c r="J862">
        <v>3</v>
      </c>
      <c r="K862" t="s">
        <v>19</v>
      </c>
      <c r="L862" t="s">
        <v>33</v>
      </c>
      <c r="M862">
        <f>orders[[#This Row],[Ship Date]]-orders[[#This Row],[Order Date]]</f>
        <v>2</v>
      </c>
      <c r="N862">
        <f>WEEKNUM(orders[[#This Row],[Order Date]])</f>
        <v>6</v>
      </c>
      <c r="O862" t="str">
        <f>_xlfn.IFS(orders[[#This Row],[Customer Gender]]="M","Male", orders[[#This Row],[Customer Gender]]="F","Female", orders[[#This Row],[Customer Gender]]="O","Other", TRUE,"Unknown")</f>
        <v>Unknown</v>
      </c>
    </row>
    <row r="863" spans="1:15">
      <c r="A863" t="s">
        <v>957</v>
      </c>
      <c r="B863" t="s">
        <v>39</v>
      </c>
      <c r="C863">
        <v>6</v>
      </c>
      <c r="D863">
        <v>52.1</v>
      </c>
      <c r="E863">
        <v>312.60000000000002</v>
      </c>
      <c r="F863" s="1">
        <v>45693</v>
      </c>
      <c r="G863" s="1">
        <v>45695</v>
      </c>
      <c r="H863" t="s">
        <v>23</v>
      </c>
      <c r="I863" t="s">
        <v>35</v>
      </c>
      <c r="J863">
        <v>3</v>
      </c>
      <c r="K863" t="s">
        <v>19</v>
      </c>
      <c r="L863" t="s">
        <v>98</v>
      </c>
      <c r="M863">
        <f>orders[[#This Row],[Ship Date]]-orders[[#This Row],[Order Date]]</f>
        <v>2</v>
      </c>
      <c r="N863">
        <f>WEEKNUM(orders[[#This Row],[Order Date]])</f>
        <v>6</v>
      </c>
      <c r="O863" t="str">
        <f>_xlfn.IFS(orders[[#This Row],[Customer Gender]]="M","Male", orders[[#This Row],[Customer Gender]]="F","Female", orders[[#This Row],[Customer Gender]]="O","Other", TRUE,"Unknown")</f>
        <v>Male</v>
      </c>
    </row>
    <row r="864" spans="1:15">
      <c r="A864" t="s">
        <v>958</v>
      </c>
      <c r="B864" t="s">
        <v>44</v>
      </c>
      <c r="C864">
        <v>2</v>
      </c>
      <c r="D864">
        <v>19</v>
      </c>
      <c r="E864">
        <v>38</v>
      </c>
      <c r="F864" s="1">
        <v>45693</v>
      </c>
      <c r="G864" s="1">
        <v>45694</v>
      </c>
      <c r="H864" t="s">
        <v>23</v>
      </c>
      <c r="I864" t="s">
        <v>70</v>
      </c>
      <c r="J864">
        <v>5</v>
      </c>
      <c r="K864" t="s">
        <v>19</v>
      </c>
      <c r="L864" t="s">
        <v>55</v>
      </c>
      <c r="M864">
        <f>orders[[#This Row],[Ship Date]]-orders[[#This Row],[Order Date]]</f>
        <v>1</v>
      </c>
      <c r="N864">
        <f>WEEKNUM(orders[[#This Row],[Order Date]])</f>
        <v>6</v>
      </c>
      <c r="O864" t="str">
        <f>_xlfn.IFS(orders[[#This Row],[Customer Gender]]="M","Male", orders[[#This Row],[Customer Gender]]="F","Female", orders[[#This Row],[Customer Gender]]="O","Other", TRUE,"Unknown")</f>
        <v>Male</v>
      </c>
    </row>
    <row r="865" spans="1:15">
      <c r="A865" t="s">
        <v>959</v>
      </c>
      <c r="B865" t="s">
        <v>42</v>
      </c>
      <c r="C865">
        <v>3</v>
      </c>
      <c r="D865">
        <v>84.8</v>
      </c>
      <c r="E865">
        <v>254.39999999999998</v>
      </c>
      <c r="F865" s="1">
        <v>45693</v>
      </c>
      <c r="G865" s="1">
        <v>45695</v>
      </c>
      <c r="H865" t="s">
        <v>27</v>
      </c>
      <c r="I865" t="s">
        <v>40</v>
      </c>
      <c r="J865">
        <v>4</v>
      </c>
      <c r="K865" t="s">
        <v>19</v>
      </c>
      <c r="L865" t="s">
        <v>62</v>
      </c>
      <c r="M865">
        <f>orders[[#This Row],[Ship Date]]-orders[[#This Row],[Order Date]]</f>
        <v>2</v>
      </c>
      <c r="N865">
        <f>WEEKNUM(orders[[#This Row],[Order Date]])</f>
        <v>6</v>
      </c>
      <c r="O865" t="str">
        <f>_xlfn.IFS(orders[[#This Row],[Customer Gender]]="M","Male", orders[[#This Row],[Customer Gender]]="F","Female", orders[[#This Row],[Customer Gender]]="O","Other", TRUE,"Unknown")</f>
        <v>Female</v>
      </c>
    </row>
    <row r="866" spans="1:15">
      <c r="A866" t="s">
        <v>960</v>
      </c>
      <c r="B866" t="s">
        <v>26</v>
      </c>
      <c r="C866">
        <v>4</v>
      </c>
      <c r="D866">
        <v>63.9</v>
      </c>
      <c r="E866">
        <v>255.6</v>
      </c>
      <c r="F866" s="1">
        <v>45693</v>
      </c>
      <c r="G866" s="1">
        <v>45696</v>
      </c>
      <c r="H866" t="s">
        <v>27</v>
      </c>
      <c r="I866" t="s">
        <v>18</v>
      </c>
      <c r="J866">
        <v>4</v>
      </c>
      <c r="K866" t="s">
        <v>19</v>
      </c>
      <c r="L866" t="s">
        <v>62</v>
      </c>
      <c r="M866">
        <f>orders[[#This Row],[Ship Date]]-orders[[#This Row],[Order Date]]</f>
        <v>3</v>
      </c>
      <c r="N866">
        <f>WEEKNUM(orders[[#This Row],[Order Date]])</f>
        <v>6</v>
      </c>
      <c r="O866" t="str">
        <f>_xlfn.IFS(orders[[#This Row],[Customer Gender]]="M","Male", orders[[#This Row],[Customer Gender]]="F","Female", orders[[#This Row],[Customer Gender]]="O","Other", TRUE,"Unknown")</f>
        <v>Female</v>
      </c>
    </row>
    <row r="867" spans="1:15">
      <c r="A867" t="s">
        <v>961</v>
      </c>
      <c r="B867" t="s">
        <v>26</v>
      </c>
      <c r="C867">
        <v>3</v>
      </c>
      <c r="D867">
        <v>65.5</v>
      </c>
      <c r="E867">
        <v>196.5</v>
      </c>
      <c r="F867" s="1">
        <v>45693</v>
      </c>
      <c r="G867" s="1">
        <v>45693</v>
      </c>
      <c r="H867" t="s">
        <v>27</v>
      </c>
      <c r="I867" t="s">
        <v>35</v>
      </c>
      <c r="J867">
        <v>3</v>
      </c>
      <c r="K867" t="s">
        <v>19</v>
      </c>
      <c r="L867" t="s">
        <v>62</v>
      </c>
      <c r="M867">
        <f>orders[[#This Row],[Ship Date]]-orders[[#This Row],[Order Date]]</f>
        <v>0</v>
      </c>
      <c r="N867">
        <f>WEEKNUM(orders[[#This Row],[Order Date]])</f>
        <v>6</v>
      </c>
      <c r="O867" t="str">
        <f>_xlfn.IFS(orders[[#This Row],[Customer Gender]]="M","Male", orders[[#This Row],[Customer Gender]]="F","Female", orders[[#This Row],[Customer Gender]]="O","Other", TRUE,"Unknown")</f>
        <v>Female</v>
      </c>
    </row>
    <row r="868" spans="1:15">
      <c r="A868" t="s">
        <v>962</v>
      </c>
      <c r="B868" t="s">
        <v>69</v>
      </c>
      <c r="C868">
        <v>2</v>
      </c>
      <c r="D868">
        <v>116.2</v>
      </c>
      <c r="E868">
        <v>232.4</v>
      </c>
      <c r="F868" s="1">
        <v>45693</v>
      </c>
      <c r="G868" s="1">
        <v>45699</v>
      </c>
      <c r="H868" t="s">
        <v>23</v>
      </c>
      <c r="I868" t="s">
        <v>51</v>
      </c>
      <c r="J868">
        <v>4</v>
      </c>
      <c r="K868" t="s">
        <v>19</v>
      </c>
      <c r="L868" t="s">
        <v>103</v>
      </c>
      <c r="M868">
        <f>orders[[#This Row],[Ship Date]]-orders[[#This Row],[Order Date]]</f>
        <v>6</v>
      </c>
      <c r="N868">
        <f>WEEKNUM(orders[[#This Row],[Order Date]])</f>
        <v>6</v>
      </c>
      <c r="O868" t="str">
        <f>_xlfn.IFS(orders[[#This Row],[Customer Gender]]="M","Male", orders[[#This Row],[Customer Gender]]="F","Female", orders[[#This Row],[Customer Gender]]="O","Other", TRUE,"Unknown")</f>
        <v>Male</v>
      </c>
    </row>
    <row r="869" spans="1:15">
      <c r="A869" t="s">
        <v>963</v>
      </c>
      <c r="B869" t="s">
        <v>54</v>
      </c>
      <c r="C869">
        <v>4</v>
      </c>
      <c r="D869">
        <v>22.9</v>
      </c>
      <c r="E869">
        <v>91.6</v>
      </c>
      <c r="F869" s="1">
        <v>45693</v>
      </c>
      <c r="G869" s="1">
        <v>45695</v>
      </c>
      <c r="H869" t="s">
        <v>27</v>
      </c>
      <c r="I869" t="s">
        <v>40</v>
      </c>
      <c r="J869">
        <v>3</v>
      </c>
      <c r="K869" t="s">
        <v>19</v>
      </c>
      <c r="L869" t="s">
        <v>377</v>
      </c>
      <c r="M869">
        <f>orders[[#This Row],[Ship Date]]-orders[[#This Row],[Order Date]]</f>
        <v>2</v>
      </c>
      <c r="N869">
        <f>WEEKNUM(orders[[#This Row],[Order Date]])</f>
        <v>6</v>
      </c>
      <c r="O869" t="str">
        <f>_xlfn.IFS(orders[[#This Row],[Customer Gender]]="M","Male", orders[[#This Row],[Customer Gender]]="F","Female", orders[[#This Row],[Customer Gender]]="O","Other", TRUE,"Unknown")</f>
        <v>Female</v>
      </c>
    </row>
    <row r="870" spans="1:15">
      <c r="A870" t="s">
        <v>964</v>
      </c>
      <c r="B870" t="s">
        <v>54</v>
      </c>
      <c r="C870">
        <v>3</v>
      </c>
      <c r="D870">
        <v>53.7</v>
      </c>
      <c r="E870">
        <v>161.10000000000002</v>
      </c>
      <c r="F870" s="1">
        <v>45693</v>
      </c>
      <c r="G870" s="1">
        <v>45694</v>
      </c>
      <c r="H870" t="s">
        <v>23</v>
      </c>
      <c r="I870" t="s">
        <v>18</v>
      </c>
      <c r="J870">
        <v>2</v>
      </c>
      <c r="K870" t="s">
        <v>19</v>
      </c>
      <c r="L870" t="s">
        <v>108</v>
      </c>
      <c r="M870">
        <f>orders[[#This Row],[Ship Date]]-orders[[#This Row],[Order Date]]</f>
        <v>1</v>
      </c>
      <c r="N870">
        <f>WEEKNUM(orders[[#This Row],[Order Date]])</f>
        <v>6</v>
      </c>
      <c r="O870" t="str">
        <f>_xlfn.IFS(orders[[#This Row],[Customer Gender]]="M","Male", orders[[#This Row],[Customer Gender]]="F","Female", orders[[#This Row],[Customer Gender]]="O","Other", TRUE,"Unknown")</f>
        <v>Male</v>
      </c>
    </row>
    <row r="871" spans="1:15">
      <c r="A871" t="s">
        <v>965</v>
      </c>
      <c r="B871" t="s">
        <v>39</v>
      </c>
      <c r="C871">
        <v>5</v>
      </c>
      <c r="D871">
        <v>43.2</v>
      </c>
      <c r="E871">
        <v>216</v>
      </c>
      <c r="F871" s="1">
        <v>45693</v>
      </c>
      <c r="G871" s="1">
        <v>45695</v>
      </c>
      <c r="H871" t="s">
        <v>27</v>
      </c>
      <c r="I871" t="s">
        <v>18</v>
      </c>
      <c r="J871">
        <v>4</v>
      </c>
      <c r="K871" t="s">
        <v>19</v>
      </c>
      <c r="L871" t="s">
        <v>110</v>
      </c>
      <c r="M871">
        <f>orders[[#This Row],[Ship Date]]-orders[[#This Row],[Order Date]]</f>
        <v>2</v>
      </c>
      <c r="N871">
        <f>WEEKNUM(orders[[#This Row],[Order Date]])</f>
        <v>6</v>
      </c>
      <c r="O871" t="str">
        <f>_xlfn.IFS(orders[[#This Row],[Customer Gender]]="M","Male", orders[[#This Row],[Customer Gender]]="F","Female", orders[[#This Row],[Customer Gender]]="O","Other", TRUE,"Unknown")</f>
        <v>Female</v>
      </c>
    </row>
    <row r="872" spans="1:15">
      <c r="A872" t="s">
        <v>966</v>
      </c>
      <c r="B872" t="s">
        <v>22</v>
      </c>
      <c r="C872">
        <v>3</v>
      </c>
      <c r="D872">
        <v>84.5</v>
      </c>
      <c r="E872">
        <v>253.5</v>
      </c>
      <c r="F872" s="1">
        <v>45693</v>
      </c>
      <c r="G872" s="1">
        <v>45695</v>
      </c>
      <c r="H872" t="s">
        <v>23</v>
      </c>
      <c r="I872" t="s">
        <v>40</v>
      </c>
      <c r="J872">
        <v>5</v>
      </c>
      <c r="K872" t="s">
        <v>19</v>
      </c>
      <c r="L872" t="s">
        <v>967</v>
      </c>
      <c r="M872">
        <f>orders[[#This Row],[Ship Date]]-orders[[#This Row],[Order Date]]</f>
        <v>2</v>
      </c>
      <c r="N872">
        <f>WEEKNUM(orders[[#This Row],[Order Date]])</f>
        <v>6</v>
      </c>
      <c r="O872" t="str">
        <f>_xlfn.IFS(orders[[#This Row],[Customer Gender]]="M","Male", orders[[#This Row],[Customer Gender]]="F","Female", orders[[#This Row],[Customer Gender]]="O","Other", TRUE,"Unknown")</f>
        <v>Male</v>
      </c>
    </row>
    <row r="873" spans="1:15">
      <c r="A873" t="s">
        <v>968</v>
      </c>
      <c r="B873" t="s">
        <v>30</v>
      </c>
      <c r="C873">
        <v>2</v>
      </c>
      <c r="D873">
        <v>42.2</v>
      </c>
      <c r="E873">
        <v>84.4</v>
      </c>
      <c r="F873" s="1">
        <v>45693</v>
      </c>
      <c r="G873" s="1">
        <v>45694</v>
      </c>
      <c r="H873" t="s">
        <v>27</v>
      </c>
      <c r="I873" t="s">
        <v>35</v>
      </c>
      <c r="J873">
        <v>5</v>
      </c>
      <c r="K873" t="s">
        <v>19</v>
      </c>
      <c r="L873" t="s">
        <v>24</v>
      </c>
      <c r="M873">
        <f>orders[[#This Row],[Ship Date]]-orders[[#This Row],[Order Date]]</f>
        <v>1</v>
      </c>
      <c r="N873">
        <f>WEEKNUM(orders[[#This Row],[Order Date]])</f>
        <v>6</v>
      </c>
      <c r="O873" t="str">
        <f>_xlfn.IFS(orders[[#This Row],[Customer Gender]]="M","Male", orders[[#This Row],[Customer Gender]]="F","Female", orders[[#This Row],[Customer Gender]]="O","Other", TRUE,"Unknown")</f>
        <v>Female</v>
      </c>
    </row>
    <row r="874" spans="1:15">
      <c r="A874" t="s">
        <v>969</v>
      </c>
      <c r="B874" t="s">
        <v>26</v>
      </c>
      <c r="C874">
        <v>6</v>
      </c>
      <c r="D874">
        <v>94.7</v>
      </c>
      <c r="E874">
        <v>568.20000000000005</v>
      </c>
      <c r="F874" s="1">
        <v>45693</v>
      </c>
      <c r="G874" s="1">
        <v>45696</v>
      </c>
      <c r="H874" t="s">
        <v>27</v>
      </c>
      <c r="I874" t="s">
        <v>35</v>
      </c>
      <c r="J874">
        <v>5</v>
      </c>
      <c r="K874" t="s">
        <v>19</v>
      </c>
      <c r="L874" t="s">
        <v>28</v>
      </c>
      <c r="M874">
        <f>orders[[#This Row],[Ship Date]]-orders[[#This Row],[Order Date]]</f>
        <v>3</v>
      </c>
      <c r="N874">
        <f>WEEKNUM(orders[[#This Row],[Order Date]])</f>
        <v>6</v>
      </c>
      <c r="O874" t="str">
        <f>_xlfn.IFS(orders[[#This Row],[Customer Gender]]="M","Male", orders[[#This Row],[Customer Gender]]="F","Female", orders[[#This Row],[Customer Gender]]="O","Other", TRUE,"Unknown")</f>
        <v>Female</v>
      </c>
    </row>
    <row r="875" spans="1:15">
      <c r="A875" t="s">
        <v>970</v>
      </c>
      <c r="B875" t="s">
        <v>44</v>
      </c>
      <c r="C875">
        <v>18</v>
      </c>
      <c r="D875">
        <v>16.7</v>
      </c>
      <c r="E875">
        <v>300.59999999999997</v>
      </c>
      <c r="F875" s="1">
        <v>45693</v>
      </c>
      <c r="G875" s="1">
        <v>45705</v>
      </c>
      <c r="H875" t="s">
        <v>27</v>
      </c>
      <c r="I875" t="s">
        <v>18</v>
      </c>
      <c r="J875">
        <v>5</v>
      </c>
      <c r="K875" t="s">
        <v>19</v>
      </c>
      <c r="L875" t="s">
        <v>28</v>
      </c>
      <c r="M875">
        <f>orders[[#This Row],[Ship Date]]-orders[[#This Row],[Order Date]]</f>
        <v>12</v>
      </c>
      <c r="N875">
        <f>WEEKNUM(orders[[#This Row],[Order Date]])</f>
        <v>6</v>
      </c>
      <c r="O875" t="str">
        <f>_xlfn.IFS(orders[[#This Row],[Customer Gender]]="M","Male", orders[[#This Row],[Customer Gender]]="F","Female", orders[[#This Row],[Customer Gender]]="O","Other", TRUE,"Unknown")</f>
        <v>Female</v>
      </c>
    </row>
    <row r="876" spans="1:15">
      <c r="A876" t="s">
        <v>971</v>
      </c>
      <c r="B876" t="s">
        <v>26</v>
      </c>
      <c r="C876">
        <v>2</v>
      </c>
      <c r="D876">
        <v>83.6</v>
      </c>
      <c r="E876">
        <v>167.2</v>
      </c>
      <c r="F876" s="1">
        <v>45693</v>
      </c>
      <c r="G876" s="1">
        <v>45699</v>
      </c>
      <c r="H876" t="s">
        <v>27</v>
      </c>
      <c r="I876" t="s">
        <v>35</v>
      </c>
      <c r="J876">
        <v>4</v>
      </c>
      <c r="K876" t="s">
        <v>19</v>
      </c>
      <c r="L876" t="s">
        <v>33</v>
      </c>
      <c r="M876">
        <f>orders[[#This Row],[Ship Date]]-orders[[#This Row],[Order Date]]</f>
        <v>6</v>
      </c>
      <c r="N876">
        <f>WEEKNUM(orders[[#This Row],[Order Date]])</f>
        <v>6</v>
      </c>
      <c r="O876" t="str">
        <f>_xlfn.IFS(orders[[#This Row],[Customer Gender]]="M","Male", orders[[#This Row],[Customer Gender]]="F","Female", orders[[#This Row],[Customer Gender]]="O","Other", TRUE,"Unknown")</f>
        <v>Female</v>
      </c>
    </row>
    <row r="877" spans="1:15">
      <c r="A877" t="s">
        <v>972</v>
      </c>
      <c r="B877" t="s">
        <v>42</v>
      </c>
      <c r="C877">
        <v>6</v>
      </c>
      <c r="D877">
        <v>33.6</v>
      </c>
      <c r="E877">
        <v>201.60000000000002</v>
      </c>
      <c r="F877" s="1">
        <v>45694</v>
      </c>
      <c r="G877" s="1">
        <v>45695</v>
      </c>
      <c r="H877" t="s">
        <v>27</v>
      </c>
      <c r="I877" t="s">
        <v>51</v>
      </c>
      <c r="J877">
        <v>4</v>
      </c>
      <c r="K877" t="s">
        <v>19</v>
      </c>
      <c r="L877" t="s">
        <v>33</v>
      </c>
      <c r="M877">
        <f>orders[[#This Row],[Ship Date]]-orders[[#This Row],[Order Date]]</f>
        <v>1</v>
      </c>
      <c r="N877">
        <f>WEEKNUM(orders[[#This Row],[Order Date]])</f>
        <v>6</v>
      </c>
      <c r="O877" t="str">
        <f>_xlfn.IFS(orders[[#This Row],[Customer Gender]]="M","Male", orders[[#This Row],[Customer Gender]]="F","Female", orders[[#This Row],[Customer Gender]]="O","Other", TRUE,"Unknown")</f>
        <v>Female</v>
      </c>
    </row>
    <row r="878" spans="1:15">
      <c r="A878" t="s">
        <v>973</v>
      </c>
      <c r="B878" t="s">
        <v>42</v>
      </c>
      <c r="C878">
        <v>2</v>
      </c>
      <c r="D878">
        <v>64.7</v>
      </c>
      <c r="E878">
        <v>129.4</v>
      </c>
      <c r="F878" s="1">
        <v>45694</v>
      </c>
      <c r="G878" s="1">
        <v>45696</v>
      </c>
      <c r="H878" t="s">
        <v>23</v>
      </c>
      <c r="I878" t="s">
        <v>35</v>
      </c>
      <c r="J878">
        <v>5</v>
      </c>
      <c r="K878" t="s">
        <v>19</v>
      </c>
      <c r="L878" t="s">
        <v>33</v>
      </c>
      <c r="M878">
        <f>orders[[#This Row],[Ship Date]]-orders[[#This Row],[Order Date]]</f>
        <v>2</v>
      </c>
      <c r="N878">
        <f>WEEKNUM(orders[[#This Row],[Order Date]])</f>
        <v>6</v>
      </c>
      <c r="O878" t="str">
        <f>_xlfn.IFS(orders[[#This Row],[Customer Gender]]="M","Male", orders[[#This Row],[Customer Gender]]="F","Female", orders[[#This Row],[Customer Gender]]="O","Other", TRUE,"Unknown")</f>
        <v>Male</v>
      </c>
    </row>
    <row r="879" spans="1:15">
      <c r="A879" t="s">
        <v>974</v>
      </c>
      <c r="B879" t="s">
        <v>16</v>
      </c>
      <c r="C879">
        <v>3</v>
      </c>
      <c r="D879">
        <v>15.7</v>
      </c>
      <c r="E879">
        <v>47.099999999999994</v>
      </c>
      <c r="F879" s="1">
        <v>45694</v>
      </c>
      <c r="G879" s="1">
        <v>45700</v>
      </c>
      <c r="H879" t="s">
        <v>27</v>
      </c>
      <c r="I879" t="s">
        <v>18</v>
      </c>
      <c r="J879">
        <v>4</v>
      </c>
      <c r="K879" t="s">
        <v>19</v>
      </c>
      <c r="L879" t="s">
        <v>33</v>
      </c>
      <c r="M879">
        <f>orders[[#This Row],[Ship Date]]-orders[[#This Row],[Order Date]]</f>
        <v>6</v>
      </c>
      <c r="N879">
        <f>WEEKNUM(orders[[#This Row],[Order Date]])</f>
        <v>6</v>
      </c>
      <c r="O879" t="str">
        <f>_xlfn.IFS(orders[[#This Row],[Customer Gender]]="M","Male", orders[[#This Row],[Customer Gender]]="F","Female", orders[[#This Row],[Customer Gender]]="O","Other", TRUE,"Unknown")</f>
        <v>Female</v>
      </c>
    </row>
    <row r="880" spans="1:15">
      <c r="A880" t="s">
        <v>975</v>
      </c>
      <c r="B880" t="s">
        <v>123</v>
      </c>
      <c r="C880">
        <v>6</v>
      </c>
      <c r="D880">
        <v>49.4</v>
      </c>
      <c r="E880">
        <v>296.39999999999998</v>
      </c>
      <c r="F880" s="1">
        <v>45694</v>
      </c>
      <c r="G880" s="1">
        <v>45694</v>
      </c>
      <c r="H880" t="s">
        <v>23</v>
      </c>
      <c r="I880" t="s">
        <v>35</v>
      </c>
      <c r="J880">
        <v>4</v>
      </c>
      <c r="K880" t="s">
        <v>19</v>
      </c>
      <c r="L880" t="s">
        <v>33</v>
      </c>
      <c r="M880">
        <f>orders[[#This Row],[Ship Date]]-orders[[#This Row],[Order Date]]</f>
        <v>0</v>
      </c>
      <c r="N880">
        <f>WEEKNUM(orders[[#This Row],[Order Date]])</f>
        <v>6</v>
      </c>
      <c r="O880" t="str">
        <f>_xlfn.IFS(orders[[#This Row],[Customer Gender]]="M","Male", orders[[#This Row],[Customer Gender]]="F","Female", orders[[#This Row],[Customer Gender]]="O","Other", TRUE,"Unknown")</f>
        <v>Male</v>
      </c>
    </row>
    <row r="881" spans="1:15">
      <c r="A881" t="s">
        <v>976</v>
      </c>
      <c r="B881" t="s">
        <v>54</v>
      </c>
      <c r="C881">
        <v>6</v>
      </c>
      <c r="D881">
        <v>37</v>
      </c>
      <c r="E881">
        <v>222</v>
      </c>
      <c r="F881" s="1">
        <v>45694</v>
      </c>
      <c r="G881" s="1">
        <v>45697</v>
      </c>
      <c r="H881" t="s">
        <v>27</v>
      </c>
      <c r="I881" t="s">
        <v>35</v>
      </c>
      <c r="J881">
        <v>5</v>
      </c>
      <c r="K881" t="s">
        <v>19</v>
      </c>
      <c r="L881" t="s">
        <v>33</v>
      </c>
      <c r="M881">
        <f>orders[[#This Row],[Ship Date]]-orders[[#This Row],[Order Date]]</f>
        <v>3</v>
      </c>
      <c r="N881">
        <f>WEEKNUM(orders[[#This Row],[Order Date]])</f>
        <v>6</v>
      </c>
      <c r="O881" t="str">
        <f>_xlfn.IFS(orders[[#This Row],[Customer Gender]]="M","Male", orders[[#This Row],[Customer Gender]]="F","Female", orders[[#This Row],[Customer Gender]]="O","Other", TRUE,"Unknown")</f>
        <v>Female</v>
      </c>
    </row>
    <row r="882" spans="1:15">
      <c r="A882" t="s">
        <v>977</v>
      </c>
      <c r="B882" t="s">
        <v>26</v>
      </c>
      <c r="C882">
        <v>2</v>
      </c>
      <c r="D882">
        <v>83.7</v>
      </c>
      <c r="E882">
        <v>167.4</v>
      </c>
      <c r="F882" s="1">
        <v>45694</v>
      </c>
      <c r="G882" s="1">
        <v>45696</v>
      </c>
      <c r="H882" t="s">
        <v>27</v>
      </c>
      <c r="I882" t="s">
        <v>51</v>
      </c>
      <c r="J882">
        <v>5</v>
      </c>
      <c r="K882" t="s">
        <v>19</v>
      </c>
      <c r="L882" t="s">
        <v>33</v>
      </c>
      <c r="M882">
        <f>orders[[#This Row],[Ship Date]]-orders[[#This Row],[Order Date]]</f>
        <v>2</v>
      </c>
      <c r="N882">
        <f>WEEKNUM(orders[[#This Row],[Order Date]])</f>
        <v>6</v>
      </c>
      <c r="O882" t="str">
        <f>_xlfn.IFS(orders[[#This Row],[Customer Gender]]="M","Male", orders[[#This Row],[Customer Gender]]="F","Female", orders[[#This Row],[Customer Gender]]="O","Other", TRUE,"Unknown")</f>
        <v>Female</v>
      </c>
    </row>
    <row r="883" spans="1:15">
      <c r="A883" t="s">
        <v>978</v>
      </c>
      <c r="B883" t="s">
        <v>22</v>
      </c>
      <c r="C883">
        <v>5</v>
      </c>
      <c r="D883">
        <v>35.1</v>
      </c>
      <c r="E883">
        <v>175.5</v>
      </c>
      <c r="F883" s="1">
        <v>45694</v>
      </c>
      <c r="G883" s="1">
        <v>45695</v>
      </c>
      <c r="H883" t="s">
        <v>27</v>
      </c>
      <c r="I883" t="s">
        <v>18</v>
      </c>
      <c r="J883">
        <v>4</v>
      </c>
      <c r="K883" t="s">
        <v>19</v>
      </c>
      <c r="L883" t="s">
        <v>33</v>
      </c>
      <c r="M883">
        <f>orders[[#This Row],[Ship Date]]-orders[[#This Row],[Order Date]]</f>
        <v>1</v>
      </c>
      <c r="N883">
        <f>WEEKNUM(orders[[#This Row],[Order Date]])</f>
        <v>6</v>
      </c>
      <c r="O883" t="str">
        <f>_xlfn.IFS(orders[[#This Row],[Customer Gender]]="M","Male", orders[[#This Row],[Customer Gender]]="F","Female", orders[[#This Row],[Customer Gender]]="O","Other", TRUE,"Unknown")</f>
        <v>Female</v>
      </c>
    </row>
    <row r="884" spans="1:15">
      <c r="A884" t="s">
        <v>979</v>
      </c>
      <c r="B884" t="s">
        <v>128</v>
      </c>
      <c r="C884">
        <v>8</v>
      </c>
      <c r="D884">
        <v>74</v>
      </c>
      <c r="E884">
        <v>592</v>
      </c>
      <c r="F884" s="1">
        <v>45694</v>
      </c>
      <c r="G884" s="1">
        <v>45695</v>
      </c>
      <c r="H884" t="s">
        <v>27</v>
      </c>
      <c r="I884" t="s">
        <v>70</v>
      </c>
      <c r="J884">
        <v>4</v>
      </c>
      <c r="K884" t="s">
        <v>19</v>
      </c>
      <c r="L884" t="s">
        <v>364</v>
      </c>
      <c r="M884">
        <f>orders[[#This Row],[Ship Date]]-orders[[#This Row],[Order Date]]</f>
        <v>1</v>
      </c>
      <c r="N884">
        <f>WEEKNUM(orders[[#This Row],[Order Date]])</f>
        <v>6</v>
      </c>
      <c r="O884" t="str">
        <f>_xlfn.IFS(orders[[#This Row],[Customer Gender]]="M","Male", orders[[#This Row],[Customer Gender]]="F","Female", orders[[#This Row],[Customer Gender]]="O","Other", TRUE,"Unknown")</f>
        <v>Female</v>
      </c>
    </row>
    <row r="885" spans="1:15">
      <c r="A885" t="s">
        <v>980</v>
      </c>
      <c r="B885" t="s">
        <v>39</v>
      </c>
      <c r="C885">
        <v>24</v>
      </c>
      <c r="D885">
        <v>55.5</v>
      </c>
      <c r="E885">
        <v>1332</v>
      </c>
      <c r="F885" s="1">
        <v>45694</v>
      </c>
      <c r="G885" s="1">
        <v>45697</v>
      </c>
      <c r="H885" t="s">
        <v>23</v>
      </c>
      <c r="I885" t="s">
        <v>51</v>
      </c>
      <c r="J885">
        <v>4</v>
      </c>
      <c r="K885" t="s">
        <v>19</v>
      </c>
      <c r="L885" t="s">
        <v>802</v>
      </c>
      <c r="M885">
        <f>orders[[#This Row],[Ship Date]]-orders[[#This Row],[Order Date]]</f>
        <v>3</v>
      </c>
      <c r="N885">
        <f>WEEKNUM(orders[[#This Row],[Order Date]])</f>
        <v>6</v>
      </c>
      <c r="O885" t="str">
        <f>_xlfn.IFS(orders[[#This Row],[Customer Gender]]="M","Male", orders[[#This Row],[Customer Gender]]="F","Female", orders[[#This Row],[Customer Gender]]="O","Other", TRUE,"Unknown")</f>
        <v>Male</v>
      </c>
    </row>
    <row r="886" spans="1:15">
      <c r="A886" t="s">
        <v>981</v>
      </c>
      <c r="B886" t="s">
        <v>67</v>
      </c>
      <c r="C886">
        <v>2</v>
      </c>
      <c r="D886">
        <v>38.9</v>
      </c>
      <c r="E886">
        <v>77.8</v>
      </c>
      <c r="F886" s="1">
        <v>45694</v>
      </c>
      <c r="G886" s="1">
        <v>45696</v>
      </c>
      <c r="H886" t="s">
        <v>27</v>
      </c>
      <c r="I886" t="s">
        <v>35</v>
      </c>
      <c r="J886">
        <v>5</v>
      </c>
      <c r="K886" t="s">
        <v>19</v>
      </c>
      <c r="L886" t="s">
        <v>188</v>
      </c>
      <c r="M886">
        <f>orders[[#This Row],[Ship Date]]-orders[[#This Row],[Order Date]]</f>
        <v>2</v>
      </c>
      <c r="N886">
        <f>WEEKNUM(orders[[#This Row],[Order Date]])</f>
        <v>6</v>
      </c>
      <c r="O886" t="str">
        <f>_xlfn.IFS(orders[[#This Row],[Customer Gender]]="M","Male", orders[[#This Row],[Customer Gender]]="F","Female", orders[[#This Row],[Customer Gender]]="O","Other", TRUE,"Unknown")</f>
        <v>Female</v>
      </c>
    </row>
    <row r="887" spans="1:15">
      <c r="A887" t="s">
        <v>982</v>
      </c>
      <c r="B887" t="s">
        <v>128</v>
      </c>
      <c r="C887">
        <v>2</v>
      </c>
      <c r="D887">
        <v>64.599999999999994</v>
      </c>
      <c r="E887">
        <v>129.19999999999999</v>
      </c>
      <c r="F887" s="1">
        <v>45694</v>
      </c>
      <c r="G887" s="1">
        <v>45701</v>
      </c>
      <c r="H887" t="s">
        <v>23</v>
      </c>
      <c r="I887" t="s">
        <v>40</v>
      </c>
      <c r="J887">
        <v>3</v>
      </c>
      <c r="K887" t="s">
        <v>19</v>
      </c>
      <c r="L887" t="s">
        <v>188</v>
      </c>
      <c r="M887">
        <f>orders[[#This Row],[Ship Date]]-orders[[#This Row],[Order Date]]</f>
        <v>7</v>
      </c>
      <c r="N887">
        <f>WEEKNUM(orders[[#This Row],[Order Date]])</f>
        <v>6</v>
      </c>
      <c r="O887" t="str">
        <f>_xlfn.IFS(orders[[#This Row],[Customer Gender]]="M","Male", orders[[#This Row],[Customer Gender]]="F","Female", orders[[#This Row],[Customer Gender]]="O","Other", TRUE,"Unknown")</f>
        <v>Male</v>
      </c>
    </row>
    <row r="888" spans="1:15">
      <c r="A888" t="s">
        <v>983</v>
      </c>
      <c r="B888" t="s">
        <v>26</v>
      </c>
      <c r="C888">
        <v>3</v>
      </c>
      <c r="D888">
        <v>95.3</v>
      </c>
      <c r="E888">
        <v>285.89999999999998</v>
      </c>
      <c r="F888" s="1">
        <v>45694</v>
      </c>
      <c r="G888" s="1">
        <v>45695</v>
      </c>
      <c r="H888" t="s">
        <v>23</v>
      </c>
      <c r="I888" t="s">
        <v>18</v>
      </c>
      <c r="J888">
        <v>4</v>
      </c>
      <c r="K888" t="s">
        <v>19</v>
      </c>
      <c r="L888" t="s">
        <v>52</v>
      </c>
      <c r="M888">
        <f>orders[[#This Row],[Ship Date]]-orders[[#This Row],[Order Date]]</f>
        <v>1</v>
      </c>
      <c r="N888">
        <f>WEEKNUM(orders[[#This Row],[Order Date]])</f>
        <v>6</v>
      </c>
      <c r="O888" t="str">
        <f>_xlfn.IFS(orders[[#This Row],[Customer Gender]]="M","Male", orders[[#This Row],[Customer Gender]]="F","Female", orders[[#This Row],[Customer Gender]]="O","Other", TRUE,"Unknown")</f>
        <v>Male</v>
      </c>
    </row>
    <row r="889" spans="1:15">
      <c r="A889" t="s">
        <v>984</v>
      </c>
      <c r="B889" t="s">
        <v>76</v>
      </c>
      <c r="C889">
        <v>3</v>
      </c>
      <c r="D889">
        <v>25.8</v>
      </c>
      <c r="E889">
        <v>77.400000000000006</v>
      </c>
      <c r="F889" s="1">
        <v>45694</v>
      </c>
      <c r="G889" s="1">
        <v>45695</v>
      </c>
      <c r="H889" t="s">
        <v>27</v>
      </c>
      <c r="I889" t="s">
        <v>35</v>
      </c>
      <c r="J889">
        <v>3</v>
      </c>
      <c r="K889" t="s">
        <v>19</v>
      </c>
      <c r="L889" t="s">
        <v>55</v>
      </c>
      <c r="M889">
        <f>orders[[#This Row],[Ship Date]]-orders[[#This Row],[Order Date]]</f>
        <v>1</v>
      </c>
      <c r="N889">
        <f>WEEKNUM(orders[[#This Row],[Order Date]])</f>
        <v>6</v>
      </c>
      <c r="O889" t="str">
        <f>_xlfn.IFS(orders[[#This Row],[Customer Gender]]="M","Male", orders[[#This Row],[Customer Gender]]="F","Female", orders[[#This Row],[Customer Gender]]="O","Other", TRUE,"Unknown")</f>
        <v>Female</v>
      </c>
    </row>
    <row r="890" spans="1:15">
      <c r="A890" t="s">
        <v>985</v>
      </c>
      <c r="B890" t="s">
        <v>16</v>
      </c>
      <c r="C890">
        <v>2</v>
      </c>
      <c r="D890">
        <v>11.6</v>
      </c>
      <c r="E890">
        <v>23.2</v>
      </c>
      <c r="F890" s="1">
        <v>45694</v>
      </c>
      <c r="G890" s="1">
        <v>45698</v>
      </c>
      <c r="H890" t="s">
        <v>27</v>
      </c>
      <c r="I890" t="s">
        <v>35</v>
      </c>
      <c r="J890">
        <v>3</v>
      </c>
      <c r="K890" t="s">
        <v>19</v>
      </c>
      <c r="L890" t="s">
        <v>55</v>
      </c>
      <c r="M890">
        <f>orders[[#This Row],[Ship Date]]-orders[[#This Row],[Order Date]]</f>
        <v>4</v>
      </c>
      <c r="N890">
        <f>WEEKNUM(orders[[#This Row],[Order Date]])</f>
        <v>6</v>
      </c>
      <c r="O890" t="str">
        <f>_xlfn.IFS(orders[[#This Row],[Customer Gender]]="M","Male", orders[[#This Row],[Customer Gender]]="F","Female", orders[[#This Row],[Customer Gender]]="O","Other", TRUE,"Unknown")</f>
        <v>Female</v>
      </c>
    </row>
    <row r="891" spans="1:15">
      <c r="A891" t="s">
        <v>986</v>
      </c>
      <c r="B891" t="s">
        <v>42</v>
      </c>
      <c r="C891">
        <v>1</v>
      </c>
      <c r="D891">
        <v>52.3</v>
      </c>
      <c r="E891">
        <v>52.3</v>
      </c>
      <c r="F891" s="1">
        <v>45694</v>
      </c>
      <c r="G891" s="1">
        <v>45695</v>
      </c>
      <c r="H891" t="s">
        <v>27</v>
      </c>
      <c r="I891" t="s">
        <v>35</v>
      </c>
      <c r="J891">
        <v>4</v>
      </c>
      <c r="K891" t="s">
        <v>19</v>
      </c>
      <c r="L891" t="s">
        <v>62</v>
      </c>
      <c r="M891">
        <f>orders[[#This Row],[Ship Date]]-orders[[#This Row],[Order Date]]</f>
        <v>1</v>
      </c>
      <c r="N891">
        <f>WEEKNUM(orders[[#This Row],[Order Date]])</f>
        <v>6</v>
      </c>
      <c r="O891" t="str">
        <f>_xlfn.IFS(orders[[#This Row],[Customer Gender]]="M","Male", orders[[#This Row],[Customer Gender]]="F","Female", orders[[#This Row],[Customer Gender]]="O","Other", TRUE,"Unknown")</f>
        <v>Female</v>
      </c>
    </row>
    <row r="892" spans="1:15">
      <c r="A892" t="s">
        <v>987</v>
      </c>
      <c r="B892" t="s">
        <v>26</v>
      </c>
      <c r="C892">
        <v>10</v>
      </c>
      <c r="D892">
        <v>112.2</v>
      </c>
      <c r="E892">
        <v>1122</v>
      </c>
      <c r="F892" s="1">
        <v>45694</v>
      </c>
      <c r="G892" s="1">
        <v>45695</v>
      </c>
      <c r="H892" t="s">
        <v>27</v>
      </c>
      <c r="I892" t="s">
        <v>35</v>
      </c>
      <c r="J892">
        <v>3</v>
      </c>
      <c r="K892" t="s">
        <v>19</v>
      </c>
      <c r="L892" t="s">
        <v>62</v>
      </c>
      <c r="M892">
        <f>orders[[#This Row],[Ship Date]]-orders[[#This Row],[Order Date]]</f>
        <v>1</v>
      </c>
      <c r="N892">
        <f>WEEKNUM(orders[[#This Row],[Order Date]])</f>
        <v>6</v>
      </c>
      <c r="O892" t="str">
        <f>_xlfn.IFS(orders[[#This Row],[Customer Gender]]="M","Male", orders[[#This Row],[Customer Gender]]="F","Female", orders[[#This Row],[Customer Gender]]="O","Other", TRUE,"Unknown")</f>
        <v>Female</v>
      </c>
    </row>
    <row r="893" spans="1:15">
      <c r="A893" t="s">
        <v>988</v>
      </c>
      <c r="B893" t="s">
        <v>32</v>
      </c>
      <c r="C893">
        <v>5</v>
      </c>
      <c r="D893">
        <v>34.6</v>
      </c>
      <c r="E893">
        <v>173</v>
      </c>
      <c r="F893" s="1">
        <v>45694</v>
      </c>
      <c r="G893" s="1">
        <v>45696</v>
      </c>
      <c r="H893" t="s">
        <v>23</v>
      </c>
      <c r="I893" t="s">
        <v>40</v>
      </c>
      <c r="J893">
        <v>4</v>
      </c>
      <c r="K893" t="s">
        <v>19</v>
      </c>
      <c r="L893" t="s">
        <v>62</v>
      </c>
      <c r="M893">
        <f>orders[[#This Row],[Ship Date]]-orders[[#This Row],[Order Date]]</f>
        <v>2</v>
      </c>
      <c r="N893">
        <f>WEEKNUM(orders[[#This Row],[Order Date]])</f>
        <v>6</v>
      </c>
      <c r="O893" t="str">
        <f>_xlfn.IFS(orders[[#This Row],[Customer Gender]]="M","Male", orders[[#This Row],[Customer Gender]]="F","Female", orders[[#This Row],[Customer Gender]]="O","Other", TRUE,"Unknown")</f>
        <v>Male</v>
      </c>
    </row>
    <row r="894" spans="1:15">
      <c r="A894" t="s">
        <v>989</v>
      </c>
      <c r="B894" t="s">
        <v>81</v>
      </c>
      <c r="C894">
        <v>4</v>
      </c>
      <c r="D894">
        <v>20.100000000000001</v>
      </c>
      <c r="E894">
        <v>80.400000000000006</v>
      </c>
      <c r="F894" s="1">
        <v>45694</v>
      </c>
      <c r="G894" s="1">
        <v>45700</v>
      </c>
      <c r="H894" t="s">
        <v>23</v>
      </c>
      <c r="I894" t="s">
        <v>35</v>
      </c>
      <c r="J894">
        <v>5</v>
      </c>
      <c r="K894" t="s">
        <v>19</v>
      </c>
      <c r="L894" t="s">
        <v>62</v>
      </c>
      <c r="M894">
        <f>orders[[#This Row],[Ship Date]]-orders[[#This Row],[Order Date]]</f>
        <v>6</v>
      </c>
      <c r="N894">
        <f>WEEKNUM(orders[[#This Row],[Order Date]])</f>
        <v>6</v>
      </c>
      <c r="O894" t="str">
        <f>_xlfn.IFS(orders[[#This Row],[Customer Gender]]="M","Male", orders[[#This Row],[Customer Gender]]="F","Female", orders[[#This Row],[Customer Gender]]="O","Other", TRUE,"Unknown")</f>
        <v>Male</v>
      </c>
    </row>
    <row r="895" spans="1:15">
      <c r="A895" t="s">
        <v>990</v>
      </c>
      <c r="B895" t="s">
        <v>26</v>
      </c>
      <c r="C895">
        <v>4</v>
      </c>
      <c r="D895">
        <v>56.4</v>
      </c>
      <c r="E895">
        <v>225.6</v>
      </c>
      <c r="F895" s="1">
        <v>45694</v>
      </c>
      <c r="G895" s="1">
        <v>45696</v>
      </c>
      <c r="H895" t="s">
        <v>27</v>
      </c>
      <c r="I895" t="s">
        <v>40</v>
      </c>
      <c r="J895">
        <v>4</v>
      </c>
      <c r="K895" t="s">
        <v>19</v>
      </c>
      <c r="L895" t="s">
        <v>74</v>
      </c>
      <c r="M895">
        <f>orders[[#This Row],[Ship Date]]-orders[[#This Row],[Order Date]]</f>
        <v>2</v>
      </c>
      <c r="N895">
        <f>WEEKNUM(orders[[#This Row],[Order Date]])</f>
        <v>6</v>
      </c>
      <c r="O895" t="str">
        <f>_xlfn.IFS(orders[[#This Row],[Customer Gender]]="M","Male", orders[[#This Row],[Customer Gender]]="F","Female", orders[[#This Row],[Customer Gender]]="O","Other", TRUE,"Unknown")</f>
        <v>Female</v>
      </c>
    </row>
    <row r="896" spans="1:15">
      <c r="A896" t="s">
        <v>991</v>
      </c>
      <c r="B896" t="s">
        <v>76</v>
      </c>
      <c r="C896">
        <v>9</v>
      </c>
      <c r="D896">
        <v>55.3</v>
      </c>
      <c r="E896">
        <v>497.7</v>
      </c>
      <c r="F896" s="1">
        <v>45694</v>
      </c>
      <c r="G896" s="1">
        <v>45696</v>
      </c>
      <c r="H896" t="s">
        <v>27</v>
      </c>
      <c r="I896" t="s">
        <v>35</v>
      </c>
      <c r="J896">
        <v>2</v>
      </c>
      <c r="K896" t="s">
        <v>19</v>
      </c>
      <c r="L896" t="s">
        <v>77</v>
      </c>
      <c r="M896">
        <f>orders[[#This Row],[Ship Date]]-orders[[#This Row],[Order Date]]</f>
        <v>2</v>
      </c>
      <c r="N896">
        <f>WEEKNUM(orders[[#This Row],[Order Date]])</f>
        <v>6</v>
      </c>
      <c r="O896" t="str">
        <f>_xlfn.IFS(orders[[#This Row],[Customer Gender]]="M","Male", orders[[#This Row],[Customer Gender]]="F","Female", orders[[#This Row],[Customer Gender]]="O","Other", TRUE,"Unknown")</f>
        <v>Female</v>
      </c>
    </row>
    <row r="897" spans="1:15">
      <c r="A897" t="s">
        <v>992</v>
      </c>
      <c r="B897" t="s">
        <v>26</v>
      </c>
      <c r="C897">
        <v>28</v>
      </c>
      <c r="D897">
        <v>75.5</v>
      </c>
      <c r="E897">
        <v>2114</v>
      </c>
      <c r="F897" s="1">
        <v>45694</v>
      </c>
      <c r="G897" s="1">
        <v>45695</v>
      </c>
      <c r="H897" t="s">
        <v>27</v>
      </c>
      <c r="I897" t="s">
        <v>18</v>
      </c>
      <c r="J897">
        <v>4</v>
      </c>
      <c r="K897" t="s">
        <v>19</v>
      </c>
      <c r="L897" t="s">
        <v>77</v>
      </c>
      <c r="M897">
        <f>orders[[#This Row],[Ship Date]]-orders[[#This Row],[Order Date]]</f>
        <v>1</v>
      </c>
      <c r="N897">
        <f>WEEKNUM(orders[[#This Row],[Order Date]])</f>
        <v>6</v>
      </c>
      <c r="O897" t="str">
        <f>_xlfn.IFS(orders[[#This Row],[Customer Gender]]="M","Male", orders[[#This Row],[Customer Gender]]="F","Female", orders[[#This Row],[Customer Gender]]="O","Other", TRUE,"Unknown")</f>
        <v>Female</v>
      </c>
    </row>
    <row r="898" spans="1:15">
      <c r="A898" t="s">
        <v>993</v>
      </c>
      <c r="B898" t="s">
        <v>44</v>
      </c>
      <c r="C898">
        <v>1</v>
      </c>
      <c r="D898">
        <v>23.6</v>
      </c>
      <c r="E898">
        <v>23.6</v>
      </c>
      <c r="F898" s="1">
        <v>45694</v>
      </c>
      <c r="G898" s="1">
        <v>45699</v>
      </c>
      <c r="H898" t="s">
        <v>27</v>
      </c>
      <c r="I898" t="s">
        <v>18</v>
      </c>
      <c r="J898">
        <v>4</v>
      </c>
      <c r="K898" t="s">
        <v>19</v>
      </c>
      <c r="L898" t="s">
        <v>110</v>
      </c>
      <c r="M898">
        <f>orders[[#This Row],[Ship Date]]-orders[[#This Row],[Order Date]]</f>
        <v>5</v>
      </c>
      <c r="N898">
        <f>WEEKNUM(orders[[#This Row],[Order Date]])</f>
        <v>6</v>
      </c>
      <c r="O898" t="str">
        <f>_xlfn.IFS(orders[[#This Row],[Customer Gender]]="M","Male", orders[[#This Row],[Customer Gender]]="F","Female", orders[[#This Row],[Customer Gender]]="O","Other", TRUE,"Unknown")</f>
        <v>Female</v>
      </c>
    </row>
    <row r="899" spans="1:15">
      <c r="A899" t="s">
        <v>994</v>
      </c>
      <c r="B899" t="s">
        <v>46</v>
      </c>
      <c r="C899">
        <v>2</v>
      </c>
      <c r="D899">
        <v>70.7</v>
      </c>
      <c r="E899">
        <v>141.4</v>
      </c>
      <c r="F899" s="1">
        <v>45694</v>
      </c>
      <c r="G899" s="1">
        <v>45696</v>
      </c>
      <c r="H899" t="s">
        <v>27</v>
      </c>
      <c r="I899" t="s">
        <v>40</v>
      </c>
      <c r="J899">
        <v>4</v>
      </c>
      <c r="K899" t="s">
        <v>19</v>
      </c>
      <c r="L899" t="s">
        <v>110</v>
      </c>
      <c r="M899">
        <f>orders[[#This Row],[Ship Date]]-orders[[#This Row],[Order Date]]</f>
        <v>2</v>
      </c>
      <c r="N899">
        <f>WEEKNUM(orders[[#This Row],[Order Date]])</f>
        <v>6</v>
      </c>
      <c r="O899" t="str">
        <f>_xlfn.IFS(orders[[#This Row],[Customer Gender]]="M","Male", orders[[#This Row],[Customer Gender]]="F","Female", orders[[#This Row],[Customer Gender]]="O","Other", TRUE,"Unknown")</f>
        <v>Female</v>
      </c>
    </row>
    <row r="900" spans="1:15">
      <c r="A900" t="s">
        <v>995</v>
      </c>
      <c r="B900" t="s">
        <v>69</v>
      </c>
      <c r="C900">
        <v>2</v>
      </c>
      <c r="D900">
        <v>43.2</v>
      </c>
      <c r="E900">
        <v>86.4</v>
      </c>
      <c r="F900" s="1">
        <v>45694</v>
      </c>
      <c r="G900" s="1">
        <v>45695</v>
      </c>
      <c r="H900" t="s">
        <v>27</v>
      </c>
      <c r="I900" t="s">
        <v>40</v>
      </c>
      <c r="J900">
        <v>4</v>
      </c>
      <c r="K900" t="s">
        <v>19</v>
      </c>
      <c r="L900" t="s">
        <v>292</v>
      </c>
      <c r="M900">
        <f>orders[[#This Row],[Ship Date]]-orders[[#This Row],[Order Date]]</f>
        <v>1</v>
      </c>
      <c r="N900">
        <f>WEEKNUM(orders[[#This Row],[Order Date]])</f>
        <v>6</v>
      </c>
      <c r="O900" t="str">
        <f>_xlfn.IFS(orders[[#This Row],[Customer Gender]]="M","Male", orders[[#This Row],[Customer Gender]]="F","Female", orders[[#This Row],[Customer Gender]]="O","Other", TRUE,"Unknown")</f>
        <v>Female</v>
      </c>
    </row>
    <row r="901" spans="1:15">
      <c r="A901" t="s">
        <v>996</v>
      </c>
      <c r="B901" t="s">
        <v>46</v>
      </c>
      <c r="C901">
        <v>9</v>
      </c>
      <c r="D901">
        <v>70</v>
      </c>
      <c r="E901">
        <v>630</v>
      </c>
      <c r="F901" s="1">
        <v>45694</v>
      </c>
      <c r="G901" s="1">
        <v>45695</v>
      </c>
      <c r="H901" t="s">
        <v>17</v>
      </c>
      <c r="I901" t="s">
        <v>35</v>
      </c>
      <c r="J901">
        <v>4</v>
      </c>
      <c r="K901" t="s">
        <v>19</v>
      </c>
      <c r="L901" t="s">
        <v>997</v>
      </c>
      <c r="M901">
        <f>orders[[#This Row],[Ship Date]]-orders[[#This Row],[Order Date]]</f>
        <v>1</v>
      </c>
      <c r="N901">
        <f>WEEKNUM(orders[[#This Row],[Order Date]])</f>
        <v>6</v>
      </c>
      <c r="O901" t="str">
        <f>_xlfn.IFS(orders[[#This Row],[Customer Gender]]="M","Male", orders[[#This Row],[Customer Gender]]="F","Female", orders[[#This Row],[Customer Gender]]="O","Other", TRUE,"Unknown")</f>
        <v>Unknown</v>
      </c>
    </row>
    <row r="902" spans="1:15">
      <c r="A902" t="s">
        <v>998</v>
      </c>
      <c r="B902" t="s">
        <v>16</v>
      </c>
      <c r="C902">
        <v>2</v>
      </c>
      <c r="D902">
        <v>20.5</v>
      </c>
      <c r="E902">
        <v>41</v>
      </c>
      <c r="F902" s="1">
        <v>45694</v>
      </c>
      <c r="G902" s="1">
        <v>45696</v>
      </c>
      <c r="H902" t="s">
        <v>27</v>
      </c>
      <c r="I902" t="s">
        <v>40</v>
      </c>
      <c r="J902">
        <v>2</v>
      </c>
      <c r="K902" t="s">
        <v>19</v>
      </c>
      <c r="L902" t="s">
        <v>82</v>
      </c>
      <c r="M902">
        <f>orders[[#This Row],[Ship Date]]-orders[[#This Row],[Order Date]]</f>
        <v>2</v>
      </c>
      <c r="N902">
        <f>WEEKNUM(orders[[#This Row],[Order Date]])</f>
        <v>6</v>
      </c>
      <c r="O902" t="str">
        <f>_xlfn.IFS(orders[[#This Row],[Customer Gender]]="M","Male", orders[[#This Row],[Customer Gender]]="F","Female", orders[[#This Row],[Customer Gender]]="O","Other", TRUE,"Unknown")</f>
        <v>Female</v>
      </c>
    </row>
    <row r="903" spans="1:15">
      <c r="A903" t="s">
        <v>999</v>
      </c>
      <c r="B903" t="s">
        <v>16</v>
      </c>
      <c r="C903">
        <v>4</v>
      </c>
      <c r="D903">
        <v>29.1</v>
      </c>
      <c r="E903">
        <v>116.4</v>
      </c>
      <c r="F903" s="1">
        <v>45694</v>
      </c>
      <c r="G903" s="1">
        <v>45695</v>
      </c>
      <c r="H903" t="s">
        <v>27</v>
      </c>
      <c r="I903" t="s">
        <v>51</v>
      </c>
      <c r="J903">
        <v>4</v>
      </c>
      <c r="K903" t="s">
        <v>19</v>
      </c>
      <c r="L903" t="s">
        <v>243</v>
      </c>
      <c r="M903">
        <f>orders[[#This Row],[Ship Date]]-orders[[#This Row],[Order Date]]</f>
        <v>1</v>
      </c>
      <c r="N903">
        <f>WEEKNUM(orders[[#This Row],[Order Date]])</f>
        <v>6</v>
      </c>
      <c r="O903" t="str">
        <f>_xlfn.IFS(orders[[#This Row],[Customer Gender]]="M","Male", orders[[#This Row],[Customer Gender]]="F","Female", orders[[#This Row],[Customer Gender]]="O","Other", TRUE,"Unknown")</f>
        <v>Female</v>
      </c>
    </row>
    <row r="904" spans="1:15">
      <c r="A904" t="s">
        <v>1000</v>
      </c>
      <c r="B904" t="s">
        <v>39</v>
      </c>
      <c r="C904">
        <v>9</v>
      </c>
      <c r="D904">
        <v>53.6</v>
      </c>
      <c r="E904">
        <v>482.40000000000003</v>
      </c>
      <c r="F904" s="1">
        <v>45694</v>
      </c>
      <c r="G904" s="1">
        <v>45695</v>
      </c>
      <c r="H904" t="s">
        <v>23</v>
      </c>
      <c r="I904" t="s">
        <v>40</v>
      </c>
      <c r="J904">
        <v>3</v>
      </c>
      <c r="K904" t="s">
        <v>19</v>
      </c>
      <c r="L904" t="s">
        <v>33</v>
      </c>
      <c r="M904">
        <f>orders[[#This Row],[Ship Date]]-orders[[#This Row],[Order Date]]</f>
        <v>1</v>
      </c>
      <c r="N904">
        <f>WEEKNUM(orders[[#This Row],[Order Date]])</f>
        <v>6</v>
      </c>
      <c r="O904" t="str">
        <f>_xlfn.IFS(orders[[#This Row],[Customer Gender]]="M","Male", orders[[#This Row],[Customer Gender]]="F","Female", orders[[#This Row],[Customer Gender]]="O","Other", TRUE,"Unknown")</f>
        <v>Male</v>
      </c>
    </row>
    <row r="905" spans="1:15">
      <c r="A905" t="s">
        <v>1001</v>
      </c>
      <c r="B905" t="s">
        <v>39</v>
      </c>
      <c r="C905">
        <v>5</v>
      </c>
      <c r="D905">
        <v>72.3</v>
      </c>
      <c r="E905">
        <v>361.5</v>
      </c>
      <c r="F905" s="1">
        <v>45694</v>
      </c>
      <c r="G905" s="1">
        <v>45696</v>
      </c>
      <c r="H905" t="s">
        <v>27</v>
      </c>
      <c r="I905" t="s">
        <v>35</v>
      </c>
      <c r="J905">
        <v>4</v>
      </c>
      <c r="K905" t="s">
        <v>19</v>
      </c>
      <c r="L905" t="s">
        <v>33</v>
      </c>
      <c r="M905">
        <f>orders[[#This Row],[Ship Date]]-orders[[#This Row],[Order Date]]</f>
        <v>2</v>
      </c>
      <c r="N905">
        <f>WEEKNUM(orders[[#This Row],[Order Date]])</f>
        <v>6</v>
      </c>
      <c r="O905" t="str">
        <f>_xlfn.IFS(orders[[#This Row],[Customer Gender]]="M","Male", orders[[#This Row],[Customer Gender]]="F","Female", orders[[#This Row],[Customer Gender]]="O","Other", TRUE,"Unknown")</f>
        <v>Female</v>
      </c>
    </row>
    <row r="906" spans="1:15">
      <c r="A906" t="s">
        <v>1002</v>
      </c>
      <c r="B906" t="s">
        <v>76</v>
      </c>
      <c r="C906">
        <v>4</v>
      </c>
      <c r="D906">
        <v>22.6</v>
      </c>
      <c r="E906">
        <v>90.4</v>
      </c>
      <c r="F906" s="1">
        <v>45694</v>
      </c>
      <c r="G906" s="1">
        <v>45697</v>
      </c>
      <c r="H906" t="s">
        <v>89</v>
      </c>
      <c r="I906" t="s">
        <v>18</v>
      </c>
      <c r="J906">
        <v>3</v>
      </c>
      <c r="K906" t="s">
        <v>19</v>
      </c>
      <c r="L906" t="s">
        <v>33</v>
      </c>
      <c r="M906">
        <f>orders[[#This Row],[Ship Date]]-orders[[#This Row],[Order Date]]</f>
        <v>3</v>
      </c>
      <c r="N906">
        <f>WEEKNUM(orders[[#This Row],[Order Date]])</f>
        <v>6</v>
      </c>
      <c r="O906" t="str">
        <f>_xlfn.IFS(orders[[#This Row],[Customer Gender]]="M","Male", orders[[#This Row],[Customer Gender]]="F","Female", orders[[#This Row],[Customer Gender]]="O","Other", TRUE,"Unknown")</f>
        <v>Other</v>
      </c>
    </row>
    <row r="907" spans="1:15">
      <c r="A907" t="s">
        <v>1003</v>
      </c>
      <c r="B907" t="s">
        <v>46</v>
      </c>
      <c r="C907">
        <v>2</v>
      </c>
      <c r="D907">
        <v>44.2</v>
      </c>
      <c r="E907">
        <v>88.4</v>
      </c>
      <c r="F907" s="1">
        <v>45694</v>
      </c>
      <c r="G907" s="1">
        <v>45698</v>
      </c>
      <c r="H907" t="s">
        <v>17</v>
      </c>
      <c r="I907" t="s">
        <v>40</v>
      </c>
      <c r="J907">
        <v>2</v>
      </c>
      <c r="K907" t="s">
        <v>19</v>
      </c>
      <c r="L907" t="s">
        <v>33</v>
      </c>
      <c r="M907">
        <f>orders[[#This Row],[Ship Date]]-orders[[#This Row],[Order Date]]</f>
        <v>4</v>
      </c>
      <c r="N907">
        <f>WEEKNUM(orders[[#This Row],[Order Date]])</f>
        <v>6</v>
      </c>
      <c r="O907" t="str">
        <f>_xlfn.IFS(orders[[#This Row],[Customer Gender]]="M","Male", orders[[#This Row],[Customer Gender]]="F","Female", orders[[#This Row],[Customer Gender]]="O","Other", TRUE,"Unknown")</f>
        <v>Unknown</v>
      </c>
    </row>
    <row r="908" spans="1:15">
      <c r="A908" t="s">
        <v>1004</v>
      </c>
      <c r="B908" t="s">
        <v>46</v>
      </c>
      <c r="C908">
        <v>3</v>
      </c>
      <c r="D908">
        <v>94.1</v>
      </c>
      <c r="E908">
        <v>282.29999999999995</v>
      </c>
      <c r="F908" s="1">
        <v>45694</v>
      </c>
      <c r="G908" s="1">
        <v>45707</v>
      </c>
      <c r="H908" t="s">
        <v>27</v>
      </c>
      <c r="I908" t="s">
        <v>40</v>
      </c>
      <c r="J908">
        <v>5</v>
      </c>
      <c r="K908" t="s">
        <v>19</v>
      </c>
      <c r="L908" t="s">
        <v>33</v>
      </c>
      <c r="M908">
        <f>orders[[#This Row],[Ship Date]]-orders[[#This Row],[Order Date]]</f>
        <v>13</v>
      </c>
      <c r="N908">
        <f>WEEKNUM(orders[[#This Row],[Order Date]])</f>
        <v>6</v>
      </c>
      <c r="O908" t="str">
        <f>_xlfn.IFS(orders[[#This Row],[Customer Gender]]="M","Male", orders[[#This Row],[Customer Gender]]="F","Female", orders[[#This Row],[Customer Gender]]="O","Other", TRUE,"Unknown")</f>
        <v>Female</v>
      </c>
    </row>
    <row r="909" spans="1:15">
      <c r="A909" t="s">
        <v>1005</v>
      </c>
      <c r="B909" t="s">
        <v>44</v>
      </c>
      <c r="C909">
        <v>3</v>
      </c>
      <c r="D909">
        <v>17.899999999999999</v>
      </c>
      <c r="E909">
        <v>53.699999999999996</v>
      </c>
      <c r="F909" s="1">
        <v>45694</v>
      </c>
      <c r="G909" s="1">
        <v>45696</v>
      </c>
      <c r="H909" t="s">
        <v>23</v>
      </c>
      <c r="I909" t="s">
        <v>35</v>
      </c>
      <c r="J909">
        <v>3</v>
      </c>
      <c r="K909" t="s">
        <v>19</v>
      </c>
      <c r="L909" t="s">
        <v>33</v>
      </c>
      <c r="M909">
        <f>orders[[#This Row],[Ship Date]]-orders[[#This Row],[Order Date]]</f>
        <v>2</v>
      </c>
      <c r="N909">
        <f>WEEKNUM(orders[[#This Row],[Order Date]])</f>
        <v>6</v>
      </c>
      <c r="O909" t="str">
        <f>_xlfn.IFS(orders[[#This Row],[Customer Gender]]="M","Male", orders[[#This Row],[Customer Gender]]="F","Female", orders[[#This Row],[Customer Gender]]="O","Other", TRUE,"Unknown")</f>
        <v>Male</v>
      </c>
    </row>
    <row r="910" spans="1:15">
      <c r="A910" t="s">
        <v>1006</v>
      </c>
      <c r="B910" t="s">
        <v>69</v>
      </c>
      <c r="C910">
        <v>7</v>
      </c>
      <c r="D910">
        <v>52.7</v>
      </c>
      <c r="E910">
        <v>368.90000000000003</v>
      </c>
      <c r="F910" s="1">
        <v>45694</v>
      </c>
      <c r="G910" s="1">
        <v>45695</v>
      </c>
      <c r="H910" t="s">
        <v>23</v>
      </c>
      <c r="I910" t="s">
        <v>35</v>
      </c>
      <c r="J910">
        <v>3</v>
      </c>
      <c r="K910" t="s">
        <v>19</v>
      </c>
      <c r="L910" t="s">
        <v>33</v>
      </c>
      <c r="M910">
        <f>orders[[#This Row],[Ship Date]]-orders[[#This Row],[Order Date]]</f>
        <v>1</v>
      </c>
      <c r="N910">
        <f>WEEKNUM(orders[[#This Row],[Order Date]])</f>
        <v>6</v>
      </c>
      <c r="O910" t="str">
        <f>_xlfn.IFS(orders[[#This Row],[Customer Gender]]="M","Male", orders[[#This Row],[Customer Gender]]="F","Female", orders[[#This Row],[Customer Gender]]="O","Other", TRUE,"Unknown")</f>
        <v>Male</v>
      </c>
    </row>
    <row r="911" spans="1:15">
      <c r="A911" t="s">
        <v>1007</v>
      </c>
      <c r="B911" t="s">
        <v>44</v>
      </c>
      <c r="C911">
        <v>1</v>
      </c>
      <c r="D911">
        <v>36.799999999999997</v>
      </c>
      <c r="E911">
        <v>36.799999999999997</v>
      </c>
      <c r="F911" s="1">
        <v>45694</v>
      </c>
      <c r="G911" s="1">
        <v>45694</v>
      </c>
      <c r="H911" t="s">
        <v>17</v>
      </c>
      <c r="I911" t="s">
        <v>18</v>
      </c>
      <c r="J911">
        <v>5</v>
      </c>
      <c r="K911" t="s">
        <v>19</v>
      </c>
      <c r="L911" t="s">
        <v>33</v>
      </c>
      <c r="M911">
        <f>orders[[#This Row],[Ship Date]]-orders[[#This Row],[Order Date]]</f>
        <v>0</v>
      </c>
      <c r="N911">
        <f>WEEKNUM(orders[[#This Row],[Order Date]])</f>
        <v>6</v>
      </c>
      <c r="O911" t="str">
        <f>_xlfn.IFS(orders[[#This Row],[Customer Gender]]="M","Male", orders[[#This Row],[Customer Gender]]="F","Female", orders[[#This Row],[Customer Gender]]="O","Other", TRUE,"Unknown")</f>
        <v>Unknown</v>
      </c>
    </row>
    <row r="912" spans="1:15">
      <c r="A912" t="s">
        <v>1008</v>
      </c>
      <c r="B912" t="s">
        <v>32</v>
      </c>
      <c r="C912">
        <v>1</v>
      </c>
      <c r="D912">
        <v>52.5</v>
      </c>
      <c r="E912">
        <v>52.5</v>
      </c>
      <c r="F912" s="1">
        <v>45694</v>
      </c>
      <c r="G912" s="1">
        <v>45695</v>
      </c>
      <c r="H912" t="s">
        <v>23</v>
      </c>
      <c r="I912" t="s">
        <v>18</v>
      </c>
      <c r="J912">
        <v>3</v>
      </c>
      <c r="K912" t="s">
        <v>19</v>
      </c>
      <c r="L912" t="s">
        <v>55</v>
      </c>
      <c r="M912">
        <f>orders[[#This Row],[Ship Date]]-orders[[#This Row],[Order Date]]</f>
        <v>1</v>
      </c>
      <c r="N912">
        <f>WEEKNUM(orders[[#This Row],[Order Date]])</f>
        <v>6</v>
      </c>
      <c r="O912" t="str">
        <f>_xlfn.IFS(orders[[#This Row],[Customer Gender]]="M","Male", orders[[#This Row],[Customer Gender]]="F","Female", orders[[#This Row],[Customer Gender]]="O","Other", TRUE,"Unknown")</f>
        <v>Male</v>
      </c>
    </row>
    <row r="913" spans="1:15">
      <c r="A913" t="s">
        <v>1009</v>
      </c>
      <c r="B913" t="s">
        <v>26</v>
      </c>
      <c r="C913">
        <v>2</v>
      </c>
      <c r="D913">
        <v>133.80000000000001</v>
      </c>
      <c r="E913">
        <v>267.60000000000002</v>
      </c>
      <c r="F913" s="1">
        <v>45694</v>
      </c>
      <c r="G913" s="1">
        <v>45696</v>
      </c>
      <c r="H913" t="s">
        <v>23</v>
      </c>
      <c r="I913" t="s">
        <v>18</v>
      </c>
      <c r="J913">
        <v>3</v>
      </c>
      <c r="K913" t="s">
        <v>19</v>
      </c>
      <c r="L913" t="s">
        <v>59</v>
      </c>
      <c r="M913">
        <f>orders[[#This Row],[Ship Date]]-orders[[#This Row],[Order Date]]</f>
        <v>2</v>
      </c>
      <c r="N913">
        <f>WEEKNUM(orders[[#This Row],[Order Date]])</f>
        <v>6</v>
      </c>
      <c r="O913" t="str">
        <f>_xlfn.IFS(orders[[#This Row],[Customer Gender]]="M","Male", orders[[#This Row],[Customer Gender]]="F","Female", orders[[#This Row],[Customer Gender]]="O","Other", TRUE,"Unknown")</f>
        <v>Male</v>
      </c>
    </row>
    <row r="914" spans="1:15">
      <c r="A914" t="s">
        <v>1010</v>
      </c>
      <c r="B914" t="s">
        <v>39</v>
      </c>
      <c r="C914">
        <v>2</v>
      </c>
      <c r="D914">
        <v>53.2</v>
      </c>
      <c r="E914">
        <v>106.4</v>
      </c>
      <c r="F914" s="1">
        <v>45694</v>
      </c>
      <c r="G914" s="1">
        <v>45696</v>
      </c>
      <c r="H914" t="s">
        <v>23</v>
      </c>
      <c r="I914" t="s">
        <v>18</v>
      </c>
      <c r="J914">
        <v>4</v>
      </c>
      <c r="K914" t="s">
        <v>19</v>
      </c>
      <c r="L914" t="s">
        <v>103</v>
      </c>
      <c r="M914">
        <f>orders[[#This Row],[Ship Date]]-orders[[#This Row],[Order Date]]</f>
        <v>2</v>
      </c>
      <c r="N914">
        <f>WEEKNUM(orders[[#This Row],[Order Date]])</f>
        <v>6</v>
      </c>
      <c r="O914" t="str">
        <f>_xlfn.IFS(orders[[#This Row],[Customer Gender]]="M","Male", orders[[#This Row],[Customer Gender]]="F","Female", orders[[#This Row],[Customer Gender]]="O","Other", TRUE,"Unknown")</f>
        <v>Male</v>
      </c>
    </row>
    <row r="915" spans="1:15">
      <c r="A915" t="s">
        <v>1011</v>
      </c>
      <c r="B915" t="s">
        <v>81</v>
      </c>
      <c r="C915">
        <v>6</v>
      </c>
      <c r="D915">
        <v>18.7</v>
      </c>
      <c r="E915">
        <v>112.19999999999999</v>
      </c>
      <c r="F915" s="1">
        <v>45694</v>
      </c>
      <c r="G915" s="1">
        <v>45696</v>
      </c>
      <c r="H915" t="s">
        <v>17</v>
      </c>
      <c r="I915" t="s">
        <v>18</v>
      </c>
      <c r="J915">
        <v>3</v>
      </c>
      <c r="K915" t="s">
        <v>19</v>
      </c>
      <c r="L915" t="s">
        <v>74</v>
      </c>
      <c r="M915">
        <f>orders[[#This Row],[Ship Date]]-orders[[#This Row],[Order Date]]</f>
        <v>2</v>
      </c>
      <c r="N915">
        <f>WEEKNUM(orders[[#This Row],[Order Date]])</f>
        <v>6</v>
      </c>
      <c r="O915" t="str">
        <f>_xlfn.IFS(orders[[#This Row],[Customer Gender]]="M","Male", orders[[#This Row],[Customer Gender]]="F","Female", orders[[#This Row],[Customer Gender]]="O","Other", TRUE,"Unknown")</f>
        <v>Unknown</v>
      </c>
    </row>
    <row r="916" spans="1:15">
      <c r="A916" t="s">
        <v>1012</v>
      </c>
      <c r="B916" t="s">
        <v>39</v>
      </c>
      <c r="C916">
        <v>4</v>
      </c>
      <c r="D916">
        <v>108.8</v>
      </c>
      <c r="E916">
        <v>435.2</v>
      </c>
      <c r="F916" s="1">
        <v>45694</v>
      </c>
      <c r="G916" s="1">
        <v>45695</v>
      </c>
      <c r="H916" t="s">
        <v>27</v>
      </c>
      <c r="I916" t="s">
        <v>51</v>
      </c>
      <c r="J916">
        <v>5</v>
      </c>
      <c r="K916" t="s">
        <v>19</v>
      </c>
      <c r="L916" t="s">
        <v>77</v>
      </c>
      <c r="M916">
        <f>orders[[#This Row],[Ship Date]]-orders[[#This Row],[Order Date]]</f>
        <v>1</v>
      </c>
      <c r="N916">
        <f>WEEKNUM(orders[[#This Row],[Order Date]])</f>
        <v>6</v>
      </c>
      <c r="O916" t="str">
        <f>_xlfn.IFS(orders[[#This Row],[Customer Gender]]="M","Male", orders[[#This Row],[Customer Gender]]="F","Female", orders[[#This Row],[Customer Gender]]="O","Other", TRUE,"Unknown")</f>
        <v>Female</v>
      </c>
    </row>
    <row r="917" spans="1:15">
      <c r="A917" t="s">
        <v>1013</v>
      </c>
      <c r="B917" t="s">
        <v>123</v>
      </c>
      <c r="C917">
        <v>5</v>
      </c>
      <c r="D917">
        <v>38.5</v>
      </c>
      <c r="E917">
        <v>192.5</v>
      </c>
      <c r="F917" s="1">
        <v>45694</v>
      </c>
      <c r="G917" s="1">
        <v>45698</v>
      </c>
      <c r="H917" t="s">
        <v>27</v>
      </c>
      <c r="I917" t="s">
        <v>18</v>
      </c>
      <c r="J917">
        <v>3</v>
      </c>
      <c r="K917" t="s">
        <v>19</v>
      </c>
      <c r="L917" t="s">
        <v>84</v>
      </c>
      <c r="M917">
        <f>orders[[#This Row],[Ship Date]]-orders[[#This Row],[Order Date]]</f>
        <v>4</v>
      </c>
      <c r="N917">
        <f>WEEKNUM(orders[[#This Row],[Order Date]])</f>
        <v>6</v>
      </c>
      <c r="O917" t="str">
        <f>_xlfn.IFS(orders[[#This Row],[Customer Gender]]="M","Male", orders[[#This Row],[Customer Gender]]="F","Female", orders[[#This Row],[Customer Gender]]="O","Other", TRUE,"Unknown")</f>
        <v>Female</v>
      </c>
    </row>
    <row r="918" spans="1:15">
      <c r="A918" t="s">
        <v>1014</v>
      </c>
      <c r="B918" t="s">
        <v>54</v>
      </c>
      <c r="C918">
        <v>10</v>
      </c>
      <c r="D918">
        <v>46.5</v>
      </c>
      <c r="E918">
        <v>465</v>
      </c>
      <c r="F918" s="1">
        <v>45694</v>
      </c>
      <c r="G918" s="1">
        <v>45696</v>
      </c>
      <c r="H918" t="s">
        <v>23</v>
      </c>
      <c r="I918" t="s">
        <v>40</v>
      </c>
      <c r="J918">
        <v>3</v>
      </c>
      <c r="K918" t="s">
        <v>19</v>
      </c>
      <c r="L918" t="s">
        <v>28</v>
      </c>
      <c r="M918">
        <f>orders[[#This Row],[Ship Date]]-orders[[#This Row],[Order Date]]</f>
        <v>2</v>
      </c>
      <c r="N918">
        <f>WEEKNUM(orders[[#This Row],[Order Date]])</f>
        <v>6</v>
      </c>
      <c r="O918" t="str">
        <f>_xlfn.IFS(orders[[#This Row],[Customer Gender]]="M","Male", orders[[#This Row],[Customer Gender]]="F","Female", orders[[#This Row],[Customer Gender]]="O","Other", TRUE,"Unknown")</f>
        <v>Male</v>
      </c>
    </row>
    <row r="919" spans="1:15">
      <c r="A919" t="s">
        <v>1015</v>
      </c>
      <c r="B919" t="s">
        <v>26</v>
      </c>
      <c r="C919">
        <v>3</v>
      </c>
      <c r="D919">
        <v>75.8</v>
      </c>
      <c r="E919">
        <v>227.39999999999998</v>
      </c>
      <c r="F919" s="1">
        <v>45694</v>
      </c>
      <c r="G919" s="1">
        <v>45698</v>
      </c>
      <c r="H919" t="s">
        <v>27</v>
      </c>
      <c r="I919" t="s">
        <v>35</v>
      </c>
      <c r="J919">
        <v>2</v>
      </c>
      <c r="K919" t="s">
        <v>19</v>
      </c>
      <c r="L919" t="s">
        <v>587</v>
      </c>
      <c r="M919">
        <f>orders[[#This Row],[Ship Date]]-orders[[#This Row],[Order Date]]</f>
        <v>4</v>
      </c>
      <c r="N919">
        <f>WEEKNUM(orders[[#This Row],[Order Date]])</f>
        <v>6</v>
      </c>
      <c r="O919" t="str">
        <f>_xlfn.IFS(orders[[#This Row],[Customer Gender]]="M","Male", orders[[#This Row],[Customer Gender]]="F","Female", orders[[#This Row],[Customer Gender]]="O","Other", TRUE,"Unknown")</f>
        <v>Female</v>
      </c>
    </row>
    <row r="920" spans="1:15">
      <c r="A920" t="s">
        <v>1016</v>
      </c>
      <c r="B920" t="s">
        <v>44</v>
      </c>
      <c r="C920">
        <v>1</v>
      </c>
      <c r="D920">
        <v>20.9</v>
      </c>
      <c r="E920">
        <v>20.9</v>
      </c>
      <c r="F920" s="1">
        <v>45694</v>
      </c>
      <c r="G920" s="1">
        <v>45698</v>
      </c>
      <c r="H920" t="s">
        <v>23</v>
      </c>
      <c r="I920" t="s">
        <v>18</v>
      </c>
      <c r="J920">
        <v>4</v>
      </c>
      <c r="K920" t="s">
        <v>19</v>
      </c>
      <c r="L920" t="s">
        <v>147</v>
      </c>
      <c r="M920">
        <f>orders[[#This Row],[Ship Date]]-orders[[#This Row],[Order Date]]</f>
        <v>4</v>
      </c>
      <c r="N920">
        <f>WEEKNUM(orders[[#This Row],[Order Date]])</f>
        <v>6</v>
      </c>
      <c r="O920" t="str">
        <f>_xlfn.IFS(orders[[#This Row],[Customer Gender]]="M","Male", orders[[#This Row],[Customer Gender]]="F","Female", orders[[#This Row],[Customer Gender]]="O","Other", TRUE,"Unknown")</f>
        <v>Male</v>
      </c>
    </row>
    <row r="921" spans="1:15">
      <c r="A921" t="s">
        <v>1017</v>
      </c>
      <c r="B921" t="s">
        <v>146</v>
      </c>
      <c r="C921">
        <v>3</v>
      </c>
      <c r="D921">
        <v>47.4</v>
      </c>
      <c r="E921">
        <v>142.19999999999999</v>
      </c>
      <c r="F921" s="1">
        <v>45694</v>
      </c>
      <c r="G921" s="1">
        <v>45697</v>
      </c>
      <c r="H921" t="s">
        <v>27</v>
      </c>
      <c r="I921" t="s">
        <v>18</v>
      </c>
      <c r="J921">
        <v>4</v>
      </c>
      <c r="K921" t="s">
        <v>19</v>
      </c>
      <c r="L921" t="s">
        <v>33</v>
      </c>
      <c r="M921">
        <f>orders[[#This Row],[Ship Date]]-orders[[#This Row],[Order Date]]</f>
        <v>3</v>
      </c>
      <c r="N921">
        <f>WEEKNUM(orders[[#This Row],[Order Date]])</f>
        <v>6</v>
      </c>
      <c r="O921" t="str">
        <f>_xlfn.IFS(orders[[#This Row],[Customer Gender]]="M","Male", orders[[#This Row],[Customer Gender]]="F","Female", orders[[#This Row],[Customer Gender]]="O","Other", TRUE,"Unknown")</f>
        <v>Female</v>
      </c>
    </row>
    <row r="922" spans="1:15">
      <c r="A922" t="s">
        <v>1018</v>
      </c>
      <c r="B922" t="s">
        <v>46</v>
      </c>
      <c r="C922">
        <v>2</v>
      </c>
      <c r="D922">
        <v>53.8</v>
      </c>
      <c r="E922">
        <v>107.6</v>
      </c>
      <c r="F922" s="1">
        <v>45694</v>
      </c>
      <c r="G922" s="1">
        <v>45695</v>
      </c>
      <c r="H922" t="s">
        <v>17</v>
      </c>
      <c r="I922" t="s">
        <v>18</v>
      </c>
      <c r="J922">
        <v>3</v>
      </c>
      <c r="K922" t="s">
        <v>19</v>
      </c>
      <c r="L922" t="s">
        <v>33</v>
      </c>
      <c r="M922">
        <f>orders[[#This Row],[Ship Date]]-orders[[#This Row],[Order Date]]</f>
        <v>1</v>
      </c>
      <c r="N922">
        <f>WEEKNUM(orders[[#This Row],[Order Date]])</f>
        <v>6</v>
      </c>
      <c r="O922" t="str">
        <f>_xlfn.IFS(orders[[#This Row],[Customer Gender]]="M","Male", orders[[#This Row],[Customer Gender]]="F","Female", orders[[#This Row],[Customer Gender]]="O","Other", TRUE,"Unknown")</f>
        <v>Unknown</v>
      </c>
    </row>
    <row r="923" spans="1:15">
      <c r="A923" t="s">
        <v>1019</v>
      </c>
      <c r="B923" t="s">
        <v>44</v>
      </c>
      <c r="C923">
        <v>3</v>
      </c>
      <c r="D923">
        <v>24.6</v>
      </c>
      <c r="E923">
        <v>73.800000000000011</v>
      </c>
      <c r="F923" s="1">
        <v>45694</v>
      </c>
      <c r="G923" s="1">
        <v>45696</v>
      </c>
      <c r="H923" t="s">
        <v>89</v>
      </c>
      <c r="I923" t="s">
        <v>35</v>
      </c>
      <c r="J923">
        <v>5</v>
      </c>
      <c r="K923" t="s">
        <v>19</v>
      </c>
      <c r="L923" t="s">
        <v>33</v>
      </c>
      <c r="M923">
        <f>orders[[#This Row],[Ship Date]]-orders[[#This Row],[Order Date]]</f>
        <v>2</v>
      </c>
      <c r="N923">
        <f>WEEKNUM(orders[[#This Row],[Order Date]])</f>
        <v>6</v>
      </c>
      <c r="O923" t="str">
        <f>_xlfn.IFS(orders[[#This Row],[Customer Gender]]="M","Male", orders[[#This Row],[Customer Gender]]="F","Female", orders[[#This Row],[Customer Gender]]="O","Other", TRUE,"Unknown")</f>
        <v>Other</v>
      </c>
    </row>
    <row r="924" spans="1:15">
      <c r="A924" t="s">
        <v>1020</v>
      </c>
      <c r="B924" t="s">
        <v>46</v>
      </c>
      <c r="C924">
        <v>3</v>
      </c>
      <c r="D924">
        <v>70.900000000000006</v>
      </c>
      <c r="E924">
        <v>212.70000000000002</v>
      </c>
      <c r="F924" s="1">
        <v>45694</v>
      </c>
      <c r="G924" s="1">
        <v>45699</v>
      </c>
      <c r="H924" t="s">
        <v>27</v>
      </c>
      <c r="I924" t="s">
        <v>40</v>
      </c>
      <c r="J924">
        <v>5</v>
      </c>
      <c r="K924" t="s">
        <v>19</v>
      </c>
      <c r="L924" t="s">
        <v>33</v>
      </c>
      <c r="M924">
        <f>orders[[#This Row],[Ship Date]]-orders[[#This Row],[Order Date]]</f>
        <v>5</v>
      </c>
      <c r="N924">
        <f>WEEKNUM(orders[[#This Row],[Order Date]])</f>
        <v>6</v>
      </c>
      <c r="O924" t="str">
        <f>_xlfn.IFS(orders[[#This Row],[Customer Gender]]="M","Male", orders[[#This Row],[Customer Gender]]="F","Female", orders[[#This Row],[Customer Gender]]="O","Other", TRUE,"Unknown")</f>
        <v>Female</v>
      </c>
    </row>
    <row r="925" spans="1:15">
      <c r="A925" t="s">
        <v>1021</v>
      </c>
      <c r="B925" t="s">
        <v>135</v>
      </c>
      <c r="C925">
        <v>3</v>
      </c>
      <c r="D925">
        <v>31.9</v>
      </c>
      <c r="E925">
        <v>95.699999999999989</v>
      </c>
      <c r="F925" s="1">
        <v>45694</v>
      </c>
      <c r="G925" s="1">
        <v>45696</v>
      </c>
      <c r="H925" t="s">
        <v>27</v>
      </c>
      <c r="I925" t="s">
        <v>40</v>
      </c>
      <c r="J925">
        <v>5</v>
      </c>
      <c r="K925" t="s">
        <v>19</v>
      </c>
      <c r="L925" t="s">
        <v>33</v>
      </c>
      <c r="M925">
        <f>orders[[#This Row],[Ship Date]]-orders[[#This Row],[Order Date]]</f>
        <v>2</v>
      </c>
      <c r="N925">
        <f>WEEKNUM(orders[[#This Row],[Order Date]])</f>
        <v>6</v>
      </c>
      <c r="O925" t="str">
        <f>_xlfn.IFS(orders[[#This Row],[Customer Gender]]="M","Male", orders[[#This Row],[Customer Gender]]="F","Female", orders[[#This Row],[Customer Gender]]="O","Other", TRUE,"Unknown")</f>
        <v>Female</v>
      </c>
    </row>
    <row r="926" spans="1:15">
      <c r="A926" t="s">
        <v>1022</v>
      </c>
      <c r="B926" t="s">
        <v>16</v>
      </c>
      <c r="C926">
        <v>2</v>
      </c>
      <c r="D926">
        <v>20.399999999999999</v>
      </c>
      <c r="E926">
        <v>40.799999999999997</v>
      </c>
      <c r="F926" s="1">
        <v>45694</v>
      </c>
      <c r="G926" s="1">
        <v>45698</v>
      </c>
      <c r="H926" t="s">
        <v>23</v>
      </c>
      <c r="I926" t="s">
        <v>51</v>
      </c>
      <c r="J926">
        <v>5</v>
      </c>
      <c r="K926" t="s">
        <v>19</v>
      </c>
      <c r="L926" t="s">
        <v>33</v>
      </c>
      <c r="M926">
        <f>orders[[#This Row],[Ship Date]]-orders[[#This Row],[Order Date]]</f>
        <v>4</v>
      </c>
      <c r="N926">
        <f>WEEKNUM(orders[[#This Row],[Order Date]])</f>
        <v>6</v>
      </c>
      <c r="O926" t="str">
        <f>_xlfn.IFS(orders[[#This Row],[Customer Gender]]="M","Male", orders[[#This Row],[Customer Gender]]="F","Female", orders[[#This Row],[Customer Gender]]="O","Other", TRUE,"Unknown")</f>
        <v>Male</v>
      </c>
    </row>
    <row r="927" spans="1:15">
      <c r="A927" t="s">
        <v>1023</v>
      </c>
      <c r="B927" t="s">
        <v>44</v>
      </c>
      <c r="C927">
        <v>2</v>
      </c>
      <c r="D927">
        <v>18.600000000000001</v>
      </c>
      <c r="E927">
        <v>37.200000000000003</v>
      </c>
      <c r="F927" s="1">
        <v>45694</v>
      </c>
      <c r="G927" s="1">
        <v>45696</v>
      </c>
      <c r="H927" t="s">
        <v>17</v>
      </c>
      <c r="I927" t="s">
        <v>18</v>
      </c>
      <c r="J927">
        <v>3</v>
      </c>
      <c r="K927" t="s">
        <v>19</v>
      </c>
      <c r="L927" t="s">
        <v>33</v>
      </c>
      <c r="M927">
        <f>orders[[#This Row],[Ship Date]]-orders[[#This Row],[Order Date]]</f>
        <v>2</v>
      </c>
      <c r="N927">
        <f>WEEKNUM(orders[[#This Row],[Order Date]])</f>
        <v>6</v>
      </c>
      <c r="O927" t="str">
        <f>_xlfn.IFS(orders[[#This Row],[Customer Gender]]="M","Male", orders[[#This Row],[Customer Gender]]="F","Female", orders[[#This Row],[Customer Gender]]="O","Other", TRUE,"Unknown")</f>
        <v>Unknown</v>
      </c>
    </row>
    <row r="928" spans="1:15">
      <c r="A928" t="s">
        <v>1024</v>
      </c>
      <c r="B928" t="s">
        <v>32</v>
      </c>
      <c r="C928">
        <v>5</v>
      </c>
      <c r="D928">
        <v>48.3</v>
      </c>
      <c r="E928">
        <v>241.5</v>
      </c>
      <c r="F928" s="1">
        <v>45694</v>
      </c>
      <c r="G928" s="1">
        <v>45696</v>
      </c>
      <c r="H928" t="s">
        <v>27</v>
      </c>
      <c r="I928" t="s">
        <v>35</v>
      </c>
      <c r="J928">
        <v>4</v>
      </c>
      <c r="K928" t="s">
        <v>19</v>
      </c>
      <c r="L928" t="s">
        <v>33</v>
      </c>
      <c r="M928">
        <f>orders[[#This Row],[Ship Date]]-orders[[#This Row],[Order Date]]</f>
        <v>2</v>
      </c>
      <c r="N928">
        <f>WEEKNUM(orders[[#This Row],[Order Date]])</f>
        <v>6</v>
      </c>
      <c r="O928" t="str">
        <f>_xlfn.IFS(orders[[#This Row],[Customer Gender]]="M","Male", orders[[#This Row],[Customer Gender]]="F","Female", orders[[#This Row],[Customer Gender]]="O","Other", TRUE,"Unknown")</f>
        <v>Female</v>
      </c>
    </row>
    <row r="929" spans="1:15">
      <c r="A929" t="s">
        <v>1025</v>
      </c>
      <c r="B929" t="s">
        <v>16</v>
      </c>
      <c r="C929">
        <v>4</v>
      </c>
      <c r="D929">
        <v>27.7</v>
      </c>
      <c r="E929">
        <v>110.8</v>
      </c>
      <c r="F929" s="1">
        <v>45694</v>
      </c>
      <c r="G929" s="1">
        <v>45696</v>
      </c>
      <c r="H929" t="s">
        <v>27</v>
      </c>
      <c r="I929" t="s">
        <v>18</v>
      </c>
      <c r="J929">
        <v>4</v>
      </c>
      <c r="K929" t="s">
        <v>19</v>
      </c>
      <c r="L929" t="s">
        <v>33</v>
      </c>
      <c r="M929">
        <f>orders[[#This Row],[Ship Date]]-orders[[#This Row],[Order Date]]</f>
        <v>2</v>
      </c>
      <c r="N929">
        <f>WEEKNUM(orders[[#This Row],[Order Date]])</f>
        <v>6</v>
      </c>
      <c r="O929" t="str">
        <f>_xlfn.IFS(orders[[#This Row],[Customer Gender]]="M","Male", orders[[#This Row],[Customer Gender]]="F","Female", orders[[#This Row],[Customer Gender]]="O","Other", TRUE,"Unknown")</f>
        <v>Female</v>
      </c>
    </row>
    <row r="930" spans="1:15">
      <c r="A930" t="s">
        <v>1026</v>
      </c>
      <c r="B930" t="s">
        <v>32</v>
      </c>
      <c r="C930">
        <v>5</v>
      </c>
      <c r="D930">
        <v>22.5</v>
      </c>
      <c r="E930">
        <v>112.5</v>
      </c>
      <c r="F930" s="1">
        <v>45694</v>
      </c>
      <c r="G930" s="1">
        <v>45696</v>
      </c>
      <c r="H930" t="s">
        <v>27</v>
      </c>
      <c r="I930" t="s">
        <v>70</v>
      </c>
      <c r="J930">
        <v>5</v>
      </c>
      <c r="K930" t="s">
        <v>19</v>
      </c>
      <c r="L930" t="s">
        <v>33</v>
      </c>
      <c r="M930">
        <f>orders[[#This Row],[Ship Date]]-orders[[#This Row],[Order Date]]</f>
        <v>2</v>
      </c>
      <c r="N930">
        <f>WEEKNUM(orders[[#This Row],[Order Date]])</f>
        <v>6</v>
      </c>
      <c r="O930" t="str">
        <f>_xlfn.IFS(orders[[#This Row],[Customer Gender]]="M","Male", orders[[#This Row],[Customer Gender]]="F","Female", orders[[#This Row],[Customer Gender]]="O","Other", TRUE,"Unknown")</f>
        <v>Female</v>
      </c>
    </row>
    <row r="931" spans="1:15">
      <c r="A931" t="s">
        <v>1027</v>
      </c>
      <c r="B931" t="s">
        <v>135</v>
      </c>
      <c r="C931">
        <v>5</v>
      </c>
      <c r="D931">
        <v>21.6</v>
      </c>
      <c r="E931">
        <v>108</v>
      </c>
      <c r="F931" s="1">
        <v>45694</v>
      </c>
      <c r="G931" s="1">
        <v>45702</v>
      </c>
      <c r="H931" t="s">
        <v>27</v>
      </c>
      <c r="I931" t="s">
        <v>18</v>
      </c>
      <c r="J931">
        <v>3</v>
      </c>
      <c r="K931" t="s">
        <v>19</v>
      </c>
      <c r="L931" t="s">
        <v>33</v>
      </c>
      <c r="M931">
        <f>orders[[#This Row],[Ship Date]]-orders[[#This Row],[Order Date]]</f>
        <v>8</v>
      </c>
      <c r="N931">
        <f>WEEKNUM(orders[[#This Row],[Order Date]])</f>
        <v>6</v>
      </c>
      <c r="O931" t="str">
        <f>_xlfn.IFS(orders[[#This Row],[Customer Gender]]="M","Male", orders[[#This Row],[Customer Gender]]="F","Female", orders[[#This Row],[Customer Gender]]="O","Other", TRUE,"Unknown")</f>
        <v>Female</v>
      </c>
    </row>
    <row r="932" spans="1:15">
      <c r="A932" t="s">
        <v>1028</v>
      </c>
      <c r="B932" t="s">
        <v>54</v>
      </c>
      <c r="C932">
        <v>7</v>
      </c>
      <c r="D932">
        <v>26.3</v>
      </c>
      <c r="E932">
        <v>184.1</v>
      </c>
      <c r="F932" s="1">
        <v>45694</v>
      </c>
      <c r="G932" s="1">
        <v>45694</v>
      </c>
      <c r="H932" t="s">
        <v>27</v>
      </c>
      <c r="I932" t="s">
        <v>40</v>
      </c>
      <c r="J932">
        <v>3</v>
      </c>
      <c r="K932" t="s">
        <v>19</v>
      </c>
      <c r="L932" t="s">
        <v>33</v>
      </c>
      <c r="M932">
        <f>orders[[#This Row],[Ship Date]]-orders[[#This Row],[Order Date]]</f>
        <v>0</v>
      </c>
      <c r="N932">
        <f>WEEKNUM(orders[[#This Row],[Order Date]])</f>
        <v>6</v>
      </c>
      <c r="O932" t="str">
        <f>_xlfn.IFS(orders[[#This Row],[Customer Gender]]="M","Male", orders[[#This Row],[Customer Gender]]="F","Female", orders[[#This Row],[Customer Gender]]="O","Other", TRUE,"Unknown")</f>
        <v>Female</v>
      </c>
    </row>
    <row r="933" spans="1:15">
      <c r="A933" t="s">
        <v>1029</v>
      </c>
      <c r="B933" t="s">
        <v>39</v>
      </c>
      <c r="C933">
        <v>7</v>
      </c>
      <c r="D933">
        <v>103</v>
      </c>
      <c r="E933">
        <v>721</v>
      </c>
      <c r="F933" s="1">
        <v>45695</v>
      </c>
      <c r="G933" s="1">
        <v>45696</v>
      </c>
      <c r="H933" t="s">
        <v>23</v>
      </c>
      <c r="I933" t="s">
        <v>18</v>
      </c>
      <c r="J933">
        <v>5</v>
      </c>
      <c r="K933" t="s">
        <v>19</v>
      </c>
      <c r="L933" t="s">
        <v>55</v>
      </c>
      <c r="M933">
        <f>orders[[#This Row],[Ship Date]]-orders[[#This Row],[Order Date]]</f>
        <v>1</v>
      </c>
      <c r="N933">
        <f>WEEKNUM(orders[[#This Row],[Order Date]])</f>
        <v>6</v>
      </c>
      <c r="O933" t="str">
        <f>_xlfn.IFS(orders[[#This Row],[Customer Gender]]="M","Male", orders[[#This Row],[Customer Gender]]="F","Female", orders[[#This Row],[Customer Gender]]="O","Other", TRUE,"Unknown")</f>
        <v>Male</v>
      </c>
    </row>
    <row r="934" spans="1:15">
      <c r="A934" t="s">
        <v>1030</v>
      </c>
      <c r="B934" t="s">
        <v>37</v>
      </c>
      <c r="C934">
        <v>15</v>
      </c>
      <c r="D934">
        <v>46.6</v>
      </c>
      <c r="E934">
        <v>699</v>
      </c>
      <c r="F934" s="1">
        <v>45695</v>
      </c>
      <c r="G934" s="1">
        <v>45696</v>
      </c>
      <c r="H934" t="s">
        <v>27</v>
      </c>
      <c r="I934" t="s">
        <v>18</v>
      </c>
      <c r="J934">
        <v>3</v>
      </c>
      <c r="K934" t="s">
        <v>19</v>
      </c>
      <c r="L934" t="s">
        <v>55</v>
      </c>
      <c r="M934">
        <f>orders[[#This Row],[Ship Date]]-orders[[#This Row],[Order Date]]</f>
        <v>1</v>
      </c>
      <c r="N934">
        <f>WEEKNUM(orders[[#This Row],[Order Date]])</f>
        <v>6</v>
      </c>
      <c r="O934" t="str">
        <f>_xlfn.IFS(orders[[#This Row],[Customer Gender]]="M","Male", orders[[#This Row],[Customer Gender]]="F","Female", orders[[#This Row],[Customer Gender]]="O","Other", TRUE,"Unknown")</f>
        <v>Female</v>
      </c>
    </row>
    <row r="935" spans="1:15">
      <c r="A935" t="s">
        <v>1031</v>
      </c>
      <c r="B935" t="s">
        <v>16</v>
      </c>
      <c r="C935">
        <v>5</v>
      </c>
      <c r="D935">
        <v>32.200000000000003</v>
      </c>
      <c r="E935">
        <v>161</v>
      </c>
      <c r="F935" s="1">
        <v>45695</v>
      </c>
      <c r="G935" s="1">
        <v>45698</v>
      </c>
      <c r="H935" t="s">
        <v>27</v>
      </c>
      <c r="I935" t="s">
        <v>18</v>
      </c>
      <c r="J935">
        <v>5</v>
      </c>
      <c r="K935" t="s">
        <v>19</v>
      </c>
      <c r="L935" t="s">
        <v>342</v>
      </c>
      <c r="M935">
        <f>orders[[#This Row],[Ship Date]]-orders[[#This Row],[Order Date]]</f>
        <v>3</v>
      </c>
      <c r="N935">
        <f>WEEKNUM(orders[[#This Row],[Order Date]])</f>
        <v>6</v>
      </c>
      <c r="O935" t="str">
        <f>_xlfn.IFS(orders[[#This Row],[Customer Gender]]="M","Male", orders[[#This Row],[Customer Gender]]="F","Female", orders[[#This Row],[Customer Gender]]="O","Other", TRUE,"Unknown")</f>
        <v>Female</v>
      </c>
    </row>
    <row r="936" spans="1:15">
      <c r="A936" t="s">
        <v>1032</v>
      </c>
      <c r="B936" t="s">
        <v>44</v>
      </c>
      <c r="C936">
        <v>3</v>
      </c>
      <c r="D936">
        <v>22</v>
      </c>
      <c r="E936">
        <v>66</v>
      </c>
      <c r="F936" s="1">
        <v>45695</v>
      </c>
      <c r="G936" s="1">
        <v>45702</v>
      </c>
      <c r="H936" t="s">
        <v>23</v>
      </c>
      <c r="I936" t="s">
        <v>35</v>
      </c>
      <c r="J936">
        <v>4</v>
      </c>
      <c r="K936" t="s">
        <v>19</v>
      </c>
      <c r="L936" t="s">
        <v>59</v>
      </c>
      <c r="M936">
        <f>orders[[#This Row],[Ship Date]]-orders[[#This Row],[Order Date]]</f>
        <v>7</v>
      </c>
      <c r="N936">
        <f>WEEKNUM(orders[[#This Row],[Order Date]])</f>
        <v>6</v>
      </c>
      <c r="O936" t="str">
        <f>_xlfn.IFS(orders[[#This Row],[Customer Gender]]="M","Male", orders[[#This Row],[Customer Gender]]="F","Female", orders[[#This Row],[Customer Gender]]="O","Other", TRUE,"Unknown")</f>
        <v>Male</v>
      </c>
    </row>
    <row r="937" spans="1:15">
      <c r="A937" t="s">
        <v>1033</v>
      </c>
      <c r="B937" t="s">
        <v>16</v>
      </c>
      <c r="C937">
        <v>2</v>
      </c>
      <c r="D937">
        <v>25.2</v>
      </c>
      <c r="E937">
        <v>50.4</v>
      </c>
      <c r="F937" s="1">
        <v>45695</v>
      </c>
      <c r="G937" s="1">
        <v>45699</v>
      </c>
      <c r="H937" t="s">
        <v>27</v>
      </c>
      <c r="I937" t="s">
        <v>18</v>
      </c>
      <c r="J937">
        <v>4</v>
      </c>
      <c r="K937" t="s">
        <v>19</v>
      </c>
      <c r="L937" t="s">
        <v>59</v>
      </c>
      <c r="M937">
        <f>orders[[#This Row],[Ship Date]]-orders[[#This Row],[Order Date]]</f>
        <v>4</v>
      </c>
      <c r="N937">
        <f>WEEKNUM(orders[[#This Row],[Order Date]])</f>
        <v>6</v>
      </c>
      <c r="O937" t="str">
        <f>_xlfn.IFS(orders[[#This Row],[Customer Gender]]="M","Male", orders[[#This Row],[Customer Gender]]="F","Female", orders[[#This Row],[Customer Gender]]="O","Other", TRUE,"Unknown")</f>
        <v>Female</v>
      </c>
    </row>
    <row r="938" spans="1:15">
      <c r="A938" t="s">
        <v>1034</v>
      </c>
      <c r="B938" t="s">
        <v>22</v>
      </c>
      <c r="C938">
        <v>6</v>
      </c>
      <c r="D938">
        <v>68.7</v>
      </c>
      <c r="E938">
        <v>412.20000000000005</v>
      </c>
      <c r="F938" s="1">
        <v>45695</v>
      </c>
      <c r="G938" s="1">
        <v>45697</v>
      </c>
      <c r="H938" t="s">
        <v>23</v>
      </c>
      <c r="I938" t="s">
        <v>70</v>
      </c>
      <c r="J938">
        <v>4</v>
      </c>
      <c r="K938" t="s">
        <v>19</v>
      </c>
      <c r="L938" t="s">
        <v>62</v>
      </c>
      <c r="M938">
        <f>orders[[#This Row],[Ship Date]]-orders[[#This Row],[Order Date]]</f>
        <v>2</v>
      </c>
      <c r="N938">
        <f>WEEKNUM(orders[[#This Row],[Order Date]])</f>
        <v>6</v>
      </c>
      <c r="O938" t="str">
        <f>_xlfn.IFS(orders[[#This Row],[Customer Gender]]="M","Male", orders[[#This Row],[Customer Gender]]="F","Female", orders[[#This Row],[Customer Gender]]="O","Other", TRUE,"Unknown")</f>
        <v>Male</v>
      </c>
    </row>
    <row r="939" spans="1:15">
      <c r="A939" t="s">
        <v>1035</v>
      </c>
      <c r="B939" t="s">
        <v>16</v>
      </c>
      <c r="C939">
        <v>3</v>
      </c>
      <c r="D939">
        <v>22.2</v>
      </c>
      <c r="E939">
        <v>66.599999999999994</v>
      </c>
      <c r="F939" s="1">
        <v>45695</v>
      </c>
      <c r="G939" s="1">
        <v>45698</v>
      </c>
      <c r="H939" t="s">
        <v>23</v>
      </c>
      <c r="I939" t="s">
        <v>40</v>
      </c>
      <c r="J939">
        <v>5</v>
      </c>
      <c r="K939" t="s">
        <v>19</v>
      </c>
      <c r="L939" t="s">
        <v>62</v>
      </c>
      <c r="M939">
        <f>orders[[#This Row],[Ship Date]]-orders[[#This Row],[Order Date]]</f>
        <v>3</v>
      </c>
      <c r="N939">
        <f>WEEKNUM(orders[[#This Row],[Order Date]])</f>
        <v>6</v>
      </c>
      <c r="O939" t="str">
        <f>_xlfn.IFS(orders[[#This Row],[Customer Gender]]="M","Male", orders[[#This Row],[Customer Gender]]="F","Female", orders[[#This Row],[Customer Gender]]="O","Other", TRUE,"Unknown")</f>
        <v>Male</v>
      </c>
    </row>
    <row r="940" spans="1:15">
      <c r="A940" t="s">
        <v>1036</v>
      </c>
      <c r="B940" t="s">
        <v>22</v>
      </c>
      <c r="C940">
        <v>7</v>
      </c>
      <c r="D940">
        <v>36</v>
      </c>
      <c r="E940">
        <v>252</v>
      </c>
      <c r="F940" s="1">
        <v>45695</v>
      </c>
      <c r="G940" s="1">
        <v>45696</v>
      </c>
      <c r="H940" t="s">
        <v>27</v>
      </c>
      <c r="I940" t="s">
        <v>35</v>
      </c>
      <c r="J940">
        <v>4</v>
      </c>
      <c r="K940" t="s">
        <v>19</v>
      </c>
      <c r="L940" t="s">
        <v>62</v>
      </c>
      <c r="M940">
        <f>orders[[#This Row],[Ship Date]]-orders[[#This Row],[Order Date]]</f>
        <v>1</v>
      </c>
      <c r="N940">
        <f>WEEKNUM(orders[[#This Row],[Order Date]])</f>
        <v>6</v>
      </c>
      <c r="O940" t="str">
        <f>_xlfn.IFS(orders[[#This Row],[Customer Gender]]="M","Male", orders[[#This Row],[Customer Gender]]="F","Female", orders[[#This Row],[Customer Gender]]="O","Other", TRUE,"Unknown")</f>
        <v>Female</v>
      </c>
    </row>
    <row r="941" spans="1:15">
      <c r="A941" t="s">
        <v>1037</v>
      </c>
      <c r="B941" t="s">
        <v>146</v>
      </c>
      <c r="C941">
        <v>1</v>
      </c>
      <c r="D941">
        <v>50.6</v>
      </c>
      <c r="E941">
        <v>50.6</v>
      </c>
      <c r="F941" s="1">
        <v>45695</v>
      </c>
      <c r="G941" s="1">
        <v>45697</v>
      </c>
      <c r="H941" t="s">
        <v>27</v>
      </c>
      <c r="I941" t="s">
        <v>18</v>
      </c>
      <c r="J941">
        <v>3</v>
      </c>
      <c r="K941" t="s">
        <v>19</v>
      </c>
      <c r="L941" t="s">
        <v>62</v>
      </c>
      <c r="M941">
        <f>orders[[#This Row],[Ship Date]]-orders[[#This Row],[Order Date]]</f>
        <v>2</v>
      </c>
      <c r="N941">
        <f>WEEKNUM(orders[[#This Row],[Order Date]])</f>
        <v>6</v>
      </c>
      <c r="O941" t="str">
        <f>_xlfn.IFS(orders[[#This Row],[Customer Gender]]="M","Male", orders[[#This Row],[Customer Gender]]="F","Female", orders[[#This Row],[Customer Gender]]="O","Other", TRUE,"Unknown")</f>
        <v>Female</v>
      </c>
    </row>
    <row r="942" spans="1:15">
      <c r="A942" t="s">
        <v>1038</v>
      </c>
      <c r="B942" t="s">
        <v>123</v>
      </c>
      <c r="C942">
        <v>2</v>
      </c>
      <c r="D942">
        <v>44.9</v>
      </c>
      <c r="E942">
        <v>89.8</v>
      </c>
      <c r="F942" s="1">
        <v>45695</v>
      </c>
      <c r="G942" s="1">
        <v>45697</v>
      </c>
      <c r="H942" t="s">
        <v>23</v>
      </c>
      <c r="I942" t="s">
        <v>18</v>
      </c>
      <c r="J942">
        <v>3</v>
      </c>
      <c r="K942" t="s">
        <v>19</v>
      </c>
      <c r="L942" t="s">
        <v>62</v>
      </c>
      <c r="M942">
        <f>orders[[#This Row],[Ship Date]]-orders[[#This Row],[Order Date]]</f>
        <v>2</v>
      </c>
      <c r="N942">
        <f>WEEKNUM(orders[[#This Row],[Order Date]])</f>
        <v>6</v>
      </c>
      <c r="O942" t="str">
        <f>_xlfn.IFS(orders[[#This Row],[Customer Gender]]="M","Male", orders[[#This Row],[Customer Gender]]="F","Female", orders[[#This Row],[Customer Gender]]="O","Other", TRUE,"Unknown")</f>
        <v>Male</v>
      </c>
    </row>
    <row r="943" spans="1:15">
      <c r="A943" t="s">
        <v>1039</v>
      </c>
      <c r="B943" t="s">
        <v>39</v>
      </c>
      <c r="C943">
        <v>3</v>
      </c>
      <c r="D943">
        <v>71.599999999999994</v>
      </c>
      <c r="E943">
        <v>214.79999999999998</v>
      </c>
      <c r="F943" s="1">
        <v>45695</v>
      </c>
      <c r="G943" s="1">
        <v>45699</v>
      </c>
      <c r="H943" t="s">
        <v>23</v>
      </c>
      <c r="I943" t="s">
        <v>35</v>
      </c>
      <c r="J943">
        <v>5</v>
      </c>
      <c r="K943" t="s">
        <v>19</v>
      </c>
      <c r="L943" t="s">
        <v>74</v>
      </c>
      <c r="M943">
        <f>orders[[#This Row],[Ship Date]]-orders[[#This Row],[Order Date]]</f>
        <v>4</v>
      </c>
      <c r="N943">
        <f>WEEKNUM(orders[[#This Row],[Order Date]])</f>
        <v>6</v>
      </c>
      <c r="O943" t="str">
        <f>_xlfn.IFS(orders[[#This Row],[Customer Gender]]="M","Male", orders[[#This Row],[Customer Gender]]="F","Female", orders[[#This Row],[Customer Gender]]="O","Other", TRUE,"Unknown")</f>
        <v>Male</v>
      </c>
    </row>
    <row r="944" spans="1:15">
      <c r="A944" t="s">
        <v>1040</v>
      </c>
      <c r="B944" t="s">
        <v>39</v>
      </c>
      <c r="C944">
        <v>6</v>
      </c>
      <c r="D944">
        <v>51.5</v>
      </c>
      <c r="E944">
        <v>309</v>
      </c>
      <c r="F944" s="1">
        <v>45695</v>
      </c>
      <c r="G944" s="1">
        <v>45697</v>
      </c>
      <c r="H944" t="s">
        <v>17</v>
      </c>
      <c r="I944" t="s">
        <v>70</v>
      </c>
      <c r="J944">
        <v>4</v>
      </c>
      <c r="K944" t="s">
        <v>19</v>
      </c>
      <c r="L944" t="s">
        <v>77</v>
      </c>
      <c r="M944">
        <f>orders[[#This Row],[Ship Date]]-orders[[#This Row],[Order Date]]</f>
        <v>2</v>
      </c>
      <c r="N944">
        <f>WEEKNUM(orders[[#This Row],[Order Date]])</f>
        <v>6</v>
      </c>
      <c r="O944" t="str">
        <f>_xlfn.IFS(orders[[#This Row],[Customer Gender]]="M","Male", orders[[#This Row],[Customer Gender]]="F","Female", orders[[#This Row],[Customer Gender]]="O","Other", TRUE,"Unknown")</f>
        <v>Unknown</v>
      </c>
    </row>
    <row r="945" spans="1:15">
      <c r="A945" t="s">
        <v>1041</v>
      </c>
      <c r="B945" t="s">
        <v>42</v>
      </c>
      <c r="C945">
        <v>5</v>
      </c>
      <c r="D945">
        <v>55.5</v>
      </c>
      <c r="E945">
        <v>277.5</v>
      </c>
      <c r="F945" s="1">
        <v>45695</v>
      </c>
      <c r="G945" s="1">
        <v>45696</v>
      </c>
      <c r="H945" t="s">
        <v>23</v>
      </c>
      <c r="I945" t="s">
        <v>35</v>
      </c>
      <c r="J945">
        <v>3</v>
      </c>
      <c r="K945" t="s">
        <v>19</v>
      </c>
      <c r="L945" t="s">
        <v>77</v>
      </c>
      <c r="M945">
        <f>orders[[#This Row],[Ship Date]]-orders[[#This Row],[Order Date]]</f>
        <v>1</v>
      </c>
      <c r="N945">
        <f>WEEKNUM(orders[[#This Row],[Order Date]])</f>
        <v>6</v>
      </c>
      <c r="O945" t="str">
        <f>_xlfn.IFS(orders[[#This Row],[Customer Gender]]="M","Male", orders[[#This Row],[Customer Gender]]="F","Female", orders[[#This Row],[Customer Gender]]="O","Other", TRUE,"Unknown")</f>
        <v>Male</v>
      </c>
    </row>
    <row r="946" spans="1:15">
      <c r="A946" t="s">
        <v>1042</v>
      </c>
      <c r="B946" t="s">
        <v>39</v>
      </c>
      <c r="C946">
        <v>1</v>
      </c>
      <c r="D946">
        <v>51.7</v>
      </c>
      <c r="E946">
        <v>51.7</v>
      </c>
      <c r="F946" s="1">
        <v>45695</v>
      </c>
      <c r="G946" s="1">
        <v>45709</v>
      </c>
      <c r="H946" t="s">
        <v>23</v>
      </c>
      <c r="I946" t="s">
        <v>40</v>
      </c>
      <c r="J946">
        <v>4</v>
      </c>
      <c r="K946" t="s">
        <v>19</v>
      </c>
      <c r="L946" t="s">
        <v>110</v>
      </c>
      <c r="M946">
        <f>orders[[#This Row],[Ship Date]]-orders[[#This Row],[Order Date]]</f>
        <v>14</v>
      </c>
      <c r="N946">
        <f>WEEKNUM(orders[[#This Row],[Order Date]])</f>
        <v>6</v>
      </c>
      <c r="O946" t="str">
        <f>_xlfn.IFS(orders[[#This Row],[Customer Gender]]="M","Male", orders[[#This Row],[Customer Gender]]="F","Female", orders[[#This Row],[Customer Gender]]="O","Other", TRUE,"Unknown")</f>
        <v>Male</v>
      </c>
    </row>
    <row r="947" spans="1:15">
      <c r="A947" t="s">
        <v>1043</v>
      </c>
      <c r="B947" t="s">
        <v>44</v>
      </c>
      <c r="C947">
        <v>21</v>
      </c>
      <c r="D947">
        <v>45.5</v>
      </c>
      <c r="E947">
        <v>955.5</v>
      </c>
      <c r="F947" s="1">
        <v>45695</v>
      </c>
      <c r="G947" s="1">
        <v>45696</v>
      </c>
      <c r="H947" t="s">
        <v>27</v>
      </c>
      <c r="I947" t="s">
        <v>51</v>
      </c>
      <c r="J947">
        <v>5</v>
      </c>
      <c r="K947" t="s">
        <v>19</v>
      </c>
      <c r="L947" t="s">
        <v>110</v>
      </c>
      <c r="M947">
        <f>orders[[#This Row],[Ship Date]]-orders[[#This Row],[Order Date]]</f>
        <v>1</v>
      </c>
      <c r="N947">
        <f>WEEKNUM(orders[[#This Row],[Order Date]])</f>
        <v>6</v>
      </c>
      <c r="O947" t="str">
        <f>_xlfn.IFS(orders[[#This Row],[Customer Gender]]="M","Male", orders[[#This Row],[Customer Gender]]="F","Female", orders[[#This Row],[Customer Gender]]="O","Other", TRUE,"Unknown")</f>
        <v>Female</v>
      </c>
    </row>
    <row r="948" spans="1:15">
      <c r="A948" t="s">
        <v>1044</v>
      </c>
      <c r="B948" t="s">
        <v>44</v>
      </c>
      <c r="C948">
        <v>2</v>
      </c>
      <c r="D948">
        <v>33.799999999999997</v>
      </c>
      <c r="E948">
        <v>67.599999999999994</v>
      </c>
      <c r="F948" s="1">
        <v>45695</v>
      </c>
      <c r="G948" s="1">
        <v>45701</v>
      </c>
      <c r="H948" t="s">
        <v>27</v>
      </c>
      <c r="I948" t="s">
        <v>51</v>
      </c>
      <c r="J948">
        <v>4</v>
      </c>
      <c r="K948" t="s">
        <v>19</v>
      </c>
      <c r="L948" t="s">
        <v>113</v>
      </c>
      <c r="M948">
        <f>orders[[#This Row],[Ship Date]]-orders[[#This Row],[Order Date]]</f>
        <v>6</v>
      </c>
      <c r="N948">
        <f>WEEKNUM(orders[[#This Row],[Order Date]])</f>
        <v>6</v>
      </c>
      <c r="O948" t="str">
        <f>_xlfn.IFS(orders[[#This Row],[Customer Gender]]="M","Male", orders[[#This Row],[Customer Gender]]="F","Female", orders[[#This Row],[Customer Gender]]="O","Other", TRUE,"Unknown")</f>
        <v>Female</v>
      </c>
    </row>
    <row r="949" spans="1:15">
      <c r="A949" t="s">
        <v>1045</v>
      </c>
      <c r="B949" t="s">
        <v>30</v>
      </c>
      <c r="C949">
        <v>3</v>
      </c>
      <c r="D949">
        <v>76.5</v>
      </c>
      <c r="E949">
        <v>229.5</v>
      </c>
      <c r="F949" s="1">
        <v>45695</v>
      </c>
      <c r="G949" s="1">
        <v>45696</v>
      </c>
      <c r="H949" t="s">
        <v>27</v>
      </c>
      <c r="I949" t="s">
        <v>18</v>
      </c>
      <c r="J949">
        <v>3</v>
      </c>
      <c r="K949" t="s">
        <v>19</v>
      </c>
      <c r="L949" t="s">
        <v>115</v>
      </c>
      <c r="M949">
        <f>orders[[#This Row],[Ship Date]]-orders[[#This Row],[Order Date]]</f>
        <v>1</v>
      </c>
      <c r="N949">
        <f>WEEKNUM(orders[[#This Row],[Order Date]])</f>
        <v>6</v>
      </c>
      <c r="O949" t="str">
        <f>_xlfn.IFS(orders[[#This Row],[Customer Gender]]="M","Male", orders[[#This Row],[Customer Gender]]="F","Female", orders[[#This Row],[Customer Gender]]="O","Other", TRUE,"Unknown")</f>
        <v>Female</v>
      </c>
    </row>
    <row r="950" spans="1:15">
      <c r="A950" t="s">
        <v>1046</v>
      </c>
      <c r="B950" t="s">
        <v>46</v>
      </c>
      <c r="C950">
        <v>3</v>
      </c>
      <c r="D950">
        <v>42.6</v>
      </c>
      <c r="E950">
        <v>127.80000000000001</v>
      </c>
      <c r="F950" s="1">
        <v>45695</v>
      </c>
      <c r="G950" s="1">
        <v>45701</v>
      </c>
      <c r="H950" t="s">
        <v>27</v>
      </c>
      <c r="I950" t="s">
        <v>40</v>
      </c>
      <c r="J950">
        <v>5</v>
      </c>
      <c r="K950" t="s">
        <v>19</v>
      </c>
      <c r="L950" t="s">
        <v>28</v>
      </c>
      <c r="M950">
        <f>orders[[#This Row],[Ship Date]]-orders[[#This Row],[Order Date]]</f>
        <v>6</v>
      </c>
      <c r="N950">
        <f>WEEKNUM(orders[[#This Row],[Order Date]])</f>
        <v>6</v>
      </c>
      <c r="O950" t="str">
        <f>_xlfn.IFS(orders[[#This Row],[Customer Gender]]="M","Male", orders[[#This Row],[Customer Gender]]="F","Female", orders[[#This Row],[Customer Gender]]="O","Other", TRUE,"Unknown")</f>
        <v>Female</v>
      </c>
    </row>
    <row r="951" spans="1:15">
      <c r="A951" t="s">
        <v>1047</v>
      </c>
      <c r="B951" t="s">
        <v>39</v>
      </c>
      <c r="C951">
        <v>3</v>
      </c>
      <c r="D951">
        <v>44.1</v>
      </c>
      <c r="E951">
        <v>132.30000000000001</v>
      </c>
      <c r="F951" s="1">
        <v>45695</v>
      </c>
      <c r="G951" s="1">
        <v>45697</v>
      </c>
      <c r="H951" t="s">
        <v>27</v>
      </c>
      <c r="I951" t="s">
        <v>35</v>
      </c>
      <c r="J951">
        <v>3</v>
      </c>
      <c r="K951" t="s">
        <v>19</v>
      </c>
      <c r="L951" t="s">
        <v>147</v>
      </c>
      <c r="M951">
        <f>orders[[#This Row],[Ship Date]]-orders[[#This Row],[Order Date]]</f>
        <v>2</v>
      </c>
      <c r="N951">
        <f>WEEKNUM(orders[[#This Row],[Order Date]])</f>
        <v>6</v>
      </c>
      <c r="O951" t="str">
        <f>_xlfn.IFS(orders[[#This Row],[Customer Gender]]="M","Male", orders[[#This Row],[Customer Gender]]="F","Female", orders[[#This Row],[Customer Gender]]="O","Other", TRUE,"Unknown")</f>
        <v>Female</v>
      </c>
    </row>
    <row r="952" spans="1:15">
      <c r="A952" t="s">
        <v>1048</v>
      </c>
      <c r="B952" t="s">
        <v>44</v>
      </c>
      <c r="C952">
        <v>2</v>
      </c>
      <c r="D952">
        <v>40.9</v>
      </c>
      <c r="E952">
        <v>81.8</v>
      </c>
      <c r="F952" s="1">
        <v>45695</v>
      </c>
      <c r="G952" s="1">
        <v>45699</v>
      </c>
      <c r="H952" t="s">
        <v>23</v>
      </c>
      <c r="I952" t="s">
        <v>18</v>
      </c>
      <c r="J952">
        <v>4</v>
      </c>
      <c r="K952" t="s">
        <v>19</v>
      </c>
      <c r="L952" t="s">
        <v>33</v>
      </c>
      <c r="M952">
        <f>orders[[#This Row],[Ship Date]]-orders[[#This Row],[Order Date]]</f>
        <v>4</v>
      </c>
      <c r="N952">
        <f>WEEKNUM(orders[[#This Row],[Order Date]])</f>
        <v>6</v>
      </c>
      <c r="O952" t="str">
        <f>_xlfn.IFS(orders[[#This Row],[Customer Gender]]="M","Male", orders[[#This Row],[Customer Gender]]="F","Female", orders[[#This Row],[Customer Gender]]="O","Other", TRUE,"Unknown")</f>
        <v>Male</v>
      </c>
    </row>
    <row r="953" spans="1:15">
      <c r="A953" t="s">
        <v>1049</v>
      </c>
      <c r="B953" t="s">
        <v>46</v>
      </c>
      <c r="C953">
        <v>3</v>
      </c>
      <c r="D953">
        <v>49.1</v>
      </c>
      <c r="E953">
        <v>147.30000000000001</v>
      </c>
      <c r="F953" s="1">
        <v>45695</v>
      </c>
      <c r="G953" s="1">
        <v>45699</v>
      </c>
      <c r="H953" t="s">
        <v>27</v>
      </c>
      <c r="I953" t="s">
        <v>51</v>
      </c>
      <c r="J953">
        <v>3</v>
      </c>
      <c r="K953" t="s">
        <v>19</v>
      </c>
      <c r="L953" t="s">
        <v>33</v>
      </c>
      <c r="M953">
        <f>orders[[#This Row],[Ship Date]]-orders[[#This Row],[Order Date]]</f>
        <v>4</v>
      </c>
      <c r="N953">
        <f>WEEKNUM(orders[[#This Row],[Order Date]])</f>
        <v>6</v>
      </c>
      <c r="O953" t="str">
        <f>_xlfn.IFS(orders[[#This Row],[Customer Gender]]="M","Male", orders[[#This Row],[Customer Gender]]="F","Female", orders[[#This Row],[Customer Gender]]="O","Other", TRUE,"Unknown")</f>
        <v>Female</v>
      </c>
    </row>
    <row r="954" spans="1:15">
      <c r="A954" t="s">
        <v>1050</v>
      </c>
      <c r="B954" t="s">
        <v>146</v>
      </c>
      <c r="C954">
        <v>1</v>
      </c>
      <c r="D954">
        <v>85.3</v>
      </c>
      <c r="E954">
        <v>85.3</v>
      </c>
      <c r="F954" s="1">
        <v>45695</v>
      </c>
      <c r="G954" s="1">
        <v>45699</v>
      </c>
      <c r="H954" t="s">
        <v>23</v>
      </c>
      <c r="I954" t="s">
        <v>35</v>
      </c>
      <c r="J954">
        <v>3</v>
      </c>
      <c r="K954" t="s">
        <v>19</v>
      </c>
      <c r="L954" t="s">
        <v>33</v>
      </c>
      <c r="M954">
        <f>orders[[#This Row],[Ship Date]]-orders[[#This Row],[Order Date]]</f>
        <v>4</v>
      </c>
      <c r="N954">
        <f>WEEKNUM(orders[[#This Row],[Order Date]])</f>
        <v>6</v>
      </c>
      <c r="O954" t="str">
        <f>_xlfn.IFS(orders[[#This Row],[Customer Gender]]="M","Male", orders[[#This Row],[Customer Gender]]="F","Female", orders[[#This Row],[Customer Gender]]="O","Other", TRUE,"Unknown")</f>
        <v>Male</v>
      </c>
    </row>
    <row r="955" spans="1:15">
      <c r="A955" t="s">
        <v>1051</v>
      </c>
      <c r="B955" t="s">
        <v>39</v>
      </c>
      <c r="C955">
        <v>4</v>
      </c>
      <c r="D955">
        <v>43.1</v>
      </c>
      <c r="E955">
        <v>172.4</v>
      </c>
      <c r="F955" s="1">
        <v>45696</v>
      </c>
      <c r="G955" s="1">
        <v>45699</v>
      </c>
      <c r="H955" t="s">
        <v>23</v>
      </c>
      <c r="I955" t="s">
        <v>18</v>
      </c>
      <c r="J955">
        <v>4</v>
      </c>
      <c r="K955" t="s">
        <v>19</v>
      </c>
      <c r="L955" t="s">
        <v>33</v>
      </c>
      <c r="M955">
        <f>orders[[#This Row],[Ship Date]]-orders[[#This Row],[Order Date]]</f>
        <v>3</v>
      </c>
      <c r="N955">
        <f>WEEKNUM(orders[[#This Row],[Order Date]])</f>
        <v>6</v>
      </c>
      <c r="O955" t="str">
        <f>_xlfn.IFS(orders[[#This Row],[Customer Gender]]="M","Male", orders[[#This Row],[Customer Gender]]="F","Female", orders[[#This Row],[Customer Gender]]="O","Other", TRUE,"Unknown")</f>
        <v>Male</v>
      </c>
    </row>
    <row r="956" spans="1:15">
      <c r="A956" t="s">
        <v>1052</v>
      </c>
      <c r="B956" t="s">
        <v>32</v>
      </c>
      <c r="C956">
        <v>4</v>
      </c>
      <c r="D956">
        <v>46.2</v>
      </c>
      <c r="E956">
        <v>184.8</v>
      </c>
      <c r="F956" s="1">
        <v>45696</v>
      </c>
      <c r="G956" s="1">
        <v>45697</v>
      </c>
      <c r="H956" t="s">
        <v>23</v>
      </c>
      <c r="I956" t="s">
        <v>40</v>
      </c>
      <c r="J956">
        <v>4</v>
      </c>
      <c r="K956" t="s">
        <v>19</v>
      </c>
      <c r="L956" t="s">
        <v>33</v>
      </c>
      <c r="M956">
        <f>orders[[#This Row],[Ship Date]]-orders[[#This Row],[Order Date]]</f>
        <v>1</v>
      </c>
      <c r="N956">
        <f>WEEKNUM(orders[[#This Row],[Order Date]])</f>
        <v>6</v>
      </c>
      <c r="O956" t="str">
        <f>_xlfn.IFS(orders[[#This Row],[Customer Gender]]="M","Male", orders[[#This Row],[Customer Gender]]="F","Female", orders[[#This Row],[Customer Gender]]="O","Other", TRUE,"Unknown")</f>
        <v>Male</v>
      </c>
    </row>
    <row r="957" spans="1:15">
      <c r="A957" t="s">
        <v>1053</v>
      </c>
      <c r="B957" t="s">
        <v>22</v>
      </c>
      <c r="C957">
        <v>1</v>
      </c>
      <c r="D957">
        <v>74.400000000000006</v>
      </c>
      <c r="E957">
        <v>74.400000000000006</v>
      </c>
      <c r="F957" s="1">
        <v>45696</v>
      </c>
      <c r="G957" s="1">
        <v>45698</v>
      </c>
      <c r="H957" t="s">
        <v>23</v>
      </c>
      <c r="I957" t="s">
        <v>70</v>
      </c>
      <c r="J957">
        <v>5</v>
      </c>
      <c r="K957" t="s">
        <v>19</v>
      </c>
      <c r="L957" t="s">
        <v>33</v>
      </c>
      <c r="M957">
        <f>orders[[#This Row],[Ship Date]]-orders[[#This Row],[Order Date]]</f>
        <v>2</v>
      </c>
      <c r="N957">
        <f>WEEKNUM(orders[[#This Row],[Order Date]])</f>
        <v>6</v>
      </c>
      <c r="O957" t="str">
        <f>_xlfn.IFS(orders[[#This Row],[Customer Gender]]="M","Male", orders[[#This Row],[Customer Gender]]="F","Female", orders[[#This Row],[Customer Gender]]="O","Other", TRUE,"Unknown")</f>
        <v>Male</v>
      </c>
    </row>
    <row r="958" spans="1:15">
      <c r="A958" t="s">
        <v>1054</v>
      </c>
      <c r="B958" t="s">
        <v>135</v>
      </c>
      <c r="C958">
        <v>2</v>
      </c>
      <c r="D958">
        <v>51.2</v>
      </c>
      <c r="E958">
        <v>102.4</v>
      </c>
      <c r="F958" s="1">
        <v>45696</v>
      </c>
      <c r="G958" s="1">
        <v>45697</v>
      </c>
      <c r="H958" t="s">
        <v>23</v>
      </c>
      <c r="I958" t="s">
        <v>35</v>
      </c>
      <c r="J958">
        <v>4</v>
      </c>
      <c r="K958" t="s">
        <v>19</v>
      </c>
      <c r="L958" t="s">
        <v>33</v>
      </c>
      <c r="M958">
        <f>orders[[#This Row],[Ship Date]]-orders[[#This Row],[Order Date]]</f>
        <v>1</v>
      </c>
      <c r="N958">
        <f>WEEKNUM(orders[[#This Row],[Order Date]])</f>
        <v>6</v>
      </c>
      <c r="O958" t="str">
        <f>_xlfn.IFS(orders[[#This Row],[Customer Gender]]="M","Male", orders[[#This Row],[Customer Gender]]="F","Female", orders[[#This Row],[Customer Gender]]="O","Other", TRUE,"Unknown")</f>
        <v>Male</v>
      </c>
    </row>
    <row r="959" spans="1:15">
      <c r="A959" t="s">
        <v>1055</v>
      </c>
      <c r="B959" t="s">
        <v>81</v>
      </c>
      <c r="C959">
        <v>4</v>
      </c>
      <c r="D959">
        <v>11.8</v>
      </c>
      <c r="E959">
        <v>47.2</v>
      </c>
      <c r="F959" s="1">
        <v>45696</v>
      </c>
      <c r="G959" s="1">
        <v>45696</v>
      </c>
      <c r="H959" t="s">
        <v>23</v>
      </c>
      <c r="I959" t="s">
        <v>40</v>
      </c>
      <c r="J959">
        <v>4</v>
      </c>
      <c r="K959" t="s">
        <v>19</v>
      </c>
      <c r="L959" t="s">
        <v>33</v>
      </c>
      <c r="M959">
        <f>orders[[#This Row],[Ship Date]]-orders[[#This Row],[Order Date]]</f>
        <v>0</v>
      </c>
      <c r="N959">
        <f>WEEKNUM(orders[[#This Row],[Order Date]])</f>
        <v>6</v>
      </c>
      <c r="O959" t="str">
        <f>_xlfn.IFS(orders[[#This Row],[Customer Gender]]="M","Male", orders[[#This Row],[Customer Gender]]="F","Female", orders[[#This Row],[Customer Gender]]="O","Other", TRUE,"Unknown")</f>
        <v>Male</v>
      </c>
    </row>
    <row r="960" spans="1:15">
      <c r="A960" t="s">
        <v>1056</v>
      </c>
      <c r="B960" t="s">
        <v>54</v>
      </c>
      <c r="C960">
        <v>27</v>
      </c>
      <c r="D960">
        <v>40.799999999999997</v>
      </c>
      <c r="E960">
        <v>1101.5999999999999</v>
      </c>
      <c r="F960" s="1">
        <v>45696</v>
      </c>
      <c r="G960" s="1">
        <v>45697</v>
      </c>
      <c r="H960" t="s">
        <v>27</v>
      </c>
      <c r="I960" t="s">
        <v>51</v>
      </c>
      <c r="J960">
        <v>5</v>
      </c>
      <c r="K960" t="s">
        <v>19</v>
      </c>
      <c r="L960" t="s">
        <v>33</v>
      </c>
      <c r="M960">
        <f>orders[[#This Row],[Ship Date]]-orders[[#This Row],[Order Date]]</f>
        <v>1</v>
      </c>
      <c r="N960">
        <f>WEEKNUM(orders[[#This Row],[Order Date]])</f>
        <v>6</v>
      </c>
      <c r="O960" t="str">
        <f>_xlfn.IFS(orders[[#This Row],[Customer Gender]]="M","Male", orders[[#This Row],[Customer Gender]]="F","Female", orders[[#This Row],[Customer Gender]]="O","Other", TRUE,"Unknown")</f>
        <v>Female</v>
      </c>
    </row>
    <row r="961" spans="1:15">
      <c r="A961" t="s">
        <v>1057</v>
      </c>
      <c r="B961" t="s">
        <v>44</v>
      </c>
      <c r="C961">
        <v>1</v>
      </c>
      <c r="D961">
        <v>24.7</v>
      </c>
      <c r="E961">
        <v>24.7</v>
      </c>
      <c r="F961" s="1">
        <v>45696</v>
      </c>
      <c r="G961" s="1">
        <v>45698</v>
      </c>
      <c r="H961" t="s">
        <v>27</v>
      </c>
      <c r="I961" t="s">
        <v>40</v>
      </c>
      <c r="J961">
        <v>3</v>
      </c>
      <c r="K961" t="s">
        <v>19</v>
      </c>
      <c r="L961" t="s">
        <v>33</v>
      </c>
      <c r="M961">
        <f>orders[[#This Row],[Ship Date]]-orders[[#This Row],[Order Date]]</f>
        <v>2</v>
      </c>
      <c r="N961">
        <f>WEEKNUM(orders[[#This Row],[Order Date]])</f>
        <v>6</v>
      </c>
      <c r="O961" t="str">
        <f>_xlfn.IFS(orders[[#This Row],[Customer Gender]]="M","Male", orders[[#This Row],[Customer Gender]]="F","Female", orders[[#This Row],[Customer Gender]]="O","Other", TRUE,"Unknown")</f>
        <v>Female</v>
      </c>
    </row>
    <row r="962" spans="1:15">
      <c r="A962" t="s">
        <v>1058</v>
      </c>
      <c r="B962" t="s">
        <v>44</v>
      </c>
      <c r="C962">
        <v>7</v>
      </c>
      <c r="D962">
        <v>22.1</v>
      </c>
      <c r="E962">
        <v>154.70000000000002</v>
      </c>
      <c r="F962" s="1">
        <v>45696</v>
      </c>
      <c r="G962" s="1">
        <v>45696</v>
      </c>
      <c r="H962" t="s">
        <v>27</v>
      </c>
      <c r="I962" t="s">
        <v>40</v>
      </c>
      <c r="J962">
        <v>2</v>
      </c>
      <c r="K962" t="s">
        <v>19</v>
      </c>
      <c r="L962" t="s">
        <v>33</v>
      </c>
      <c r="M962">
        <f>orders[[#This Row],[Ship Date]]-orders[[#This Row],[Order Date]]</f>
        <v>0</v>
      </c>
      <c r="N962">
        <f>WEEKNUM(orders[[#This Row],[Order Date]])</f>
        <v>6</v>
      </c>
      <c r="O962" t="str">
        <f>_xlfn.IFS(orders[[#This Row],[Customer Gender]]="M","Male", orders[[#This Row],[Customer Gender]]="F","Female", orders[[#This Row],[Customer Gender]]="O","Other", TRUE,"Unknown")</f>
        <v>Female</v>
      </c>
    </row>
    <row r="963" spans="1:15">
      <c r="A963" t="s">
        <v>1059</v>
      </c>
      <c r="B963" t="s">
        <v>44</v>
      </c>
      <c r="C963">
        <v>1</v>
      </c>
      <c r="D963">
        <v>18.100000000000001</v>
      </c>
      <c r="E963">
        <v>18.100000000000001</v>
      </c>
      <c r="F963" s="1">
        <v>45696</v>
      </c>
      <c r="G963" s="1">
        <v>45700</v>
      </c>
      <c r="H963" t="s">
        <v>23</v>
      </c>
      <c r="I963" t="s">
        <v>51</v>
      </c>
      <c r="J963">
        <v>5</v>
      </c>
      <c r="K963" t="s">
        <v>19</v>
      </c>
      <c r="L963" t="s">
        <v>33</v>
      </c>
      <c r="M963">
        <f>orders[[#This Row],[Ship Date]]-orders[[#This Row],[Order Date]]</f>
        <v>4</v>
      </c>
      <c r="N963">
        <f>WEEKNUM(orders[[#This Row],[Order Date]])</f>
        <v>6</v>
      </c>
      <c r="O963" t="str">
        <f>_xlfn.IFS(orders[[#This Row],[Customer Gender]]="M","Male", orders[[#This Row],[Customer Gender]]="F","Female", orders[[#This Row],[Customer Gender]]="O","Other", TRUE,"Unknown")</f>
        <v>Male</v>
      </c>
    </row>
    <row r="964" spans="1:15">
      <c r="A964" t="s">
        <v>1060</v>
      </c>
      <c r="B964" t="s">
        <v>135</v>
      </c>
      <c r="C964">
        <v>2</v>
      </c>
      <c r="D964">
        <v>58.8</v>
      </c>
      <c r="E964">
        <v>117.6</v>
      </c>
      <c r="F964" s="1">
        <v>45696</v>
      </c>
      <c r="G964" s="1">
        <v>45699</v>
      </c>
      <c r="H964" t="s">
        <v>27</v>
      </c>
      <c r="I964" t="s">
        <v>18</v>
      </c>
      <c r="J964">
        <v>4</v>
      </c>
      <c r="K964" t="s">
        <v>19</v>
      </c>
      <c r="L964" t="s">
        <v>188</v>
      </c>
      <c r="M964">
        <f>orders[[#This Row],[Ship Date]]-orders[[#This Row],[Order Date]]</f>
        <v>3</v>
      </c>
      <c r="N964">
        <f>WEEKNUM(orders[[#This Row],[Order Date]])</f>
        <v>6</v>
      </c>
      <c r="O964" t="str">
        <f>_xlfn.IFS(orders[[#This Row],[Customer Gender]]="M","Male", orders[[#This Row],[Customer Gender]]="F","Female", orders[[#This Row],[Customer Gender]]="O","Other", TRUE,"Unknown")</f>
        <v>Female</v>
      </c>
    </row>
    <row r="965" spans="1:15">
      <c r="A965" t="s">
        <v>1061</v>
      </c>
      <c r="B965" t="s">
        <v>146</v>
      </c>
      <c r="C965">
        <v>2</v>
      </c>
      <c r="D965">
        <v>30.8</v>
      </c>
      <c r="E965">
        <v>61.6</v>
      </c>
      <c r="F965" s="1">
        <v>45696</v>
      </c>
      <c r="G965" s="1">
        <v>45697</v>
      </c>
      <c r="H965" t="s">
        <v>27</v>
      </c>
      <c r="I965" t="s">
        <v>18</v>
      </c>
      <c r="J965">
        <v>4</v>
      </c>
      <c r="K965" t="s">
        <v>19</v>
      </c>
      <c r="L965" t="s">
        <v>55</v>
      </c>
      <c r="M965">
        <f>orders[[#This Row],[Ship Date]]-orders[[#This Row],[Order Date]]</f>
        <v>1</v>
      </c>
      <c r="N965">
        <f>WEEKNUM(orders[[#This Row],[Order Date]])</f>
        <v>6</v>
      </c>
      <c r="O965" t="str">
        <f>_xlfn.IFS(orders[[#This Row],[Customer Gender]]="M","Male", orders[[#This Row],[Customer Gender]]="F","Female", orders[[#This Row],[Customer Gender]]="O","Other", TRUE,"Unknown")</f>
        <v>Female</v>
      </c>
    </row>
    <row r="966" spans="1:15">
      <c r="A966" t="s">
        <v>1062</v>
      </c>
      <c r="B966" t="s">
        <v>16</v>
      </c>
      <c r="C966">
        <v>2</v>
      </c>
      <c r="D966">
        <v>12</v>
      </c>
      <c r="E966">
        <v>24</v>
      </c>
      <c r="F966" s="1">
        <v>45696</v>
      </c>
      <c r="G966" s="1">
        <v>45700</v>
      </c>
      <c r="H966" t="s">
        <v>27</v>
      </c>
      <c r="I966" t="s">
        <v>18</v>
      </c>
      <c r="J966">
        <v>4</v>
      </c>
      <c r="K966" t="s">
        <v>19</v>
      </c>
      <c r="L966" t="s">
        <v>55</v>
      </c>
      <c r="M966">
        <f>orders[[#This Row],[Ship Date]]-orders[[#This Row],[Order Date]]</f>
        <v>4</v>
      </c>
      <c r="N966">
        <f>WEEKNUM(orders[[#This Row],[Order Date]])</f>
        <v>6</v>
      </c>
      <c r="O966" t="str">
        <f>_xlfn.IFS(orders[[#This Row],[Customer Gender]]="M","Male", orders[[#This Row],[Customer Gender]]="F","Female", orders[[#This Row],[Customer Gender]]="O","Other", TRUE,"Unknown")</f>
        <v>Female</v>
      </c>
    </row>
    <row r="967" spans="1:15">
      <c r="A967" t="s">
        <v>1063</v>
      </c>
      <c r="B967" t="s">
        <v>16</v>
      </c>
      <c r="C967">
        <v>4</v>
      </c>
      <c r="D967">
        <v>13.6</v>
      </c>
      <c r="E967">
        <v>54.4</v>
      </c>
      <c r="F967" s="1">
        <v>45696</v>
      </c>
      <c r="G967" s="1">
        <v>45699</v>
      </c>
      <c r="H967" t="s">
        <v>23</v>
      </c>
      <c r="I967" t="s">
        <v>40</v>
      </c>
      <c r="J967">
        <v>4</v>
      </c>
      <c r="K967" t="s">
        <v>19</v>
      </c>
      <c r="L967" t="s">
        <v>55</v>
      </c>
      <c r="M967">
        <f>orders[[#This Row],[Ship Date]]-orders[[#This Row],[Order Date]]</f>
        <v>3</v>
      </c>
      <c r="N967">
        <f>WEEKNUM(orders[[#This Row],[Order Date]])</f>
        <v>6</v>
      </c>
      <c r="O967" t="str">
        <f>_xlfn.IFS(orders[[#This Row],[Customer Gender]]="M","Male", orders[[#This Row],[Customer Gender]]="F","Female", orders[[#This Row],[Customer Gender]]="O","Other", TRUE,"Unknown")</f>
        <v>Male</v>
      </c>
    </row>
    <row r="968" spans="1:15">
      <c r="A968" t="s">
        <v>1064</v>
      </c>
      <c r="B968" t="s">
        <v>16</v>
      </c>
      <c r="C968">
        <v>1</v>
      </c>
      <c r="D968">
        <v>17.899999999999999</v>
      </c>
      <c r="E968">
        <v>17.899999999999999</v>
      </c>
      <c r="F968" s="1">
        <v>45696</v>
      </c>
      <c r="G968" s="1">
        <v>45697</v>
      </c>
      <c r="H968" t="s">
        <v>23</v>
      </c>
      <c r="I968" t="s">
        <v>51</v>
      </c>
      <c r="J968">
        <v>4</v>
      </c>
      <c r="K968" t="s">
        <v>19</v>
      </c>
      <c r="L968" t="s">
        <v>55</v>
      </c>
      <c r="M968">
        <f>orders[[#This Row],[Ship Date]]-orders[[#This Row],[Order Date]]</f>
        <v>1</v>
      </c>
      <c r="N968">
        <f>WEEKNUM(orders[[#This Row],[Order Date]])</f>
        <v>6</v>
      </c>
      <c r="O968" t="str">
        <f>_xlfn.IFS(orders[[#This Row],[Customer Gender]]="M","Male", orders[[#This Row],[Customer Gender]]="F","Female", orders[[#This Row],[Customer Gender]]="O","Other", TRUE,"Unknown")</f>
        <v>Male</v>
      </c>
    </row>
    <row r="969" spans="1:15">
      <c r="A969" t="s">
        <v>1065</v>
      </c>
      <c r="B969" t="s">
        <v>46</v>
      </c>
      <c r="C969">
        <v>2</v>
      </c>
      <c r="D969">
        <v>38.6</v>
      </c>
      <c r="E969">
        <v>77.2</v>
      </c>
      <c r="F969" s="1">
        <v>45696</v>
      </c>
      <c r="G969" s="1">
        <v>45700</v>
      </c>
      <c r="H969" t="s">
        <v>27</v>
      </c>
      <c r="I969" t="s">
        <v>70</v>
      </c>
      <c r="J969">
        <v>4</v>
      </c>
      <c r="K969" t="s">
        <v>19</v>
      </c>
      <c r="L969" t="s">
        <v>59</v>
      </c>
      <c r="M969">
        <f>orders[[#This Row],[Ship Date]]-orders[[#This Row],[Order Date]]</f>
        <v>4</v>
      </c>
      <c r="N969">
        <f>WEEKNUM(orders[[#This Row],[Order Date]])</f>
        <v>6</v>
      </c>
      <c r="O969" t="str">
        <f>_xlfn.IFS(orders[[#This Row],[Customer Gender]]="M","Male", orders[[#This Row],[Customer Gender]]="F","Female", orders[[#This Row],[Customer Gender]]="O","Other", TRUE,"Unknown")</f>
        <v>Female</v>
      </c>
    </row>
    <row r="970" spans="1:15">
      <c r="A970" t="s">
        <v>1066</v>
      </c>
      <c r="B970" t="s">
        <v>37</v>
      </c>
      <c r="C970">
        <v>5</v>
      </c>
      <c r="D970">
        <v>32.700000000000003</v>
      </c>
      <c r="E970">
        <v>163.5</v>
      </c>
      <c r="F970" s="1">
        <v>45696</v>
      </c>
      <c r="G970" s="1">
        <v>45697</v>
      </c>
      <c r="H970" t="s">
        <v>23</v>
      </c>
      <c r="I970" t="s">
        <v>40</v>
      </c>
      <c r="J970">
        <v>5</v>
      </c>
      <c r="K970" t="s">
        <v>19</v>
      </c>
      <c r="L970" t="s">
        <v>62</v>
      </c>
      <c r="M970">
        <f>orders[[#This Row],[Ship Date]]-orders[[#This Row],[Order Date]]</f>
        <v>1</v>
      </c>
      <c r="N970">
        <f>WEEKNUM(orders[[#This Row],[Order Date]])</f>
        <v>6</v>
      </c>
      <c r="O970" t="str">
        <f>_xlfn.IFS(orders[[#This Row],[Customer Gender]]="M","Male", orders[[#This Row],[Customer Gender]]="F","Female", orders[[#This Row],[Customer Gender]]="O","Other", TRUE,"Unknown")</f>
        <v>Male</v>
      </c>
    </row>
    <row r="971" spans="1:15">
      <c r="A971" t="s">
        <v>1067</v>
      </c>
      <c r="B971" t="s">
        <v>30</v>
      </c>
      <c r="C971">
        <v>2</v>
      </c>
      <c r="D971">
        <v>111.4</v>
      </c>
      <c r="E971">
        <v>222.8</v>
      </c>
      <c r="F971" s="1">
        <v>45696</v>
      </c>
      <c r="G971" s="1">
        <v>45697</v>
      </c>
      <c r="H971" t="s">
        <v>27</v>
      </c>
      <c r="I971" t="s">
        <v>35</v>
      </c>
      <c r="J971">
        <v>4</v>
      </c>
      <c r="K971" t="s">
        <v>19</v>
      </c>
      <c r="L971" t="s">
        <v>62</v>
      </c>
      <c r="M971">
        <f>orders[[#This Row],[Ship Date]]-orders[[#This Row],[Order Date]]</f>
        <v>1</v>
      </c>
      <c r="N971">
        <f>WEEKNUM(orders[[#This Row],[Order Date]])</f>
        <v>6</v>
      </c>
      <c r="O971" t="str">
        <f>_xlfn.IFS(orders[[#This Row],[Customer Gender]]="M","Male", orders[[#This Row],[Customer Gender]]="F","Female", orders[[#This Row],[Customer Gender]]="O","Other", TRUE,"Unknown")</f>
        <v>Female</v>
      </c>
    </row>
    <row r="972" spans="1:15">
      <c r="A972" t="s">
        <v>1068</v>
      </c>
      <c r="B972" t="s">
        <v>26</v>
      </c>
      <c r="C972">
        <v>6</v>
      </c>
      <c r="D972">
        <v>80.3</v>
      </c>
      <c r="E972">
        <v>481.79999999999995</v>
      </c>
      <c r="F972" s="1">
        <v>45696</v>
      </c>
      <c r="G972" s="1">
        <v>45698</v>
      </c>
      <c r="H972" t="s">
        <v>27</v>
      </c>
      <c r="I972" t="s">
        <v>35</v>
      </c>
      <c r="J972">
        <v>4</v>
      </c>
      <c r="K972" t="s">
        <v>19</v>
      </c>
      <c r="L972" t="s">
        <v>62</v>
      </c>
      <c r="M972">
        <f>orders[[#This Row],[Ship Date]]-orders[[#This Row],[Order Date]]</f>
        <v>2</v>
      </c>
      <c r="N972">
        <f>WEEKNUM(orders[[#This Row],[Order Date]])</f>
        <v>6</v>
      </c>
      <c r="O972" t="str">
        <f>_xlfn.IFS(orders[[#This Row],[Customer Gender]]="M","Male", orders[[#This Row],[Customer Gender]]="F","Female", orders[[#This Row],[Customer Gender]]="O","Other", TRUE,"Unknown")</f>
        <v>Female</v>
      </c>
    </row>
    <row r="973" spans="1:15">
      <c r="A973" t="s">
        <v>1069</v>
      </c>
      <c r="B973" t="s">
        <v>39</v>
      </c>
      <c r="C973">
        <v>2</v>
      </c>
      <c r="D973">
        <v>58.9</v>
      </c>
      <c r="E973">
        <v>117.8</v>
      </c>
      <c r="F973" s="1">
        <v>45696</v>
      </c>
      <c r="G973" s="1">
        <v>45697</v>
      </c>
      <c r="H973" t="s">
        <v>23</v>
      </c>
      <c r="I973" t="s">
        <v>35</v>
      </c>
      <c r="J973">
        <v>4</v>
      </c>
      <c r="K973" t="s">
        <v>19</v>
      </c>
      <c r="L973" t="s">
        <v>62</v>
      </c>
      <c r="M973">
        <f>orders[[#This Row],[Ship Date]]-orders[[#This Row],[Order Date]]</f>
        <v>1</v>
      </c>
      <c r="N973">
        <f>WEEKNUM(orders[[#This Row],[Order Date]])</f>
        <v>6</v>
      </c>
      <c r="O973" t="str">
        <f>_xlfn.IFS(orders[[#This Row],[Customer Gender]]="M","Male", orders[[#This Row],[Customer Gender]]="F","Female", orders[[#This Row],[Customer Gender]]="O","Other", TRUE,"Unknown")</f>
        <v>Male</v>
      </c>
    </row>
    <row r="974" spans="1:15">
      <c r="A974" t="s">
        <v>1070</v>
      </c>
      <c r="B974" t="s">
        <v>39</v>
      </c>
      <c r="C974">
        <v>3</v>
      </c>
      <c r="D974">
        <v>51.9</v>
      </c>
      <c r="E974">
        <v>155.69999999999999</v>
      </c>
      <c r="F974" s="1">
        <v>45696</v>
      </c>
      <c r="G974" s="1">
        <v>45698</v>
      </c>
      <c r="H974" t="s">
        <v>27</v>
      </c>
      <c r="I974" t="s">
        <v>35</v>
      </c>
      <c r="J974">
        <v>2</v>
      </c>
      <c r="K974" t="s">
        <v>19</v>
      </c>
      <c r="L974" t="s">
        <v>62</v>
      </c>
      <c r="M974">
        <f>orders[[#This Row],[Ship Date]]-orders[[#This Row],[Order Date]]</f>
        <v>2</v>
      </c>
      <c r="N974">
        <f>WEEKNUM(orders[[#This Row],[Order Date]])</f>
        <v>6</v>
      </c>
      <c r="O974" t="str">
        <f>_xlfn.IFS(orders[[#This Row],[Customer Gender]]="M","Male", orders[[#This Row],[Customer Gender]]="F","Female", orders[[#This Row],[Customer Gender]]="O","Other", TRUE,"Unknown")</f>
        <v>Female</v>
      </c>
    </row>
    <row r="975" spans="1:15">
      <c r="A975" t="s">
        <v>1071</v>
      </c>
      <c r="B975" t="s">
        <v>26</v>
      </c>
      <c r="C975">
        <v>3</v>
      </c>
      <c r="D975">
        <v>50.3</v>
      </c>
      <c r="E975">
        <v>150.89999999999998</v>
      </c>
      <c r="F975" s="1">
        <v>45696</v>
      </c>
      <c r="G975" s="1">
        <v>45697</v>
      </c>
      <c r="H975" t="s">
        <v>23</v>
      </c>
      <c r="I975" t="s">
        <v>40</v>
      </c>
      <c r="J975">
        <v>4</v>
      </c>
      <c r="K975" t="s">
        <v>19</v>
      </c>
      <c r="L975" t="s">
        <v>103</v>
      </c>
      <c r="M975">
        <f>orders[[#This Row],[Ship Date]]-orders[[#This Row],[Order Date]]</f>
        <v>1</v>
      </c>
      <c r="N975">
        <f>WEEKNUM(orders[[#This Row],[Order Date]])</f>
        <v>6</v>
      </c>
      <c r="O975" t="str">
        <f>_xlfn.IFS(orders[[#This Row],[Customer Gender]]="M","Male", orders[[#This Row],[Customer Gender]]="F","Female", orders[[#This Row],[Customer Gender]]="O","Other", TRUE,"Unknown")</f>
        <v>Male</v>
      </c>
    </row>
    <row r="976" spans="1:15">
      <c r="A976" t="s">
        <v>1072</v>
      </c>
      <c r="B976" t="s">
        <v>67</v>
      </c>
      <c r="C976">
        <v>6</v>
      </c>
      <c r="D976">
        <v>45</v>
      </c>
      <c r="E976">
        <v>270</v>
      </c>
      <c r="F976" s="1">
        <v>45696</v>
      </c>
      <c r="G976" s="1">
        <v>45702</v>
      </c>
      <c r="H976" t="s">
        <v>27</v>
      </c>
      <c r="I976" t="s">
        <v>51</v>
      </c>
      <c r="J976">
        <v>4</v>
      </c>
      <c r="K976" t="s">
        <v>19</v>
      </c>
      <c r="L976" t="s">
        <v>72</v>
      </c>
      <c r="M976">
        <f>orders[[#This Row],[Ship Date]]-orders[[#This Row],[Order Date]]</f>
        <v>6</v>
      </c>
      <c r="N976">
        <f>WEEKNUM(orders[[#This Row],[Order Date]])</f>
        <v>6</v>
      </c>
      <c r="O976" t="str">
        <f>_xlfn.IFS(orders[[#This Row],[Customer Gender]]="M","Male", orders[[#This Row],[Customer Gender]]="F","Female", orders[[#This Row],[Customer Gender]]="O","Other", TRUE,"Unknown")</f>
        <v>Female</v>
      </c>
    </row>
    <row r="977" spans="1:15">
      <c r="A977" t="s">
        <v>1073</v>
      </c>
      <c r="B977" t="s">
        <v>54</v>
      </c>
      <c r="C977">
        <v>6</v>
      </c>
      <c r="D977">
        <v>44.7</v>
      </c>
      <c r="E977">
        <v>268.20000000000005</v>
      </c>
      <c r="F977" s="1">
        <v>45696</v>
      </c>
      <c r="G977" s="1">
        <v>45698</v>
      </c>
      <c r="H977" t="s">
        <v>27</v>
      </c>
      <c r="I977" t="s">
        <v>40</v>
      </c>
      <c r="J977">
        <v>4</v>
      </c>
      <c r="K977" t="s">
        <v>19</v>
      </c>
      <c r="L977" t="s">
        <v>77</v>
      </c>
      <c r="M977">
        <f>orders[[#This Row],[Ship Date]]-orders[[#This Row],[Order Date]]</f>
        <v>2</v>
      </c>
      <c r="N977">
        <f>WEEKNUM(orders[[#This Row],[Order Date]])</f>
        <v>6</v>
      </c>
      <c r="O977" t="str">
        <f>_xlfn.IFS(orders[[#This Row],[Customer Gender]]="M","Male", orders[[#This Row],[Customer Gender]]="F","Female", orders[[#This Row],[Customer Gender]]="O","Other", TRUE,"Unknown")</f>
        <v>Female</v>
      </c>
    </row>
    <row r="978" spans="1:15">
      <c r="A978" t="s">
        <v>1074</v>
      </c>
      <c r="B978" t="s">
        <v>146</v>
      </c>
      <c r="C978">
        <v>15</v>
      </c>
      <c r="D978">
        <v>33</v>
      </c>
      <c r="E978">
        <v>495</v>
      </c>
      <c r="F978" s="1">
        <v>45696</v>
      </c>
      <c r="G978" s="1">
        <v>45697</v>
      </c>
      <c r="H978" t="s">
        <v>27</v>
      </c>
      <c r="I978" t="s">
        <v>40</v>
      </c>
      <c r="J978">
        <v>4</v>
      </c>
      <c r="K978" t="s">
        <v>19</v>
      </c>
      <c r="L978" t="s">
        <v>77</v>
      </c>
      <c r="M978">
        <f>orders[[#This Row],[Ship Date]]-orders[[#This Row],[Order Date]]</f>
        <v>1</v>
      </c>
      <c r="N978">
        <f>WEEKNUM(orders[[#This Row],[Order Date]])</f>
        <v>6</v>
      </c>
      <c r="O978" t="str">
        <f>_xlfn.IFS(orders[[#This Row],[Customer Gender]]="M","Male", orders[[#This Row],[Customer Gender]]="F","Female", orders[[#This Row],[Customer Gender]]="O","Other", TRUE,"Unknown")</f>
        <v>Female</v>
      </c>
    </row>
    <row r="979" spans="1:15">
      <c r="A979" t="s">
        <v>1075</v>
      </c>
      <c r="B979" t="s">
        <v>22</v>
      </c>
      <c r="C979">
        <v>5</v>
      </c>
      <c r="D979">
        <v>44.9</v>
      </c>
      <c r="E979">
        <v>224.5</v>
      </c>
      <c r="F979" s="1">
        <v>45696</v>
      </c>
      <c r="G979" s="1">
        <v>45699</v>
      </c>
      <c r="H979" t="s">
        <v>27</v>
      </c>
      <c r="I979" t="s">
        <v>40</v>
      </c>
      <c r="J979">
        <v>5</v>
      </c>
      <c r="K979" t="s">
        <v>19</v>
      </c>
      <c r="L979" t="s">
        <v>108</v>
      </c>
      <c r="M979">
        <f>orders[[#This Row],[Ship Date]]-orders[[#This Row],[Order Date]]</f>
        <v>3</v>
      </c>
      <c r="N979">
        <f>WEEKNUM(orders[[#This Row],[Order Date]])</f>
        <v>6</v>
      </c>
      <c r="O979" t="str">
        <f>_xlfn.IFS(orders[[#This Row],[Customer Gender]]="M","Male", orders[[#This Row],[Customer Gender]]="F","Female", orders[[#This Row],[Customer Gender]]="O","Other", TRUE,"Unknown")</f>
        <v>Female</v>
      </c>
    </row>
    <row r="980" spans="1:15">
      <c r="A980" t="s">
        <v>1076</v>
      </c>
      <c r="B980" t="s">
        <v>54</v>
      </c>
      <c r="C980">
        <v>2</v>
      </c>
      <c r="D980">
        <v>34.6</v>
      </c>
      <c r="E980">
        <v>69.2</v>
      </c>
      <c r="F980" s="1">
        <v>45696</v>
      </c>
      <c r="G980" s="1">
        <v>45700</v>
      </c>
      <c r="H980" t="s">
        <v>27</v>
      </c>
      <c r="I980" t="s">
        <v>18</v>
      </c>
      <c r="J980">
        <v>3</v>
      </c>
      <c r="K980" t="s">
        <v>19</v>
      </c>
      <c r="L980" t="s">
        <v>110</v>
      </c>
      <c r="M980">
        <f>orders[[#This Row],[Ship Date]]-orders[[#This Row],[Order Date]]</f>
        <v>4</v>
      </c>
      <c r="N980">
        <f>WEEKNUM(orders[[#This Row],[Order Date]])</f>
        <v>6</v>
      </c>
      <c r="O980" t="str">
        <f>_xlfn.IFS(orders[[#This Row],[Customer Gender]]="M","Male", orders[[#This Row],[Customer Gender]]="F","Female", orders[[#This Row],[Customer Gender]]="O","Other", TRUE,"Unknown")</f>
        <v>Female</v>
      </c>
    </row>
    <row r="981" spans="1:15">
      <c r="A981" t="s">
        <v>1077</v>
      </c>
      <c r="B981" t="s">
        <v>42</v>
      </c>
      <c r="C981">
        <v>7</v>
      </c>
      <c r="D981">
        <v>47.1</v>
      </c>
      <c r="E981">
        <v>329.7</v>
      </c>
      <c r="F981" s="1">
        <v>45696</v>
      </c>
      <c r="G981" s="1">
        <v>45701</v>
      </c>
      <c r="H981" t="s">
        <v>27</v>
      </c>
      <c r="I981" t="s">
        <v>18</v>
      </c>
      <c r="J981">
        <v>4</v>
      </c>
      <c r="K981" t="s">
        <v>19</v>
      </c>
      <c r="L981" t="s">
        <v>82</v>
      </c>
      <c r="M981">
        <f>orders[[#This Row],[Ship Date]]-orders[[#This Row],[Order Date]]</f>
        <v>5</v>
      </c>
      <c r="N981">
        <f>WEEKNUM(orders[[#This Row],[Order Date]])</f>
        <v>6</v>
      </c>
      <c r="O981" t="str">
        <f>_xlfn.IFS(orders[[#This Row],[Customer Gender]]="M","Male", orders[[#This Row],[Customer Gender]]="F","Female", orders[[#This Row],[Customer Gender]]="O","Other", TRUE,"Unknown")</f>
        <v>Female</v>
      </c>
    </row>
    <row r="982" spans="1:15">
      <c r="A982" t="s">
        <v>1078</v>
      </c>
      <c r="B982" t="s">
        <v>32</v>
      </c>
      <c r="C982">
        <v>5</v>
      </c>
      <c r="D982">
        <v>26.1</v>
      </c>
      <c r="E982">
        <v>130.5</v>
      </c>
      <c r="F982" s="1">
        <v>45696</v>
      </c>
      <c r="G982" s="1">
        <v>45701</v>
      </c>
      <c r="H982" t="s">
        <v>23</v>
      </c>
      <c r="I982" t="s">
        <v>18</v>
      </c>
      <c r="J982">
        <v>5</v>
      </c>
      <c r="K982" t="s">
        <v>19</v>
      </c>
      <c r="L982" t="s">
        <v>115</v>
      </c>
      <c r="M982">
        <f>orders[[#This Row],[Ship Date]]-orders[[#This Row],[Order Date]]</f>
        <v>5</v>
      </c>
      <c r="N982">
        <f>WEEKNUM(orders[[#This Row],[Order Date]])</f>
        <v>6</v>
      </c>
      <c r="O982" t="str">
        <f>_xlfn.IFS(orders[[#This Row],[Customer Gender]]="M","Male", orders[[#This Row],[Customer Gender]]="F","Female", orders[[#This Row],[Customer Gender]]="O","Other", TRUE,"Unknown")</f>
        <v>Male</v>
      </c>
    </row>
    <row r="983" spans="1:15">
      <c r="A983" t="s">
        <v>1079</v>
      </c>
      <c r="B983" t="s">
        <v>69</v>
      </c>
      <c r="C983">
        <v>5</v>
      </c>
      <c r="D983">
        <v>66.8</v>
      </c>
      <c r="E983">
        <v>334</v>
      </c>
      <c r="F983" s="1">
        <v>45696</v>
      </c>
      <c r="G983" s="1">
        <v>45699</v>
      </c>
      <c r="H983" t="s">
        <v>27</v>
      </c>
      <c r="I983" t="s">
        <v>18</v>
      </c>
      <c r="J983">
        <v>4</v>
      </c>
      <c r="K983" t="s">
        <v>19</v>
      </c>
      <c r="L983" t="s">
        <v>115</v>
      </c>
      <c r="M983">
        <f>orders[[#This Row],[Ship Date]]-orders[[#This Row],[Order Date]]</f>
        <v>3</v>
      </c>
      <c r="N983">
        <f>WEEKNUM(orders[[#This Row],[Order Date]])</f>
        <v>6</v>
      </c>
      <c r="O983" t="str">
        <f>_xlfn.IFS(orders[[#This Row],[Customer Gender]]="M","Male", orders[[#This Row],[Customer Gender]]="F","Female", orders[[#This Row],[Customer Gender]]="O","Other", TRUE,"Unknown")</f>
        <v>Female</v>
      </c>
    </row>
    <row r="984" spans="1:15">
      <c r="A984" t="s">
        <v>1080</v>
      </c>
      <c r="B984" t="s">
        <v>26</v>
      </c>
      <c r="C984">
        <v>2</v>
      </c>
      <c r="D984">
        <v>167.9</v>
      </c>
      <c r="E984">
        <v>335.8</v>
      </c>
      <c r="F984" s="1">
        <v>45696</v>
      </c>
      <c r="G984" s="1">
        <v>45697</v>
      </c>
      <c r="H984" t="s">
        <v>27</v>
      </c>
      <c r="I984" t="s">
        <v>51</v>
      </c>
      <c r="J984">
        <v>5</v>
      </c>
      <c r="K984" t="s">
        <v>19</v>
      </c>
      <c r="L984" t="s">
        <v>115</v>
      </c>
      <c r="M984">
        <f>orders[[#This Row],[Ship Date]]-orders[[#This Row],[Order Date]]</f>
        <v>1</v>
      </c>
      <c r="N984">
        <f>WEEKNUM(orders[[#This Row],[Order Date]])</f>
        <v>6</v>
      </c>
      <c r="O984" t="str">
        <f>_xlfn.IFS(orders[[#This Row],[Customer Gender]]="M","Male", orders[[#This Row],[Customer Gender]]="F","Female", orders[[#This Row],[Customer Gender]]="O","Other", TRUE,"Unknown")</f>
        <v>Female</v>
      </c>
    </row>
    <row r="985" spans="1:15">
      <c r="A985" t="s">
        <v>1081</v>
      </c>
      <c r="B985" t="s">
        <v>54</v>
      </c>
      <c r="C985">
        <v>9</v>
      </c>
      <c r="D985">
        <v>34.6</v>
      </c>
      <c r="E985">
        <v>311.40000000000003</v>
      </c>
      <c r="F985" s="1">
        <v>45696</v>
      </c>
      <c r="G985" s="1">
        <v>45697</v>
      </c>
      <c r="H985" t="s">
        <v>27</v>
      </c>
      <c r="I985" t="s">
        <v>40</v>
      </c>
      <c r="J985">
        <v>3</v>
      </c>
      <c r="K985" t="s">
        <v>19</v>
      </c>
      <c r="L985" t="s">
        <v>115</v>
      </c>
      <c r="M985">
        <f>orders[[#This Row],[Ship Date]]-orders[[#This Row],[Order Date]]</f>
        <v>1</v>
      </c>
      <c r="N985">
        <f>WEEKNUM(orders[[#This Row],[Order Date]])</f>
        <v>6</v>
      </c>
      <c r="O985" t="str">
        <f>_xlfn.IFS(orders[[#This Row],[Customer Gender]]="M","Male", orders[[#This Row],[Customer Gender]]="F","Female", orders[[#This Row],[Customer Gender]]="O","Other", TRUE,"Unknown")</f>
        <v>Female</v>
      </c>
    </row>
    <row r="986" spans="1:15">
      <c r="A986" t="s">
        <v>1082</v>
      </c>
      <c r="B986" t="s">
        <v>44</v>
      </c>
      <c r="C986">
        <v>3</v>
      </c>
      <c r="D986">
        <v>35.1</v>
      </c>
      <c r="E986">
        <v>105.30000000000001</v>
      </c>
      <c r="F986" s="1">
        <v>45697</v>
      </c>
      <c r="G986" s="1">
        <v>45701</v>
      </c>
      <c r="H986" t="s">
        <v>23</v>
      </c>
      <c r="I986" t="s">
        <v>70</v>
      </c>
      <c r="J986">
        <v>5</v>
      </c>
      <c r="K986" t="s">
        <v>19</v>
      </c>
      <c r="L986" t="s">
        <v>24</v>
      </c>
      <c r="M986">
        <f>orders[[#This Row],[Ship Date]]-orders[[#This Row],[Order Date]]</f>
        <v>4</v>
      </c>
      <c r="N986">
        <f>WEEKNUM(orders[[#This Row],[Order Date]])</f>
        <v>7</v>
      </c>
      <c r="O986" t="str">
        <f>_xlfn.IFS(orders[[#This Row],[Customer Gender]]="M","Male", orders[[#This Row],[Customer Gender]]="F","Female", orders[[#This Row],[Customer Gender]]="O","Other", TRUE,"Unknown")</f>
        <v>Male</v>
      </c>
    </row>
    <row r="987" spans="1:15">
      <c r="A987" t="s">
        <v>1083</v>
      </c>
      <c r="B987" t="s">
        <v>39</v>
      </c>
      <c r="C987">
        <v>4</v>
      </c>
      <c r="D987">
        <v>104.5</v>
      </c>
      <c r="E987">
        <v>418</v>
      </c>
      <c r="F987" s="1">
        <v>45697</v>
      </c>
      <c r="G987" s="1">
        <v>45698</v>
      </c>
      <c r="H987" t="s">
        <v>23</v>
      </c>
      <c r="I987" t="s">
        <v>35</v>
      </c>
      <c r="J987">
        <v>3</v>
      </c>
      <c r="K987" t="s">
        <v>19</v>
      </c>
      <c r="L987" t="s">
        <v>24</v>
      </c>
      <c r="M987">
        <f>orders[[#This Row],[Ship Date]]-orders[[#This Row],[Order Date]]</f>
        <v>1</v>
      </c>
      <c r="N987">
        <f>WEEKNUM(orders[[#This Row],[Order Date]])</f>
        <v>7</v>
      </c>
      <c r="O987" t="str">
        <f>_xlfn.IFS(orders[[#This Row],[Customer Gender]]="M","Male", orders[[#This Row],[Customer Gender]]="F","Female", orders[[#This Row],[Customer Gender]]="O","Other", TRUE,"Unknown")</f>
        <v>Male</v>
      </c>
    </row>
    <row r="988" spans="1:15">
      <c r="A988" t="s">
        <v>1084</v>
      </c>
      <c r="B988" t="s">
        <v>44</v>
      </c>
      <c r="C988">
        <v>1</v>
      </c>
      <c r="D988">
        <v>37.9</v>
      </c>
      <c r="E988">
        <v>37.9</v>
      </c>
      <c r="F988" s="1">
        <v>45697</v>
      </c>
      <c r="G988" s="1">
        <v>45699</v>
      </c>
      <c r="H988" t="s">
        <v>17</v>
      </c>
      <c r="I988" t="s">
        <v>35</v>
      </c>
      <c r="J988">
        <v>5</v>
      </c>
      <c r="K988" t="s">
        <v>19</v>
      </c>
      <c r="L988" t="s">
        <v>28</v>
      </c>
      <c r="M988">
        <f>orders[[#This Row],[Ship Date]]-orders[[#This Row],[Order Date]]</f>
        <v>2</v>
      </c>
      <c r="N988">
        <f>WEEKNUM(orders[[#This Row],[Order Date]])</f>
        <v>7</v>
      </c>
      <c r="O988" t="str">
        <f>_xlfn.IFS(orders[[#This Row],[Customer Gender]]="M","Male", orders[[#This Row],[Customer Gender]]="F","Female", orders[[#This Row],[Customer Gender]]="O","Other", TRUE,"Unknown")</f>
        <v>Unknown</v>
      </c>
    </row>
    <row r="989" spans="1:15">
      <c r="A989" t="s">
        <v>1085</v>
      </c>
      <c r="B989" t="s">
        <v>32</v>
      </c>
      <c r="C989">
        <v>3</v>
      </c>
      <c r="D989">
        <v>25.5</v>
      </c>
      <c r="E989">
        <v>76.5</v>
      </c>
      <c r="F989" s="1">
        <v>45697</v>
      </c>
      <c r="G989" s="1">
        <v>45700</v>
      </c>
      <c r="H989" t="s">
        <v>23</v>
      </c>
      <c r="I989" t="s">
        <v>51</v>
      </c>
      <c r="J989">
        <v>4</v>
      </c>
      <c r="K989" t="s">
        <v>19</v>
      </c>
      <c r="L989" t="s">
        <v>28</v>
      </c>
      <c r="M989">
        <f>orders[[#This Row],[Ship Date]]-orders[[#This Row],[Order Date]]</f>
        <v>3</v>
      </c>
      <c r="N989">
        <f>WEEKNUM(orders[[#This Row],[Order Date]])</f>
        <v>7</v>
      </c>
      <c r="O989" t="str">
        <f>_xlfn.IFS(orders[[#This Row],[Customer Gender]]="M","Male", orders[[#This Row],[Customer Gender]]="F","Female", orders[[#This Row],[Customer Gender]]="O","Other", TRUE,"Unknown")</f>
        <v>Male</v>
      </c>
    </row>
    <row r="990" spans="1:15">
      <c r="A990" t="s">
        <v>1086</v>
      </c>
      <c r="B990" t="s">
        <v>16</v>
      </c>
      <c r="C990">
        <v>3</v>
      </c>
      <c r="D990">
        <v>32</v>
      </c>
      <c r="E990">
        <v>96</v>
      </c>
      <c r="F990" s="1">
        <v>45697</v>
      </c>
      <c r="G990" s="1">
        <v>45701</v>
      </c>
      <c r="H990" t="s">
        <v>27</v>
      </c>
      <c r="I990" t="s">
        <v>35</v>
      </c>
      <c r="J990">
        <v>4</v>
      </c>
      <c r="K990" t="s">
        <v>19</v>
      </c>
      <c r="L990" t="s">
        <v>147</v>
      </c>
      <c r="M990">
        <f>orders[[#This Row],[Ship Date]]-orders[[#This Row],[Order Date]]</f>
        <v>4</v>
      </c>
      <c r="N990">
        <f>WEEKNUM(orders[[#This Row],[Order Date]])</f>
        <v>7</v>
      </c>
      <c r="O990" t="str">
        <f>_xlfn.IFS(orders[[#This Row],[Customer Gender]]="M","Male", orders[[#This Row],[Customer Gender]]="F","Female", orders[[#This Row],[Customer Gender]]="O","Other", TRUE,"Unknown")</f>
        <v>Female</v>
      </c>
    </row>
    <row r="991" spans="1:15">
      <c r="A991" t="s">
        <v>1087</v>
      </c>
      <c r="B991" t="s">
        <v>22</v>
      </c>
      <c r="C991">
        <v>1</v>
      </c>
      <c r="D991">
        <v>47.1</v>
      </c>
      <c r="E991">
        <v>47.1</v>
      </c>
      <c r="F991" s="1">
        <v>45697</v>
      </c>
      <c r="G991" s="1">
        <v>45698</v>
      </c>
      <c r="H991" t="s">
        <v>27</v>
      </c>
      <c r="I991" t="s">
        <v>18</v>
      </c>
      <c r="J991">
        <v>4</v>
      </c>
      <c r="K991" t="s">
        <v>19</v>
      </c>
      <c r="L991" t="s">
        <v>334</v>
      </c>
      <c r="M991">
        <f>orders[[#This Row],[Ship Date]]-orders[[#This Row],[Order Date]]</f>
        <v>1</v>
      </c>
      <c r="N991">
        <f>WEEKNUM(orders[[#This Row],[Order Date]])</f>
        <v>7</v>
      </c>
      <c r="O991" t="str">
        <f>_xlfn.IFS(orders[[#This Row],[Customer Gender]]="M","Male", orders[[#This Row],[Customer Gender]]="F","Female", orders[[#This Row],[Customer Gender]]="O","Other", TRUE,"Unknown")</f>
        <v>Female</v>
      </c>
    </row>
    <row r="992" spans="1:15">
      <c r="A992" t="s">
        <v>1088</v>
      </c>
      <c r="B992" t="s">
        <v>39</v>
      </c>
      <c r="C992">
        <v>2</v>
      </c>
      <c r="D992">
        <v>50.6</v>
      </c>
      <c r="E992">
        <v>101.2</v>
      </c>
      <c r="F992" s="1">
        <v>45697</v>
      </c>
      <c r="G992" s="1">
        <v>45703</v>
      </c>
      <c r="H992" t="s">
        <v>17</v>
      </c>
      <c r="I992" t="s">
        <v>18</v>
      </c>
      <c r="J992">
        <v>4</v>
      </c>
      <c r="K992" t="s">
        <v>19</v>
      </c>
      <c r="L992" t="s">
        <v>33</v>
      </c>
      <c r="M992">
        <f>orders[[#This Row],[Ship Date]]-orders[[#This Row],[Order Date]]</f>
        <v>6</v>
      </c>
      <c r="N992">
        <f>WEEKNUM(orders[[#This Row],[Order Date]])</f>
        <v>7</v>
      </c>
      <c r="O992" t="str">
        <f>_xlfn.IFS(orders[[#This Row],[Customer Gender]]="M","Male", orders[[#This Row],[Customer Gender]]="F","Female", orders[[#This Row],[Customer Gender]]="O","Other", TRUE,"Unknown")</f>
        <v>Unknown</v>
      </c>
    </row>
    <row r="993" spans="1:15">
      <c r="A993" t="s">
        <v>1089</v>
      </c>
      <c r="B993" t="s">
        <v>39</v>
      </c>
      <c r="C993">
        <v>5</v>
      </c>
      <c r="D993">
        <v>81.7</v>
      </c>
      <c r="E993">
        <v>408.5</v>
      </c>
      <c r="F993" s="1">
        <v>45697</v>
      </c>
      <c r="G993" s="1">
        <v>45698</v>
      </c>
      <c r="H993" t="s">
        <v>27</v>
      </c>
      <c r="I993" t="s">
        <v>35</v>
      </c>
      <c r="J993">
        <v>5</v>
      </c>
      <c r="K993" t="s">
        <v>19</v>
      </c>
      <c r="L993" t="s">
        <v>33</v>
      </c>
      <c r="M993">
        <f>orders[[#This Row],[Ship Date]]-orders[[#This Row],[Order Date]]</f>
        <v>1</v>
      </c>
      <c r="N993">
        <f>WEEKNUM(orders[[#This Row],[Order Date]])</f>
        <v>7</v>
      </c>
      <c r="O993" t="str">
        <f>_xlfn.IFS(orders[[#This Row],[Customer Gender]]="M","Male", orders[[#This Row],[Customer Gender]]="F","Female", orders[[#This Row],[Customer Gender]]="O","Other", TRUE,"Unknown")</f>
        <v>Female</v>
      </c>
    </row>
    <row r="994" spans="1:15">
      <c r="A994" t="s">
        <v>1090</v>
      </c>
      <c r="B994" t="s">
        <v>37</v>
      </c>
      <c r="C994">
        <v>2</v>
      </c>
      <c r="D994">
        <v>50.7</v>
      </c>
      <c r="E994">
        <v>101.4</v>
      </c>
      <c r="F994" s="1">
        <v>45697</v>
      </c>
      <c r="G994" s="1">
        <v>45698</v>
      </c>
      <c r="H994" t="s">
        <v>89</v>
      </c>
      <c r="I994" t="s">
        <v>40</v>
      </c>
      <c r="J994">
        <v>5</v>
      </c>
      <c r="K994" t="s">
        <v>19</v>
      </c>
      <c r="L994" t="s">
        <v>33</v>
      </c>
      <c r="M994">
        <f>orders[[#This Row],[Ship Date]]-orders[[#This Row],[Order Date]]</f>
        <v>1</v>
      </c>
      <c r="N994">
        <f>WEEKNUM(orders[[#This Row],[Order Date]])</f>
        <v>7</v>
      </c>
      <c r="O994" t="str">
        <f>_xlfn.IFS(orders[[#This Row],[Customer Gender]]="M","Male", orders[[#This Row],[Customer Gender]]="F","Female", orders[[#This Row],[Customer Gender]]="O","Other", TRUE,"Unknown")</f>
        <v>Other</v>
      </c>
    </row>
    <row r="995" spans="1:15">
      <c r="A995" t="s">
        <v>1091</v>
      </c>
      <c r="B995" t="s">
        <v>26</v>
      </c>
      <c r="C995">
        <v>19</v>
      </c>
      <c r="D995">
        <v>67.3</v>
      </c>
      <c r="E995">
        <v>1278.7</v>
      </c>
      <c r="F995" s="1">
        <v>45697</v>
      </c>
      <c r="G995" s="1">
        <v>45701</v>
      </c>
      <c r="H995" t="s">
        <v>27</v>
      </c>
      <c r="I995" t="s">
        <v>40</v>
      </c>
      <c r="J995">
        <v>4</v>
      </c>
      <c r="K995" t="s">
        <v>19</v>
      </c>
      <c r="L995" t="s">
        <v>33</v>
      </c>
      <c r="M995">
        <f>orders[[#This Row],[Ship Date]]-orders[[#This Row],[Order Date]]</f>
        <v>4</v>
      </c>
      <c r="N995">
        <f>WEEKNUM(orders[[#This Row],[Order Date]])</f>
        <v>7</v>
      </c>
      <c r="O995" t="str">
        <f>_xlfn.IFS(orders[[#This Row],[Customer Gender]]="M","Male", orders[[#This Row],[Customer Gender]]="F","Female", orders[[#This Row],[Customer Gender]]="O","Other", TRUE,"Unknown")</f>
        <v>Female</v>
      </c>
    </row>
    <row r="996" spans="1:15">
      <c r="A996" t="s">
        <v>1092</v>
      </c>
      <c r="B996" t="s">
        <v>26</v>
      </c>
      <c r="C996">
        <v>4</v>
      </c>
      <c r="D996">
        <v>64.8</v>
      </c>
      <c r="E996">
        <v>259.2</v>
      </c>
      <c r="F996" s="1">
        <v>45697</v>
      </c>
      <c r="G996" s="1">
        <v>45700</v>
      </c>
      <c r="H996" t="s">
        <v>27</v>
      </c>
      <c r="I996" t="s">
        <v>51</v>
      </c>
      <c r="J996">
        <v>4</v>
      </c>
      <c r="K996" t="s">
        <v>19</v>
      </c>
      <c r="L996" t="s">
        <v>33</v>
      </c>
      <c r="M996">
        <f>orders[[#This Row],[Ship Date]]-orders[[#This Row],[Order Date]]</f>
        <v>3</v>
      </c>
      <c r="N996">
        <f>WEEKNUM(orders[[#This Row],[Order Date]])</f>
        <v>7</v>
      </c>
      <c r="O996" t="str">
        <f>_xlfn.IFS(orders[[#This Row],[Customer Gender]]="M","Male", orders[[#This Row],[Customer Gender]]="F","Female", orders[[#This Row],[Customer Gender]]="O","Other", TRUE,"Unknown")</f>
        <v>Female</v>
      </c>
    </row>
    <row r="997" spans="1:15">
      <c r="A997" t="s">
        <v>1093</v>
      </c>
      <c r="B997" t="s">
        <v>37</v>
      </c>
      <c r="C997">
        <v>22</v>
      </c>
      <c r="D997">
        <v>61.3</v>
      </c>
      <c r="E997">
        <v>1348.6</v>
      </c>
      <c r="F997" s="1">
        <v>45697</v>
      </c>
      <c r="G997" s="1">
        <v>45698</v>
      </c>
      <c r="H997" t="s">
        <v>27</v>
      </c>
      <c r="I997" t="s">
        <v>18</v>
      </c>
      <c r="J997">
        <v>5</v>
      </c>
      <c r="K997" t="s">
        <v>19</v>
      </c>
      <c r="L997" t="s">
        <v>33</v>
      </c>
      <c r="M997">
        <f>orders[[#This Row],[Ship Date]]-orders[[#This Row],[Order Date]]</f>
        <v>1</v>
      </c>
      <c r="N997">
        <f>WEEKNUM(orders[[#This Row],[Order Date]])</f>
        <v>7</v>
      </c>
      <c r="O997" t="str">
        <f>_xlfn.IFS(orders[[#This Row],[Customer Gender]]="M","Male", orders[[#This Row],[Customer Gender]]="F","Female", orders[[#This Row],[Customer Gender]]="O","Other", TRUE,"Unknown")</f>
        <v>Female</v>
      </c>
    </row>
    <row r="998" spans="1:15">
      <c r="A998" t="s">
        <v>1094</v>
      </c>
      <c r="B998" t="s">
        <v>81</v>
      </c>
      <c r="C998">
        <v>1</v>
      </c>
      <c r="D998">
        <v>32.9</v>
      </c>
      <c r="E998">
        <v>32.9</v>
      </c>
      <c r="F998" s="1">
        <v>45697</v>
      </c>
      <c r="G998" s="1">
        <v>45700</v>
      </c>
      <c r="H998" t="s">
        <v>27</v>
      </c>
      <c r="I998" t="s">
        <v>70</v>
      </c>
      <c r="J998">
        <v>4</v>
      </c>
      <c r="K998" t="s">
        <v>19</v>
      </c>
      <c r="L998" t="s">
        <v>33</v>
      </c>
      <c r="M998">
        <f>orders[[#This Row],[Ship Date]]-orders[[#This Row],[Order Date]]</f>
        <v>3</v>
      </c>
      <c r="N998">
        <f>WEEKNUM(orders[[#This Row],[Order Date]])</f>
        <v>7</v>
      </c>
      <c r="O998" t="str">
        <f>_xlfn.IFS(orders[[#This Row],[Customer Gender]]="M","Male", orders[[#This Row],[Customer Gender]]="F","Female", orders[[#This Row],[Customer Gender]]="O","Other", TRUE,"Unknown")</f>
        <v>Female</v>
      </c>
    </row>
    <row r="999" spans="1:15">
      <c r="A999" t="s">
        <v>1095</v>
      </c>
      <c r="B999" t="s">
        <v>39</v>
      </c>
      <c r="C999">
        <v>2</v>
      </c>
      <c r="D999">
        <v>100.8</v>
      </c>
      <c r="E999">
        <v>201.6</v>
      </c>
      <c r="F999" s="1">
        <v>45697</v>
      </c>
      <c r="G999" s="1">
        <v>45700</v>
      </c>
      <c r="H999" t="s">
        <v>27</v>
      </c>
      <c r="I999" t="s">
        <v>18</v>
      </c>
      <c r="J999">
        <v>4</v>
      </c>
      <c r="K999" t="s">
        <v>19</v>
      </c>
      <c r="L999" t="s">
        <v>33</v>
      </c>
      <c r="M999">
        <f>orders[[#This Row],[Ship Date]]-orders[[#This Row],[Order Date]]</f>
        <v>3</v>
      </c>
      <c r="N999">
        <f>WEEKNUM(orders[[#This Row],[Order Date]])</f>
        <v>7</v>
      </c>
      <c r="O999" t="str">
        <f>_xlfn.IFS(orders[[#This Row],[Customer Gender]]="M","Male", orders[[#This Row],[Customer Gender]]="F","Female", orders[[#This Row],[Customer Gender]]="O","Other", TRUE,"Unknown")</f>
        <v>Female</v>
      </c>
    </row>
    <row r="1000" spans="1:15">
      <c r="A1000" t="s">
        <v>1096</v>
      </c>
      <c r="B1000" t="s">
        <v>44</v>
      </c>
      <c r="C1000">
        <v>4</v>
      </c>
      <c r="D1000">
        <v>25.1</v>
      </c>
      <c r="E1000">
        <v>100.4</v>
      </c>
      <c r="F1000" s="1">
        <v>45697</v>
      </c>
      <c r="G1000" s="1">
        <v>45699</v>
      </c>
      <c r="H1000" t="s">
        <v>27</v>
      </c>
      <c r="I1000" t="s">
        <v>35</v>
      </c>
      <c r="J1000">
        <v>4</v>
      </c>
      <c r="K1000" t="s">
        <v>19</v>
      </c>
      <c r="L1000" t="s">
        <v>33</v>
      </c>
      <c r="M1000">
        <f>orders[[#This Row],[Ship Date]]-orders[[#This Row],[Order Date]]</f>
        <v>2</v>
      </c>
      <c r="N1000">
        <f>WEEKNUM(orders[[#This Row],[Order Date]])</f>
        <v>7</v>
      </c>
      <c r="O1000" t="str">
        <f>_xlfn.IFS(orders[[#This Row],[Customer Gender]]="M","Male", orders[[#This Row],[Customer Gender]]="F","Female", orders[[#This Row],[Customer Gender]]="O","Other", TRUE,"Unknown")</f>
        <v>Female</v>
      </c>
    </row>
    <row r="1001" spans="1:15">
      <c r="A1001" t="s">
        <v>1097</v>
      </c>
      <c r="B1001" t="s">
        <v>135</v>
      </c>
      <c r="C1001">
        <v>1</v>
      </c>
      <c r="D1001">
        <v>48.5</v>
      </c>
      <c r="E1001">
        <v>48.5</v>
      </c>
      <c r="F1001" s="1">
        <v>45697</v>
      </c>
      <c r="G1001" s="1">
        <v>45698</v>
      </c>
      <c r="H1001" t="s">
        <v>27</v>
      </c>
      <c r="I1001" t="s">
        <v>18</v>
      </c>
      <c r="J1001">
        <v>3</v>
      </c>
      <c r="K1001" t="s">
        <v>19</v>
      </c>
      <c r="L1001" t="s">
        <v>33</v>
      </c>
      <c r="M1001">
        <f>orders[[#This Row],[Ship Date]]-orders[[#This Row],[Order Date]]</f>
        <v>1</v>
      </c>
      <c r="N1001">
        <f>WEEKNUM(orders[[#This Row],[Order Date]])</f>
        <v>7</v>
      </c>
      <c r="O1001" t="str">
        <f>_xlfn.IFS(orders[[#This Row],[Customer Gender]]="M","Male", orders[[#This Row],[Customer Gender]]="F","Female", orders[[#This Row],[Customer Gender]]="O","Other", TRUE,"Unknown")</f>
        <v>Female</v>
      </c>
    </row>
    <row r="1002" spans="1:15">
      <c r="A1002" t="s">
        <v>1098</v>
      </c>
      <c r="B1002" t="s">
        <v>42</v>
      </c>
      <c r="C1002">
        <v>2</v>
      </c>
      <c r="D1002">
        <v>33.6</v>
      </c>
      <c r="E1002">
        <v>67.2</v>
      </c>
      <c r="F1002" s="1">
        <v>45697</v>
      </c>
      <c r="G1002" s="1">
        <v>45701</v>
      </c>
      <c r="H1002" t="s">
        <v>27</v>
      </c>
      <c r="I1002" t="s">
        <v>40</v>
      </c>
      <c r="J1002">
        <v>5</v>
      </c>
      <c r="K1002" t="s">
        <v>19</v>
      </c>
      <c r="L1002" t="s">
        <v>33</v>
      </c>
      <c r="M1002">
        <f>orders[[#This Row],[Ship Date]]-orders[[#This Row],[Order Date]]</f>
        <v>4</v>
      </c>
      <c r="N1002">
        <f>WEEKNUM(orders[[#This Row],[Order Date]])</f>
        <v>7</v>
      </c>
      <c r="O1002" t="str">
        <f>_xlfn.IFS(orders[[#This Row],[Customer Gender]]="M","Male", orders[[#This Row],[Customer Gender]]="F","Female", orders[[#This Row],[Customer Gender]]="O","Other", TRUE,"Unknown")</f>
        <v>Female</v>
      </c>
    </row>
    <row r="1003" spans="1:15">
      <c r="A1003" t="s">
        <v>1099</v>
      </c>
      <c r="B1003" t="s">
        <v>44</v>
      </c>
      <c r="C1003">
        <v>1</v>
      </c>
      <c r="D1003">
        <v>39.299999999999997</v>
      </c>
      <c r="E1003">
        <v>39.299999999999997</v>
      </c>
      <c r="F1003" s="1">
        <v>45697</v>
      </c>
      <c r="G1003" s="1">
        <v>45708</v>
      </c>
      <c r="H1003" t="s">
        <v>27</v>
      </c>
      <c r="I1003" t="s">
        <v>35</v>
      </c>
      <c r="J1003">
        <v>3</v>
      </c>
      <c r="K1003" t="s">
        <v>19</v>
      </c>
      <c r="L1003" t="s">
        <v>802</v>
      </c>
      <c r="M1003">
        <f>orders[[#This Row],[Ship Date]]-orders[[#This Row],[Order Date]]</f>
        <v>11</v>
      </c>
      <c r="N1003">
        <f>WEEKNUM(orders[[#This Row],[Order Date]])</f>
        <v>7</v>
      </c>
      <c r="O1003" t="str">
        <f>_xlfn.IFS(orders[[#This Row],[Customer Gender]]="M","Male", orders[[#This Row],[Customer Gender]]="F","Female", orders[[#This Row],[Customer Gender]]="O","Other", TRUE,"Unknown")</f>
        <v>Female</v>
      </c>
    </row>
    <row r="1004" spans="1:15">
      <c r="A1004" t="s">
        <v>1100</v>
      </c>
      <c r="B1004" t="s">
        <v>32</v>
      </c>
      <c r="C1004">
        <v>10</v>
      </c>
      <c r="D1004">
        <v>48.8</v>
      </c>
      <c r="E1004">
        <v>488</v>
      </c>
      <c r="F1004" s="1">
        <v>45697</v>
      </c>
      <c r="G1004" s="1">
        <v>45699</v>
      </c>
      <c r="H1004" t="s">
        <v>27</v>
      </c>
      <c r="I1004" t="s">
        <v>51</v>
      </c>
      <c r="J1004">
        <v>3</v>
      </c>
      <c r="K1004" t="s">
        <v>19</v>
      </c>
      <c r="L1004" t="s">
        <v>188</v>
      </c>
      <c r="M1004">
        <f>orders[[#This Row],[Ship Date]]-orders[[#This Row],[Order Date]]</f>
        <v>2</v>
      </c>
      <c r="N1004">
        <f>WEEKNUM(orders[[#This Row],[Order Date]])</f>
        <v>7</v>
      </c>
      <c r="O1004" t="str">
        <f>_xlfn.IFS(orders[[#This Row],[Customer Gender]]="M","Male", orders[[#This Row],[Customer Gender]]="F","Female", orders[[#This Row],[Customer Gender]]="O","Other", TRUE,"Unknown")</f>
        <v>Female</v>
      </c>
    </row>
    <row r="1005" spans="1:15">
      <c r="A1005" t="s">
        <v>1101</v>
      </c>
      <c r="B1005" t="s">
        <v>39</v>
      </c>
      <c r="C1005">
        <v>8</v>
      </c>
      <c r="D1005">
        <v>72.8</v>
      </c>
      <c r="E1005">
        <v>582.4</v>
      </c>
      <c r="F1005" s="1">
        <v>45697</v>
      </c>
      <c r="G1005" s="1">
        <v>45699</v>
      </c>
      <c r="H1005" t="s">
        <v>23</v>
      </c>
      <c r="I1005" t="s">
        <v>35</v>
      </c>
      <c r="J1005">
        <v>5</v>
      </c>
      <c r="K1005" t="s">
        <v>19</v>
      </c>
      <c r="L1005" t="s">
        <v>52</v>
      </c>
      <c r="M1005">
        <f>orders[[#This Row],[Ship Date]]-orders[[#This Row],[Order Date]]</f>
        <v>2</v>
      </c>
      <c r="N1005">
        <f>WEEKNUM(orders[[#This Row],[Order Date]])</f>
        <v>7</v>
      </c>
      <c r="O1005" t="str">
        <f>_xlfn.IFS(orders[[#This Row],[Customer Gender]]="M","Male", orders[[#This Row],[Customer Gender]]="F","Female", orders[[#This Row],[Customer Gender]]="O","Other", TRUE,"Unknown")</f>
        <v>Male</v>
      </c>
    </row>
    <row r="1006" spans="1:15">
      <c r="A1006" t="s">
        <v>1102</v>
      </c>
      <c r="B1006" t="s">
        <v>54</v>
      </c>
      <c r="C1006">
        <v>8</v>
      </c>
      <c r="D1006">
        <v>46.2</v>
      </c>
      <c r="E1006">
        <v>369.6</v>
      </c>
      <c r="F1006" s="1">
        <v>45697</v>
      </c>
      <c r="G1006" s="1">
        <v>45698</v>
      </c>
      <c r="H1006" t="s">
        <v>23</v>
      </c>
      <c r="I1006" t="s">
        <v>51</v>
      </c>
      <c r="J1006">
        <v>2</v>
      </c>
      <c r="K1006" t="s">
        <v>19</v>
      </c>
      <c r="L1006" t="s">
        <v>52</v>
      </c>
      <c r="M1006">
        <f>orders[[#This Row],[Ship Date]]-orders[[#This Row],[Order Date]]</f>
        <v>1</v>
      </c>
      <c r="N1006">
        <f>WEEKNUM(orders[[#This Row],[Order Date]])</f>
        <v>7</v>
      </c>
      <c r="O1006" t="str">
        <f>_xlfn.IFS(orders[[#This Row],[Customer Gender]]="M","Male", orders[[#This Row],[Customer Gender]]="F","Female", orders[[#This Row],[Customer Gender]]="O","Other", TRUE,"Unknown")</f>
        <v>Male</v>
      </c>
    </row>
    <row r="1007" spans="1:15">
      <c r="A1007" t="s">
        <v>1103</v>
      </c>
      <c r="B1007" t="s">
        <v>32</v>
      </c>
      <c r="C1007">
        <v>2</v>
      </c>
      <c r="D1007">
        <v>20.7</v>
      </c>
      <c r="E1007">
        <v>41.4</v>
      </c>
      <c r="F1007" s="1">
        <v>45697</v>
      </c>
      <c r="G1007" s="1">
        <v>45698</v>
      </c>
      <c r="H1007" t="s">
        <v>27</v>
      </c>
      <c r="I1007" t="s">
        <v>40</v>
      </c>
      <c r="J1007">
        <v>1</v>
      </c>
      <c r="K1007" t="s">
        <v>19</v>
      </c>
      <c r="L1007" t="s">
        <v>55</v>
      </c>
      <c r="M1007">
        <f>orders[[#This Row],[Ship Date]]-orders[[#This Row],[Order Date]]</f>
        <v>1</v>
      </c>
      <c r="N1007">
        <f>WEEKNUM(orders[[#This Row],[Order Date]])</f>
        <v>7</v>
      </c>
      <c r="O1007" t="str">
        <f>_xlfn.IFS(orders[[#This Row],[Customer Gender]]="M","Male", orders[[#This Row],[Customer Gender]]="F","Female", orders[[#This Row],[Customer Gender]]="O","Other", TRUE,"Unknown")</f>
        <v>Female</v>
      </c>
    </row>
    <row r="1008" spans="1:15">
      <c r="A1008" t="s">
        <v>1104</v>
      </c>
      <c r="B1008" t="s">
        <v>16</v>
      </c>
      <c r="C1008">
        <v>1</v>
      </c>
      <c r="D1008">
        <v>35.700000000000003</v>
      </c>
      <c r="E1008">
        <v>35.700000000000003</v>
      </c>
      <c r="F1008" s="1">
        <v>45697</v>
      </c>
      <c r="G1008" s="1">
        <v>45699</v>
      </c>
      <c r="H1008" t="s">
        <v>27</v>
      </c>
      <c r="I1008" t="s">
        <v>51</v>
      </c>
      <c r="J1008">
        <v>4</v>
      </c>
      <c r="K1008" t="s">
        <v>19</v>
      </c>
      <c r="L1008" t="s">
        <v>55</v>
      </c>
      <c r="M1008">
        <f>orders[[#This Row],[Ship Date]]-orders[[#This Row],[Order Date]]</f>
        <v>2</v>
      </c>
      <c r="N1008">
        <f>WEEKNUM(orders[[#This Row],[Order Date]])</f>
        <v>7</v>
      </c>
      <c r="O1008" t="str">
        <f>_xlfn.IFS(orders[[#This Row],[Customer Gender]]="M","Male", orders[[#This Row],[Customer Gender]]="F","Female", orders[[#This Row],[Customer Gender]]="O","Other", TRUE,"Unknown")</f>
        <v>Female</v>
      </c>
    </row>
    <row r="1009" spans="1:15">
      <c r="A1009" t="s">
        <v>1105</v>
      </c>
      <c r="B1009" t="s">
        <v>26</v>
      </c>
      <c r="C1009">
        <v>16</v>
      </c>
      <c r="D1009">
        <v>166.2</v>
      </c>
      <c r="E1009">
        <v>2659.2</v>
      </c>
      <c r="F1009" s="1">
        <v>45697</v>
      </c>
      <c r="G1009" s="1">
        <v>45699</v>
      </c>
      <c r="H1009" t="s">
        <v>17</v>
      </c>
      <c r="I1009" t="s">
        <v>40</v>
      </c>
      <c r="J1009">
        <v>4</v>
      </c>
      <c r="K1009" t="s">
        <v>19</v>
      </c>
      <c r="L1009" t="s">
        <v>59</v>
      </c>
      <c r="M1009">
        <f>orders[[#This Row],[Ship Date]]-orders[[#This Row],[Order Date]]</f>
        <v>2</v>
      </c>
      <c r="N1009">
        <f>WEEKNUM(orders[[#This Row],[Order Date]])</f>
        <v>7</v>
      </c>
      <c r="O1009" t="str">
        <f>_xlfn.IFS(orders[[#This Row],[Customer Gender]]="M","Male", orders[[#This Row],[Customer Gender]]="F","Female", orders[[#This Row],[Customer Gender]]="O","Other", TRUE,"Unknown")</f>
        <v>Unknown</v>
      </c>
    </row>
    <row r="1010" spans="1:15">
      <c r="A1010" t="s">
        <v>1106</v>
      </c>
      <c r="B1010" t="s">
        <v>39</v>
      </c>
      <c r="C1010">
        <v>4</v>
      </c>
      <c r="D1010">
        <v>85.8</v>
      </c>
      <c r="E1010">
        <v>343.2</v>
      </c>
      <c r="F1010" s="1">
        <v>45697</v>
      </c>
      <c r="G1010" s="1">
        <v>45698</v>
      </c>
      <c r="H1010" t="s">
        <v>27</v>
      </c>
      <c r="I1010" t="s">
        <v>35</v>
      </c>
      <c r="J1010">
        <v>3</v>
      </c>
      <c r="K1010" t="s">
        <v>19</v>
      </c>
      <c r="L1010" t="s">
        <v>59</v>
      </c>
      <c r="M1010">
        <f>orders[[#This Row],[Ship Date]]-orders[[#This Row],[Order Date]]</f>
        <v>1</v>
      </c>
      <c r="N1010">
        <f>WEEKNUM(orders[[#This Row],[Order Date]])</f>
        <v>7</v>
      </c>
      <c r="O1010" t="str">
        <f>_xlfn.IFS(orders[[#This Row],[Customer Gender]]="M","Male", orders[[#This Row],[Customer Gender]]="F","Female", orders[[#This Row],[Customer Gender]]="O","Other", TRUE,"Unknown")</f>
        <v>Female</v>
      </c>
    </row>
    <row r="1011" spans="1:15">
      <c r="A1011" t="s">
        <v>1107</v>
      </c>
      <c r="B1011" t="s">
        <v>44</v>
      </c>
      <c r="C1011">
        <v>3</v>
      </c>
      <c r="D1011">
        <v>26</v>
      </c>
      <c r="E1011">
        <v>78</v>
      </c>
      <c r="F1011" s="1">
        <v>45697</v>
      </c>
      <c r="G1011" s="1">
        <v>45699</v>
      </c>
      <c r="H1011" t="s">
        <v>89</v>
      </c>
      <c r="I1011" t="s">
        <v>35</v>
      </c>
      <c r="J1011">
        <v>4</v>
      </c>
      <c r="K1011" t="s">
        <v>19</v>
      </c>
      <c r="L1011" t="s">
        <v>59</v>
      </c>
      <c r="M1011">
        <f>orders[[#This Row],[Ship Date]]-orders[[#This Row],[Order Date]]</f>
        <v>2</v>
      </c>
      <c r="N1011">
        <f>WEEKNUM(orders[[#This Row],[Order Date]])</f>
        <v>7</v>
      </c>
      <c r="O1011" t="str">
        <f>_xlfn.IFS(orders[[#This Row],[Customer Gender]]="M","Male", orders[[#This Row],[Customer Gender]]="F","Female", orders[[#This Row],[Customer Gender]]="O","Other", TRUE,"Unknown")</f>
        <v>Other</v>
      </c>
    </row>
    <row r="1012" spans="1:15">
      <c r="A1012" t="s">
        <v>1108</v>
      </c>
      <c r="B1012" t="s">
        <v>26</v>
      </c>
      <c r="C1012">
        <v>13</v>
      </c>
      <c r="D1012">
        <v>116.6</v>
      </c>
      <c r="E1012">
        <v>1515.8</v>
      </c>
      <c r="F1012" s="1">
        <v>45697</v>
      </c>
      <c r="G1012" s="1">
        <v>45700</v>
      </c>
      <c r="H1012" t="s">
        <v>27</v>
      </c>
      <c r="I1012" t="s">
        <v>18</v>
      </c>
      <c r="J1012">
        <v>4</v>
      </c>
      <c r="K1012" t="s">
        <v>19</v>
      </c>
      <c r="L1012" t="s">
        <v>62</v>
      </c>
      <c r="M1012">
        <f>orders[[#This Row],[Ship Date]]-orders[[#This Row],[Order Date]]</f>
        <v>3</v>
      </c>
      <c r="N1012">
        <f>WEEKNUM(orders[[#This Row],[Order Date]])</f>
        <v>7</v>
      </c>
      <c r="O1012" t="str">
        <f>_xlfn.IFS(orders[[#This Row],[Customer Gender]]="M","Male", orders[[#This Row],[Customer Gender]]="F","Female", orders[[#This Row],[Customer Gender]]="O","Other", TRUE,"Unknown")</f>
        <v>Female</v>
      </c>
    </row>
    <row r="1013" spans="1:15">
      <c r="A1013" t="s">
        <v>1109</v>
      </c>
      <c r="B1013" t="s">
        <v>46</v>
      </c>
      <c r="C1013">
        <v>7</v>
      </c>
      <c r="D1013">
        <v>53.9</v>
      </c>
      <c r="E1013">
        <v>377.3</v>
      </c>
      <c r="F1013" s="1">
        <v>45697</v>
      </c>
      <c r="G1013" s="1">
        <v>45700</v>
      </c>
      <c r="H1013" t="s">
        <v>89</v>
      </c>
      <c r="I1013" t="s">
        <v>18</v>
      </c>
      <c r="J1013">
        <v>5</v>
      </c>
      <c r="K1013" t="s">
        <v>19</v>
      </c>
      <c r="L1013" t="s">
        <v>62</v>
      </c>
      <c r="M1013">
        <f>orders[[#This Row],[Ship Date]]-orders[[#This Row],[Order Date]]</f>
        <v>3</v>
      </c>
      <c r="N1013">
        <f>WEEKNUM(orders[[#This Row],[Order Date]])</f>
        <v>7</v>
      </c>
      <c r="O1013" t="str">
        <f>_xlfn.IFS(orders[[#This Row],[Customer Gender]]="M","Male", orders[[#This Row],[Customer Gender]]="F","Female", orders[[#This Row],[Customer Gender]]="O","Other", TRUE,"Unknown")</f>
        <v>Other</v>
      </c>
    </row>
    <row r="1014" spans="1:15">
      <c r="A1014" t="s">
        <v>1110</v>
      </c>
      <c r="B1014" t="s">
        <v>69</v>
      </c>
      <c r="C1014">
        <v>5</v>
      </c>
      <c r="D1014">
        <v>72.3</v>
      </c>
      <c r="E1014">
        <v>361.5</v>
      </c>
      <c r="F1014" s="1">
        <v>45697</v>
      </c>
      <c r="G1014" s="1">
        <v>45699</v>
      </c>
      <c r="H1014" t="s">
        <v>17</v>
      </c>
      <c r="I1014" t="s">
        <v>40</v>
      </c>
      <c r="J1014">
        <v>5</v>
      </c>
      <c r="K1014" t="s">
        <v>19</v>
      </c>
      <c r="L1014" t="s">
        <v>62</v>
      </c>
      <c r="M1014">
        <f>orders[[#This Row],[Ship Date]]-orders[[#This Row],[Order Date]]</f>
        <v>2</v>
      </c>
      <c r="N1014">
        <f>WEEKNUM(orders[[#This Row],[Order Date]])</f>
        <v>7</v>
      </c>
      <c r="O1014" t="str">
        <f>_xlfn.IFS(orders[[#This Row],[Customer Gender]]="M","Male", orders[[#This Row],[Customer Gender]]="F","Female", orders[[#This Row],[Customer Gender]]="O","Other", TRUE,"Unknown")</f>
        <v>Unknown</v>
      </c>
    </row>
    <row r="1015" spans="1:15">
      <c r="A1015" t="s">
        <v>1111</v>
      </c>
      <c r="B1015" t="s">
        <v>37</v>
      </c>
      <c r="C1015">
        <v>2</v>
      </c>
      <c r="D1015">
        <v>31.4</v>
      </c>
      <c r="E1015">
        <v>62.8</v>
      </c>
      <c r="F1015" s="1">
        <v>45697</v>
      </c>
      <c r="G1015" s="1">
        <v>45699</v>
      </c>
      <c r="H1015" t="s">
        <v>27</v>
      </c>
      <c r="I1015" t="s">
        <v>18</v>
      </c>
      <c r="J1015">
        <v>4</v>
      </c>
      <c r="K1015" t="s">
        <v>19</v>
      </c>
      <c r="L1015" t="s">
        <v>62</v>
      </c>
      <c r="M1015">
        <f>orders[[#This Row],[Ship Date]]-orders[[#This Row],[Order Date]]</f>
        <v>2</v>
      </c>
      <c r="N1015">
        <f>WEEKNUM(orders[[#This Row],[Order Date]])</f>
        <v>7</v>
      </c>
      <c r="O1015" t="str">
        <f>_xlfn.IFS(orders[[#This Row],[Customer Gender]]="M","Male", orders[[#This Row],[Customer Gender]]="F","Female", orders[[#This Row],[Customer Gender]]="O","Other", TRUE,"Unknown")</f>
        <v>Female</v>
      </c>
    </row>
    <row r="1016" spans="1:15">
      <c r="A1016" t="s">
        <v>1112</v>
      </c>
      <c r="B1016" t="s">
        <v>76</v>
      </c>
      <c r="C1016">
        <v>2</v>
      </c>
      <c r="D1016">
        <v>53.1</v>
      </c>
      <c r="E1016">
        <v>106.2</v>
      </c>
      <c r="F1016" s="1">
        <v>45697</v>
      </c>
      <c r="G1016" s="1">
        <v>45700</v>
      </c>
      <c r="H1016" t="s">
        <v>23</v>
      </c>
      <c r="I1016" t="s">
        <v>35</v>
      </c>
      <c r="J1016">
        <v>4</v>
      </c>
      <c r="K1016" t="s">
        <v>19</v>
      </c>
      <c r="L1016" t="s">
        <v>62</v>
      </c>
      <c r="M1016">
        <f>orders[[#This Row],[Ship Date]]-orders[[#This Row],[Order Date]]</f>
        <v>3</v>
      </c>
      <c r="N1016">
        <f>WEEKNUM(orders[[#This Row],[Order Date]])</f>
        <v>7</v>
      </c>
      <c r="O1016" t="str">
        <f>_xlfn.IFS(orders[[#This Row],[Customer Gender]]="M","Male", orders[[#This Row],[Customer Gender]]="F","Female", orders[[#This Row],[Customer Gender]]="O","Other", TRUE,"Unknown")</f>
        <v>Male</v>
      </c>
    </row>
    <row r="1017" spans="1:15">
      <c r="A1017" t="s">
        <v>1113</v>
      </c>
      <c r="B1017" t="s">
        <v>26</v>
      </c>
      <c r="C1017">
        <v>4</v>
      </c>
      <c r="D1017">
        <v>56.2</v>
      </c>
      <c r="E1017">
        <v>224.8</v>
      </c>
      <c r="F1017" s="1">
        <v>45697</v>
      </c>
      <c r="G1017" s="1">
        <v>45698</v>
      </c>
      <c r="H1017" t="s">
        <v>27</v>
      </c>
      <c r="I1017" t="s">
        <v>18</v>
      </c>
      <c r="J1017">
        <v>4</v>
      </c>
      <c r="K1017" t="s">
        <v>19</v>
      </c>
      <c r="L1017" t="s">
        <v>62</v>
      </c>
      <c r="M1017">
        <f>orders[[#This Row],[Ship Date]]-orders[[#This Row],[Order Date]]</f>
        <v>1</v>
      </c>
      <c r="N1017">
        <f>WEEKNUM(orders[[#This Row],[Order Date]])</f>
        <v>7</v>
      </c>
      <c r="O1017" t="str">
        <f>_xlfn.IFS(orders[[#This Row],[Customer Gender]]="M","Male", orders[[#This Row],[Customer Gender]]="F","Female", orders[[#This Row],[Customer Gender]]="O","Other", TRUE,"Unknown")</f>
        <v>Female</v>
      </c>
    </row>
    <row r="1018" spans="1:15">
      <c r="A1018" t="s">
        <v>1114</v>
      </c>
      <c r="B1018" t="s">
        <v>22</v>
      </c>
      <c r="C1018">
        <v>10</v>
      </c>
      <c r="D1018">
        <v>77.3</v>
      </c>
      <c r="E1018">
        <v>773</v>
      </c>
      <c r="F1018" s="1">
        <v>45697</v>
      </c>
      <c r="G1018" s="1">
        <v>45698</v>
      </c>
      <c r="H1018" t="s">
        <v>27</v>
      </c>
      <c r="I1018" t="s">
        <v>40</v>
      </c>
      <c r="J1018">
        <v>4</v>
      </c>
      <c r="K1018" t="s">
        <v>19</v>
      </c>
      <c r="L1018" t="s">
        <v>77</v>
      </c>
      <c r="M1018">
        <f>orders[[#This Row],[Ship Date]]-orders[[#This Row],[Order Date]]</f>
        <v>1</v>
      </c>
      <c r="N1018">
        <f>WEEKNUM(orders[[#This Row],[Order Date]])</f>
        <v>7</v>
      </c>
      <c r="O1018" t="str">
        <f>_xlfn.IFS(orders[[#This Row],[Customer Gender]]="M","Male", orders[[#This Row],[Customer Gender]]="F","Female", orders[[#This Row],[Customer Gender]]="O","Other", TRUE,"Unknown")</f>
        <v>Female</v>
      </c>
    </row>
    <row r="1019" spans="1:15">
      <c r="A1019" t="s">
        <v>1115</v>
      </c>
      <c r="B1019" t="s">
        <v>39</v>
      </c>
      <c r="C1019">
        <v>13</v>
      </c>
      <c r="D1019">
        <v>57.8</v>
      </c>
      <c r="E1019">
        <v>751.4</v>
      </c>
      <c r="F1019" s="1">
        <v>45697</v>
      </c>
      <c r="G1019" s="1">
        <v>45698</v>
      </c>
      <c r="H1019" t="s">
        <v>17</v>
      </c>
      <c r="I1019" t="s">
        <v>18</v>
      </c>
      <c r="J1019">
        <v>4</v>
      </c>
      <c r="K1019" t="s">
        <v>19</v>
      </c>
      <c r="L1019" t="s">
        <v>1116</v>
      </c>
      <c r="M1019">
        <f>orders[[#This Row],[Ship Date]]-orders[[#This Row],[Order Date]]</f>
        <v>1</v>
      </c>
      <c r="N1019">
        <f>WEEKNUM(orders[[#This Row],[Order Date]])</f>
        <v>7</v>
      </c>
      <c r="O1019" t="str">
        <f>_xlfn.IFS(orders[[#This Row],[Customer Gender]]="M","Male", orders[[#This Row],[Customer Gender]]="F","Female", orders[[#This Row],[Customer Gender]]="O","Other", TRUE,"Unknown")</f>
        <v>Unknown</v>
      </c>
    </row>
    <row r="1020" spans="1:15">
      <c r="A1020" t="s">
        <v>1117</v>
      </c>
      <c r="B1020" t="s">
        <v>69</v>
      </c>
      <c r="C1020">
        <v>15</v>
      </c>
      <c r="D1020">
        <v>42.1</v>
      </c>
      <c r="E1020">
        <v>631.5</v>
      </c>
      <c r="F1020" s="1">
        <v>45697</v>
      </c>
      <c r="G1020" s="1">
        <v>45699</v>
      </c>
      <c r="H1020" t="s">
        <v>27</v>
      </c>
      <c r="I1020" t="s">
        <v>35</v>
      </c>
      <c r="J1020">
        <v>3</v>
      </c>
      <c r="K1020" t="s">
        <v>19</v>
      </c>
      <c r="L1020" t="s">
        <v>1116</v>
      </c>
      <c r="M1020">
        <f>orders[[#This Row],[Ship Date]]-orders[[#This Row],[Order Date]]</f>
        <v>2</v>
      </c>
      <c r="N1020">
        <f>WEEKNUM(orders[[#This Row],[Order Date]])</f>
        <v>7</v>
      </c>
      <c r="O1020" t="str">
        <f>_xlfn.IFS(orders[[#This Row],[Customer Gender]]="M","Male", orders[[#This Row],[Customer Gender]]="F","Female", orders[[#This Row],[Customer Gender]]="O","Other", TRUE,"Unknown")</f>
        <v>Female</v>
      </c>
    </row>
    <row r="1021" spans="1:15">
      <c r="A1021" t="s">
        <v>1118</v>
      </c>
      <c r="B1021" t="s">
        <v>44</v>
      </c>
      <c r="C1021">
        <v>9</v>
      </c>
      <c r="D1021">
        <v>22.8</v>
      </c>
      <c r="E1021">
        <v>205.20000000000002</v>
      </c>
      <c r="F1021" s="1">
        <v>45697</v>
      </c>
      <c r="G1021" s="1">
        <v>45701</v>
      </c>
      <c r="H1021" t="s">
        <v>23</v>
      </c>
      <c r="I1021" t="s">
        <v>40</v>
      </c>
      <c r="J1021">
        <v>5</v>
      </c>
      <c r="K1021" t="s">
        <v>19</v>
      </c>
      <c r="L1021" t="s">
        <v>110</v>
      </c>
      <c r="M1021">
        <f>orders[[#This Row],[Ship Date]]-orders[[#This Row],[Order Date]]</f>
        <v>4</v>
      </c>
      <c r="N1021">
        <f>WEEKNUM(orders[[#This Row],[Order Date]])</f>
        <v>7</v>
      </c>
      <c r="O1021" t="str">
        <f>_xlfn.IFS(orders[[#This Row],[Customer Gender]]="M","Male", orders[[#This Row],[Customer Gender]]="F","Female", orders[[#This Row],[Customer Gender]]="O","Other", TRUE,"Unknown")</f>
        <v>Male</v>
      </c>
    </row>
    <row r="1022" spans="1:15">
      <c r="A1022" t="s">
        <v>1119</v>
      </c>
      <c r="B1022" t="s">
        <v>26</v>
      </c>
      <c r="C1022">
        <v>3</v>
      </c>
      <c r="D1022">
        <v>171.1</v>
      </c>
      <c r="E1022">
        <v>513.29999999999995</v>
      </c>
      <c r="F1022" s="1">
        <v>45698</v>
      </c>
      <c r="G1022" s="1">
        <v>45705</v>
      </c>
      <c r="H1022" t="s">
        <v>27</v>
      </c>
      <c r="I1022" t="s">
        <v>40</v>
      </c>
      <c r="J1022">
        <v>3</v>
      </c>
      <c r="K1022" t="s">
        <v>19</v>
      </c>
      <c r="L1022" t="s">
        <v>110</v>
      </c>
      <c r="M1022">
        <f>orders[[#This Row],[Ship Date]]-orders[[#This Row],[Order Date]]</f>
        <v>7</v>
      </c>
      <c r="N1022">
        <f>WEEKNUM(orders[[#This Row],[Order Date]])</f>
        <v>7</v>
      </c>
      <c r="O1022" t="str">
        <f>_xlfn.IFS(orders[[#This Row],[Customer Gender]]="M","Male", orders[[#This Row],[Customer Gender]]="F","Female", orders[[#This Row],[Customer Gender]]="O","Other", TRUE,"Unknown")</f>
        <v>Female</v>
      </c>
    </row>
    <row r="1023" spans="1:15">
      <c r="A1023" t="s">
        <v>1120</v>
      </c>
      <c r="B1023" t="s">
        <v>44</v>
      </c>
      <c r="C1023">
        <v>1</v>
      </c>
      <c r="D1023">
        <v>28</v>
      </c>
      <c r="E1023">
        <v>28</v>
      </c>
      <c r="F1023" s="1">
        <v>45698</v>
      </c>
      <c r="G1023" s="1">
        <v>45700</v>
      </c>
      <c r="H1023" t="s">
        <v>23</v>
      </c>
      <c r="I1023" t="s">
        <v>40</v>
      </c>
      <c r="J1023">
        <v>5</v>
      </c>
      <c r="K1023" t="s">
        <v>19</v>
      </c>
      <c r="L1023" t="s">
        <v>115</v>
      </c>
      <c r="M1023">
        <f>orders[[#This Row],[Ship Date]]-orders[[#This Row],[Order Date]]</f>
        <v>2</v>
      </c>
      <c r="N1023">
        <f>WEEKNUM(orders[[#This Row],[Order Date]])</f>
        <v>7</v>
      </c>
      <c r="O1023" t="str">
        <f>_xlfn.IFS(orders[[#This Row],[Customer Gender]]="M","Male", orders[[#This Row],[Customer Gender]]="F","Female", orders[[#This Row],[Customer Gender]]="O","Other", TRUE,"Unknown")</f>
        <v>Male</v>
      </c>
    </row>
    <row r="1024" spans="1:15">
      <c r="A1024" t="s">
        <v>1121</v>
      </c>
      <c r="B1024" t="s">
        <v>39</v>
      </c>
      <c r="C1024">
        <v>7</v>
      </c>
      <c r="D1024">
        <v>50.2</v>
      </c>
      <c r="E1024">
        <v>351.40000000000003</v>
      </c>
      <c r="F1024" s="1">
        <v>45698</v>
      </c>
      <c r="G1024" s="1">
        <v>45700</v>
      </c>
      <c r="H1024" t="s">
        <v>23</v>
      </c>
      <c r="I1024" t="s">
        <v>40</v>
      </c>
      <c r="J1024">
        <v>4</v>
      </c>
      <c r="K1024" t="s">
        <v>19</v>
      </c>
      <c r="L1024" t="s">
        <v>115</v>
      </c>
      <c r="M1024">
        <f>orders[[#This Row],[Ship Date]]-orders[[#This Row],[Order Date]]</f>
        <v>2</v>
      </c>
      <c r="N1024">
        <f>WEEKNUM(orders[[#This Row],[Order Date]])</f>
        <v>7</v>
      </c>
      <c r="O1024" t="str">
        <f>_xlfn.IFS(orders[[#This Row],[Customer Gender]]="M","Male", orders[[#This Row],[Customer Gender]]="F","Female", orders[[#This Row],[Customer Gender]]="O","Other", TRUE,"Unknown")</f>
        <v>Male</v>
      </c>
    </row>
    <row r="1025" spans="1:15">
      <c r="A1025" t="s">
        <v>1122</v>
      </c>
      <c r="B1025" t="s">
        <v>39</v>
      </c>
      <c r="C1025">
        <v>2</v>
      </c>
      <c r="D1025">
        <v>56</v>
      </c>
      <c r="E1025">
        <v>112</v>
      </c>
      <c r="F1025" s="1">
        <v>45698</v>
      </c>
      <c r="G1025" s="1">
        <v>45698</v>
      </c>
      <c r="H1025" t="s">
        <v>23</v>
      </c>
      <c r="I1025" t="s">
        <v>18</v>
      </c>
      <c r="J1025">
        <v>5</v>
      </c>
      <c r="K1025" t="s">
        <v>19</v>
      </c>
      <c r="L1025" t="s">
        <v>147</v>
      </c>
      <c r="M1025">
        <f>orders[[#This Row],[Ship Date]]-orders[[#This Row],[Order Date]]</f>
        <v>0</v>
      </c>
      <c r="N1025">
        <f>WEEKNUM(orders[[#This Row],[Order Date]])</f>
        <v>7</v>
      </c>
      <c r="O1025" t="str">
        <f>_xlfn.IFS(orders[[#This Row],[Customer Gender]]="M","Male", orders[[#This Row],[Customer Gender]]="F","Female", orders[[#This Row],[Customer Gender]]="O","Other", TRUE,"Unknown")</f>
        <v>Male</v>
      </c>
    </row>
    <row r="1026" spans="1:15">
      <c r="A1026" t="s">
        <v>1123</v>
      </c>
      <c r="B1026" t="s">
        <v>22</v>
      </c>
      <c r="C1026">
        <v>2</v>
      </c>
      <c r="D1026">
        <v>38.299999999999997</v>
      </c>
      <c r="E1026">
        <v>76.599999999999994</v>
      </c>
      <c r="F1026" s="1">
        <v>45698</v>
      </c>
      <c r="G1026" s="1">
        <v>45699</v>
      </c>
      <c r="H1026" t="s">
        <v>27</v>
      </c>
      <c r="I1026" t="s">
        <v>35</v>
      </c>
      <c r="J1026">
        <v>4</v>
      </c>
      <c r="K1026" t="s">
        <v>19</v>
      </c>
      <c r="L1026" t="s">
        <v>33</v>
      </c>
      <c r="M1026">
        <f>orders[[#This Row],[Ship Date]]-orders[[#This Row],[Order Date]]</f>
        <v>1</v>
      </c>
      <c r="N1026">
        <f>WEEKNUM(orders[[#This Row],[Order Date]])</f>
        <v>7</v>
      </c>
      <c r="O1026" t="str">
        <f>_xlfn.IFS(orders[[#This Row],[Customer Gender]]="M","Male", orders[[#This Row],[Customer Gender]]="F","Female", orders[[#This Row],[Customer Gender]]="O","Other", TRUE,"Unknown")</f>
        <v>Female</v>
      </c>
    </row>
    <row r="1027" spans="1:15">
      <c r="A1027" t="s">
        <v>1124</v>
      </c>
      <c r="B1027" t="s">
        <v>16</v>
      </c>
      <c r="C1027">
        <v>5</v>
      </c>
      <c r="D1027">
        <v>22.3</v>
      </c>
      <c r="E1027">
        <v>111.5</v>
      </c>
      <c r="F1027" s="1">
        <v>45698</v>
      </c>
      <c r="G1027" s="1">
        <v>45702</v>
      </c>
      <c r="H1027" t="s">
        <v>27</v>
      </c>
      <c r="I1027" t="s">
        <v>40</v>
      </c>
      <c r="J1027">
        <v>3</v>
      </c>
      <c r="K1027" t="s">
        <v>19</v>
      </c>
      <c r="L1027" t="s">
        <v>33</v>
      </c>
      <c r="M1027">
        <f>orders[[#This Row],[Ship Date]]-orders[[#This Row],[Order Date]]</f>
        <v>4</v>
      </c>
      <c r="N1027">
        <f>WEEKNUM(orders[[#This Row],[Order Date]])</f>
        <v>7</v>
      </c>
      <c r="O1027" t="str">
        <f>_xlfn.IFS(orders[[#This Row],[Customer Gender]]="M","Male", orders[[#This Row],[Customer Gender]]="F","Female", orders[[#This Row],[Customer Gender]]="O","Other", TRUE,"Unknown")</f>
        <v>Female</v>
      </c>
    </row>
    <row r="1028" spans="1:15">
      <c r="A1028" t="s">
        <v>1125</v>
      </c>
      <c r="B1028" t="s">
        <v>16</v>
      </c>
      <c r="C1028">
        <v>3</v>
      </c>
      <c r="D1028">
        <v>22.3</v>
      </c>
      <c r="E1028">
        <v>66.900000000000006</v>
      </c>
      <c r="F1028" s="1">
        <v>45698</v>
      </c>
      <c r="G1028" s="1">
        <v>45701</v>
      </c>
      <c r="H1028" t="s">
        <v>27</v>
      </c>
      <c r="I1028" t="s">
        <v>40</v>
      </c>
      <c r="J1028">
        <v>4</v>
      </c>
      <c r="K1028" t="s">
        <v>19</v>
      </c>
      <c r="L1028" t="s">
        <v>33</v>
      </c>
      <c r="M1028">
        <f>orders[[#This Row],[Ship Date]]-orders[[#This Row],[Order Date]]</f>
        <v>3</v>
      </c>
      <c r="N1028">
        <f>WEEKNUM(orders[[#This Row],[Order Date]])</f>
        <v>7</v>
      </c>
      <c r="O1028" t="str">
        <f>_xlfn.IFS(orders[[#This Row],[Customer Gender]]="M","Male", orders[[#This Row],[Customer Gender]]="F","Female", orders[[#This Row],[Customer Gender]]="O","Other", TRUE,"Unknown")</f>
        <v>Female</v>
      </c>
    </row>
    <row r="1029" spans="1:15">
      <c r="A1029" t="s">
        <v>1126</v>
      </c>
      <c r="B1029" t="s">
        <v>22</v>
      </c>
      <c r="C1029">
        <v>1</v>
      </c>
      <c r="D1029">
        <v>32.9</v>
      </c>
      <c r="E1029">
        <v>32.9</v>
      </c>
      <c r="F1029" s="1">
        <v>45698</v>
      </c>
      <c r="G1029" s="1">
        <v>45703</v>
      </c>
      <c r="H1029" t="s">
        <v>27</v>
      </c>
      <c r="I1029" t="s">
        <v>18</v>
      </c>
      <c r="J1029">
        <v>4</v>
      </c>
      <c r="K1029" t="s">
        <v>19</v>
      </c>
      <c r="L1029" t="s">
        <v>33</v>
      </c>
      <c r="M1029">
        <f>orders[[#This Row],[Ship Date]]-orders[[#This Row],[Order Date]]</f>
        <v>5</v>
      </c>
      <c r="N1029">
        <f>WEEKNUM(orders[[#This Row],[Order Date]])</f>
        <v>7</v>
      </c>
      <c r="O1029" t="str">
        <f>_xlfn.IFS(orders[[#This Row],[Customer Gender]]="M","Male", orders[[#This Row],[Customer Gender]]="F","Female", orders[[#This Row],[Customer Gender]]="O","Other", TRUE,"Unknown")</f>
        <v>Female</v>
      </c>
    </row>
    <row r="1030" spans="1:15">
      <c r="A1030" t="s">
        <v>1127</v>
      </c>
      <c r="B1030" t="s">
        <v>54</v>
      </c>
      <c r="C1030">
        <v>3</v>
      </c>
      <c r="D1030">
        <v>31.9</v>
      </c>
      <c r="E1030">
        <v>95.699999999999989</v>
      </c>
      <c r="F1030" s="1">
        <v>45698</v>
      </c>
      <c r="G1030" s="1">
        <v>45703</v>
      </c>
      <c r="H1030" t="s">
        <v>27</v>
      </c>
      <c r="I1030" t="s">
        <v>18</v>
      </c>
      <c r="J1030">
        <v>4</v>
      </c>
      <c r="K1030" t="s">
        <v>19</v>
      </c>
      <c r="L1030" t="s">
        <v>33</v>
      </c>
      <c r="M1030">
        <f>orders[[#This Row],[Ship Date]]-orders[[#This Row],[Order Date]]</f>
        <v>5</v>
      </c>
      <c r="N1030">
        <f>WEEKNUM(orders[[#This Row],[Order Date]])</f>
        <v>7</v>
      </c>
      <c r="O1030" t="str">
        <f>_xlfn.IFS(orders[[#This Row],[Customer Gender]]="M","Male", orders[[#This Row],[Customer Gender]]="F","Female", orders[[#This Row],[Customer Gender]]="O","Other", TRUE,"Unknown")</f>
        <v>Female</v>
      </c>
    </row>
    <row r="1031" spans="1:15">
      <c r="A1031" t="s">
        <v>1128</v>
      </c>
      <c r="B1031" t="s">
        <v>39</v>
      </c>
      <c r="C1031">
        <v>2</v>
      </c>
      <c r="D1031">
        <v>94</v>
      </c>
      <c r="E1031">
        <v>188</v>
      </c>
      <c r="F1031" s="1">
        <v>45698</v>
      </c>
      <c r="G1031" s="1">
        <v>45699</v>
      </c>
      <c r="H1031" t="s">
        <v>23</v>
      </c>
      <c r="I1031" t="s">
        <v>40</v>
      </c>
      <c r="J1031">
        <v>5</v>
      </c>
      <c r="K1031" t="s">
        <v>19</v>
      </c>
      <c r="L1031" t="s">
        <v>33</v>
      </c>
      <c r="M1031">
        <f>orders[[#This Row],[Ship Date]]-orders[[#This Row],[Order Date]]</f>
        <v>1</v>
      </c>
      <c r="N1031">
        <f>WEEKNUM(orders[[#This Row],[Order Date]])</f>
        <v>7</v>
      </c>
      <c r="O1031" t="str">
        <f>_xlfn.IFS(orders[[#This Row],[Customer Gender]]="M","Male", orders[[#This Row],[Customer Gender]]="F","Female", orders[[#This Row],[Customer Gender]]="O","Other", TRUE,"Unknown")</f>
        <v>Male</v>
      </c>
    </row>
    <row r="1032" spans="1:15">
      <c r="A1032" t="s">
        <v>1129</v>
      </c>
      <c r="B1032" t="s">
        <v>54</v>
      </c>
      <c r="C1032">
        <v>2</v>
      </c>
      <c r="D1032">
        <v>30.7</v>
      </c>
      <c r="E1032">
        <v>61.4</v>
      </c>
      <c r="F1032" s="1">
        <v>45698</v>
      </c>
      <c r="G1032" s="1">
        <v>45699</v>
      </c>
      <c r="H1032" t="s">
        <v>27</v>
      </c>
      <c r="I1032" t="s">
        <v>18</v>
      </c>
      <c r="J1032">
        <v>3</v>
      </c>
      <c r="K1032" t="s">
        <v>19</v>
      </c>
      <c r="L1032" t="s">
        <v>33</v>
      </c>
      <c r="M1032">
        <f>orders[[#This Row],[Ship Date]]-orders[[#This Row],[Order Date]]</f>
        <v>1</v>
      </c>
      <c r="N1032">
        <f>WEEKNUM(orders[[#This Row],[Order Date]])</f>
        <v>7</v>
      </c>
      <c r="O1032" t="str">
        <f>_xlfn.IFS(orders[[#This Row],[Customer Gender]]="M","Male", orders[[#This Row],[Customer Gender]]="F","Female", orders[[#This Row],[Customer Gender]]="O","Other", TRUE,"Unknown")</f>
        <v>Female</v>
      </c>
    </row>
    <row r="1033" spans="1:15">
      <c r="A1033" t="s">
        <v>1130</v>
      </c>
      <c r="B1033" t="s">
        <v>37</v>
      </c>
      <c r="C1033">
        <v>5</v>
      </c>
      <c r="D1033">
        <v>90.5</v>
      </c>
      <c r="E1033">
        <v>452.5</v>
      </c>
      <c r="F1033" s="1">
        <v>45698</v>
      </c>
      <c r="G1033" s="1">
        <v>45705</v>
      </c>
      <c r="H1033" t="s">
        <v>23</v>
      </c>
      <c r="I1033" t="s">
        <v>18</v>
      </c>
      <c r="J1033">
        <v>5</v>
      </c>
      <c r="K1033" t="s">
        <v>19</v>
      </c>
      <c r="L1033" t="s">
        <v>33</v>
      </c>
      <c r="M1033">
        <f>orders[[#This Row],[Ship Date]]-orders[[#This Row],[Order Date]]</f>
        <v>7</v>
      </c>
      <c r="N1033">
        <f>WEEKNUM(orders[[#This Row],[Order Date]])</f>
        <v>7</v>
      </c>
      <c r="O1033" t="str">
        <f>_xlfn.IFS(orders[[#This Row],[Customer Gender]]="M","Male", orders[[#This Row],[Customer Gender]]="F","Female", orders[[#This Row],[Customer Gender]]="O","Other", TRUE,"Unknown")</f>
        <v>Male</v>
      </c>
    </row>
    <row r="1034" spans="1:15">
      <c r="A1034" t="s">
        <v>1131</v>
      </c>
      <c r="B1034" t="s">
        <v>44</v>
      </c>
      <c r="C1034">
        <v>5</v>
      </c>
      <c r="D1034">
        <v>25.3</v>
      </c>
      <c r="E1034">
        <v>126.5</v>
      </c>
      <c r="F1034" s="1">
        <v>45698</v>
      </c>
      <c r="G1034" s="1">
        <v>45702</v>
      </c>
      <c r="H1034" t="s">
        <v>27</v>
      </c>
      <c r="I1034" t="s">
        <v>18</v>
      </c>
      <c r="J1034">
        <v>5</v>
      </c>
      <c r="K1034" t="s">
        <v>19</v>
      </c>
      <c r="L1034" t="s">
        <v>33</v>
      </c>
      <c r="M1034">
        <f>orders[[#This Row],[Ship Date]]-orders[[#This Row],[Order Date]]</f>
        <v>4</v>
      </c>
      <c r="N1034">
        <f>WEEKNUM(orders[[#This Row],[Order Date]])</f>
        <v>7</v>
      </c>
      <c r="O1034" t="str">
        <f>_xlfn.IFS(orders[[#This Row],[Customer Gender]]="M","Male", orders[[#This Row],[Customer Gender]]="F","Female", orders[[#This Row],[Customer Gender]]="O","Other", TRUE,"Unknown")</f>
        <v>Female</v>
      </c>
    </row>
    <row r="1035" spans="1:15">
      <c r="A1035" t="s">
        <v>1132</v>
      </c>
      <c r="B1035" t="s">
        <v>39</v>
      </c>
      <c r="C1035">
        <v>3</v>
      </c>
      <c r="D1035">
        <v>58.1</v>
      </c>
      <c r="E1035">
        <v>174.3</v>
      </c>
      <c r="F1035" s="1">
        <v>45698</v>
      </c>
      <c r="G1035" s="1">
        <v>45702</v>
      </c>
      <c r="H1035" t="s">
        <v>17</v>
      </c>
      <c r="I1035" t="s">
        <v>18</v>
      </c>
      <c r="J1035">
        <v>5</v>
      </c>
      <c r="K1035" t="s">
        <v>19</v>
      </c>
      <c r="L1035" t="s">
        <v>33</v>
      </c>
      <c r="M1035">
        <f>orders[[#This Row],[Ship Date]]-orders[[#This Row],[Order Date]]</f>
        <v>4</v>
      </c>
      <c r="N1035">
        <f>WEEKNUM(orders[[#This Row],[Order Date]])</f>
        <v>7</v>
      </c>
      <c r="O1035" t="str">
        <f>_xlfn.IFS(orders[[#This Row],[Customer Gender]]="M","Male", orders[[#This Row],[Customer Gender]]="F","Female", orders[[#This Row],[Customer Gender]]="O","Other", TRUE,"Unknown")</f>
        <v>Unknown</v>
      </c>
    </row>
    <row r="1036" spans="1:15">
      <c r="A1036" t="s">
        <v>1133</v>
      </c>
      <c r="B1036" t="s">
        <v>26</v>
      </c>
      <c r="C1036">
        <v>3</v>
      </c>
      <c r="D1036">
        <v>74.900000000000006</v>
      </c>
      <c r="E1036">
        <v>224.70000000000002</v>
      </c>
      <c r="F1036" s="1">
        <v>45698</v>
      </c>
      <c r="G1036" s="1">
        <v>45699</v>
      </c>
      <c r="H1036" t="s">
        <v>27</v>
      </c>
      <c r="I1036" t="s">
        <v>70</v>
      </c>
      <c r="J1036">
        <v>4</v>
      </c>
      <c r="K1036" t="s">
        <v>19</v>
      </c>
      <c r="L1036" t="s">
        <v>33</v>
      </c>
      <c r="M1036">
        <f>orders[[#This Row],[Ship Date]]-orders[[#This Row],[Order Date]]</f>
        <v>1</v>
      </c>
      <c r="N1036">
        <f>WEEKNUM(orders[[#This Row],[Order Date]])</f>
        <v>7</v>
      </c>
      <c r="O1036" t="str">
        <f>_xlfn.IFS(orders[[#This Row],[Customer Gender]]="M","Male", orders[[#This Row],[Customer Gender]]="F","Female", orders[[#This Row],[Customer Gender]]="O","Other", TRUE,"Unknown")</f>
        <v>Female</v>
      </c>
    </row>
    <row r="1037" spans="1:15">
      <c r="A1037" t="s">
        <v>1134</v>
      </c>
      <c r="B1037" t="s">
        <v>32</v>
      </c>
      <c r="C1037">
        <v>2</v>
      </c>
      <c r="D1037">
        <v>32.5</v>
      </c>
      <c r="E1037">
        <v>65</v>
      </c>
      <c r="F1037" s="1">
        <v>45698</v>
      </c>
      <c r="G1037" s="1">
        <v>45699</v>
      </c>
      <c r="H1037" t="s">
        <v>23</v>
      </c>
      <c r="I1037" t="s">
        <v>40</v>
      </c>
      <c r="J1037">
        <v>5</v>
      </c>
      <c r="K1037" t="s">
        <v>19</v>
      </c>
      <c r="L1037" t="s">
        <v>545</v>
      </c>
      <c r="M1037">
        <f>orders[[#This Row],[Ship Date]]-orders[[#This Row],[Order Date]]</f>
        <v>1</v>
      </c>
      <c r="N1037">
        <f>WEEKNUM(orders[[#This Row],[Order Date]])</f>
        <v>7</v>
      </c>
      <c r="O1037" t="str">
        <f>_xlfn.IFS(orders[[#This Row],[Customer Gender]]="M","Male", orders[[#This Row],[Customer Gender]]="F","Female", orders[[#This Row],[Customer Gender]]="O","Other", TRUE,"Unknown")</f>
        <v>Male</v>
      </c>
    </row>
    <row r="1038" spans="1:15">
      <c r="A1038" t="s">
        <v>1135</v>
      </c>
      <c r="B1038" t="s">
        <v>32</v>
      </c>
      <c r="C1038">
        <v>5</v>
      </c>
      <c r="D1038">
        <v>62</v>
      </c>
      <c r="E1038">
        <v>310</v>
      </c>
      <c r="F1038" s="1">
        <v>45698</v>
      </c>
      <c r="G1038" s="1">
        <v>45699</v>
      </c>
      <c r="H1038" t="s">
        <v>23</v>
      </c>
      <c r="I1038" t="s">
        <v>70</v>
      </c>
      <c r="J1038">
        <v>5</v>
      </c>
      <c r="K1038" t="s">
        <v>19</v>
      </c>
      <c r="L1038" t="s">
        <v>188</v>
      </c>
      <c r="M1038">
        <f>orders[[#This Row],[Ship Date]]-orders[[#This Row],[Order Date]]</f>
        <v>1</v>
      </c>
      <c r="N1038">
        <f>WEEKNUM(orders[[#This Row],[Order Date]])</f>
        <v>7</v>
      </c>
      <c r="O1038" t="str">
        <f>_xlfn.IFS(orders[[#This Row],[Customer Gender]]="M","Male", orders[[#This Row],[Customer Gender]]="F","Female", orders[[#This Row],[Customer Gender]]="O","Other", TRUE,"Unknown")</f>
        <v>Male</v>
      </c>
    </row>
    <row r="1039" spans="1:15">
      <c r="A1039" t="s">
        <v>1136</v>
      </c>
      <c r="B1039" t="s">
        <v>76</v>
      </c>
      <c r="C1039">
        <v>6</v>
      </c>
      <c r="D1039">
        <v>28.9</v>
      </c>
      <c r="E1039">
        <v>173.39999999999998</v>
      </c>
      <c r="F1039" s="1">
        <v>45698</v>
      </c>
      <c r="G1039" s="1">
        <v>45701</v>
      </c>
      <c r="H1039" t="s">
        <v>27</v>
      </c>
      <c r="I1039" t="s">
        <v>18</v>
      </c>
      <c r="J1039">
        <v>3</v>
      </c>
      <c r="K1039" t="s">
        <v>19</v>
      </c>
      <c r="L1039" t="s">
        <v>55</v>
      </c>
      <c r="M1039">
        <f>orders[[#This Row],[Ship Date]]-orders[[#This Row],[Order Date]]</f>
        <v>3</v>
      </c>
      <c r="N1039">
        <f>WEEKNUM(orders[[#This Row],[Order Date]])</f>
        <v>7</v>
      </c>
      <c r="O1039" t="str">
        <f>_xlfn.IFS(orders[[#This Row],[Customer Gender]]="M","Male", orders[[#This Row],[Customer Gender]]="F","Female", orders[[#This Row],[Customer Gender]]="O","Other", TRUE,"Unknown")</f>
        <v>Female</v>
      </c>
    </row>
    <row r="1040" spans="1:15">
      <c r="A1040" t="s">
        <v>1137</v>
      </c>
      <c r="B1040" t="s">
        <v>39</v>
      </c>
      <c r="C1040">
        <v>8</v>
      </c>
      <c r="D1040">
        <v>42.8</v>
      </c>
      <c r="E1040">
        <v>342.4</v>
      </c>
      <c r="F1040" s="1">
        <v>45698</v>
      </c>
      <c r="G1040" s="1">
        <v>45700</v>
      </c>
      <c r="H1040" t="s">
        <v>27</v>
      </c>
      <c r="I1040" t="s">
        <v>18</v>
      </c>
      <c r="J1040">
        <v>5</v>
      </c>
      <c r="K1040" t="s">
        <v>19</v>
      </c>
      <c r="L1040" t="s">
        <v>55</v>
      </c>
      <c r="M1040">
        <f>orders[[#This Row],[Ship Date]]-orders[[#This Row],[Order Date]]</f>
        <v>2</v>
      </c>
      <c r="N1040">
        <f>WEEKNUM(orders[[#This Row],[Order Date]])</f>
        <v>7</v>
      </c>
      <c r="O1040" t="str">
        <f>_xlfn.IFS(orders[[#This Row],[Customer Gender]]="M","Male", orders[[#This Row],[Customer Gender]]="F","Female", orders[[#This Row],[Customer Gender]]="O","Other", TRUE,"Unknown")</f>
        <v>Female</v>
      </c>
    </row>
    <row r="1041" spans="1:15">
      <c r="A1041" t="s">
        <v>1138</v>
      </c>
      <c r="B1041" t="s">
        <v>44</v>
      </c>
      <c r="C1041">
        <v>8</v>
      </c>
      <c r="D1041">
        <v>39.4</v>
      </c>
      <c r="E1041">
        <v>315.2</v>
      </c>
      <c r="F1041" s="1">
        <v>45698</v>
      </c>
      <c r="G1041" s="1">
        <v>45700</v>
      </c>
      <c r="H1041" t="s">
        <v>23</v>
      </c>
      <c r="I1041" t="s">
        <v>18</v>
      </c>
      <c r="J1041">
        <v>4</v>
      </c>
      <c r="K1041" t="s">
        <v>19</v>
      </c>
      <c r="L1041" t="s">
        <v>342</v>
      </c>
      <c r="M1041">
        <f>orders[[#This Row],[Ship Date]]-orders[[#This Row],[Order Date]]</f>
        <v>2</v>
      </c>
      <c r="N1041">
        <f>WEEKNUM(orders[[#This Row],[Order Date]])</f>
        <v>7</v>
      </c>
      <c r="O1041" t="str">
        <f>_xlfn.IFS(orders[[#This Row],[Customer Gender]]="M","Male", orders[[#This Row],[Customer Gender]]="F","Female", orders[[#This Row],[Customer Gender]]="O","Other", TRUE,"Unknown")</f>
        <v>Male</v>
      </c>
    </row>
    <row r="1042" spans="1:15">
      <c r="A1042" t="s">
        <v>1139</v>
      </c>
      <c r="B1042" t="s">
        <v>146</v>
      </c>
      <c r="C1042">
        <v>3</v>
      </c>
      <c r="D1042">
        <v>66.400000000000006</v>
      </c>
      <c r="E1042">
        <v>199.20000000000002</v>
      </c>
      <c r="F1042" s="1">
        <v>45698</v>
      </c>
      <c r="G1042" s="1">
        <v>45699</v>
      </c>
      <c r="H1042" t="s">
        <v>17</v>
      </c>
      <c r="I1042" t="s">
        <v>40</v>
      </c>
      <c r="J1042">
        <v>3</v>
      </c>
      <c r="K1042" t="s">
        <v>19</v>
      </c>
      <c r="L1042" t="s">
        <v>59</v>
      </c>
      <c r="M1042">
        <f>orders[[#This Row],[Ship Date]]-orders[[#This Row],[Order Date]]</f>
        <v>1</v>
      </c>
      <c r="N1042">
        <f>WEEKNUM(orders[[#This Row],[Order Date]])</f>
        <v>7</v>
      </c>
      <c r="O1042" t="str">
        <f>_xlfn.IFS(orders[[#This Row],[Customer Gender]]="M","Male", orders[[#This Row],[Customer Gender]]="F","Female", orders[[#This Row],[Customer Gender]]="O","Other", TRUE,"Unknown")</f>
        <v>Unknown</v>
      </c>
    </row>
    <row r="1043" spans="1:15">
      <c r="A1043" t="s">
        <v>1140</v>
      </c>
      <c r="B1043" t="s">
        <v>135</v>
      </c>
      <c r="C1043">
        <v>4</v>
      </c>
      <c r="D1043">
        <v>35.9</v>
      </c>
      <c r="E1043">
        <v>143.6</v>
      </c>
      <c r="F1043" s="1">
        <v>45698</v>
      </c>
      <c r="G1043" s="1">
        <v>45705</v>
      </c>
      <c r="H1043" t="s">
        <v>27</v>
      </c>
      <c r="I1043" t="s">
        <v>35</v>
      </c>
      <c r="J1043">
        <v>4</v>
      </c>
      <c r="K1043" t="s">
        <v>19</v>
      </c>
      <c r="L1043" t="s">
        <v>59</v>
      </c>
      <c r="M1043">
        <f>orders[[#This Row],[Ship Date]]-orders[[#This Row],[Order Date]]</f>
        <v>7</v>
      </c>
      <c r="N1043">
        <f>WEEKNUM(orders[[#This Row],[Order Date]])</f>
        <v>7</v>
      </c>
      <c r="O1043" t="str">
        <f>_xlfn.IFS(orders[[#This Row],[Customer Gender]]="M","Male", orders[[#This Row],[Customer Gender]]="F","Female", orders[[#This Row],[Customer Gender]]="O","Other", TRUE,"Unknown")</f>
        <v>Female</v>
      </c>
    </row>
    <row r="1044" spans="1:15">
      <c r="A1044" t="s">
        <v>1141</v>
      </c>
      <c r="B1044" t="s">
        <v>16</v>
      </c>
      <c r="C1044">
        <v>4</v>
      </c>
      <c r="D1044">
        <v>26.9</v>
      </c>
      <c r="E1044">
        <v>107.6</v>
      </c>
      <c r="F1044" s="1">
        <v>45698</v>
      </c>
      <c r="G1044" s="1">
        <v>45699</v>
      </c>
      <c r="H1044" t="s">
        <v>23</v>
      </c>
      <c r="I1044" t="s">
        <v>35</v>
      </c>
      <c r="J1044">
        <v>4</v>
      </c>
      <c r="K1044" t="s">
        <v>19</v>
      </c>
      <c r="L1044" t="s">
        <v>59</v>
      </c>
      <c r="M1044">
        <f>orders[[#This Row],[Ship Date]]-orders[[#This Row],[Order Date]]</f>
        <v>1</v>
      </c>
      <c r="N1044">
        <f>WEEKNUM(orders[[#This Row],[Order Date]])</f>
        <v>7</v>
      </c>
      <c r="O1044" t="str">
        <f>_xlfn.IFS(orders[[#This Row],[Customer Gender]]="M","Male", orders[[#This Row],[Customer Gender]]="F","Female", orders[[#This Row],[Customer Gender]]="O","Other", TRUE,"Unknown")</f>
        <v>Male</v>
      </c>
    </row>
    <row r="1045" spans="1:15">
      <c r="A1045" t="s">
        <v>1142</v>
      </c>
      <c r="B1045" t="s">
        <v>26</v>
      </c>
      <c r="C1045">
        <v>1</v>
      </c>
      <c r="D1045">
        <v>55.1</v>
      </c>
      <c r="E1045">
        <v>55.1</v>
      </c>
      <c r="F1045" s="1">
        <v>45698</v>
      </c>
      <c r="G1045" s="1">
        <v>45699</v>
      </c>
      <c r="H1045" t="s">
        <v>27</v>
      </c>
      <c r="I1045" t="s">
        <v>18</v>
      </c>
      <c r="J1045">
        <v>4</v>
      </c>
      <c r="K1045" t="s">
        <v>19</v>
      </c>
      <c r="L1045" t="s">
        <v>59</v>
      </c>
      <c r="M1045">
        <f>orders[[#This Row],[Ship Date]]-orders[[#This Row],[Order Date]]</f>
        <v>1</v>
      </c>
      <c r="N1045">
        <f>WEEKNUM(orders[[#This Row],[Order Date]])</f>
        <v>7</v>
      </c>
      <c r="O1045" t="str">
        <f>_xlfn.IFS(orders[[#This Row],[Customer Gender]]="M","Male", orders[[#This Row],[Customer Gender]]="F","Female", orders[[#This Row],[Customer Gender]]="O","Other", TRUE,"Unknown")</f>
        <v>Female</v>
      </c>
    </row>
    <row r="1046" spans="1:15">
      <c r="A1046" t="s">
        <v>1143</v>
      </c>
      <c r="B1046" t="s">
        <v>32</v>
      </c>
      <c r="C1046">
        <v>2</v>
      </c>
      <c r="D1046">
        <v>23.9</v>
      </c>
      <c r="E1046">
        <v>47.8</v>
      </c>
      <c r="F1046" s="1">
        <v>45698</v>
      </c>
      <c r="G1046" s="1">
        <v>45699</v>
      </c>
      <c r="H1046" t="s">
        <v>23</v>
      </c>
      <c r="I1046" t="s">
        <v>18</v>
      </c>
      <c r="J1046">
        <v>5</v>
      </c>
      <c r="K1046" t="s">
        <v>19</v>
      </c>
      <c r="L1046" t="s">
        <v>62</v>
      </c>
      <c r="M1046">
        <f>orders[[#This Row],[Ship Date]]-orders[[#This Row],[Order Date]]</f>
        <v>1</v>
      </c>
      <c r="N1046">
        <f>WEEKNUM(orders[[#This Row],[Order Date]])</f>
        <v>7</v>
      </c>
      <c r="O1046" t="str">
        <f>_xlfn.IFS(orders[[#This Row],[Customer Gender]]="M","Male", orders[[#This Row],[Customer Gender]]="F","Female", orders[[#This Row],[Customer Gender]]="O","Other", TRUE,"Unknown")</f>
        <v>Male</v>
      </c>
    </row>
    <row r="1047" spans="1:15">
      <c r="A1047" t="s">
        <v>1144</v>
      </c>
      <c r="B1047" t="s">
        <v>46</v>
      </c>
      <c r="C1047">
        <v>13</v>
      </c>
      <c r="D1047">
        <v>21.1</v>
      </c>
      <c r="E1047">
        <v>274.3</v>
      </c>
      <c r="F1047" s="1">
        <v>45698</v>
      </c>
      <c r="G1047" s="1">
        <v>45706</v>
      </c>
      <c r="H1047" t="s">
        <v>27</v>
      </c>
      <c r="I1047" t="s">
        <v>18</v>
      </c>
      <c r="J1047">
        <v>3</v>
      </c>
      <c r="K1047" t="s">
        <v>19</v>
      </c>
      <c r="L1047" t="s">
        <v>62</v>
      </c>
      <c r="M1047">
        <f>orders[[#This Row],[Ship Date]]-orders[[#This Row],[Order Date]]</f>
        <v>8</v>
      </c>
      <c r="N1047">
        <f>WEEKNUM(orders[[#This Row],[Order Date]])</f>
        <v>7</v>
      </c>
      <c r="O1047" t="str">
        <f>_xlfn.IFS(orders[[#This Row],[Customer Gender]]="M","Male", orders[[#This Row],[Customer Gender]]="F","Female", orders[[#This Row],[Customer Gender]]="O","Other", TRUE,"Unknown")</f>
        <v>Female</v>
      </c>
    </row>
    <row r="1048" spans="1:15">
      <c r="A1048" t="s">
        <v>1145</v>
      </c>
      <c r="B1048" t="s">
        <v>44</v>
      </c>
      <c r="C1048">
        <v>5</v>
      </c>
      <c r="D1048">
        <v>33.799999999999997</v>
      </c>
      <c r="E1048">
        <v>169</v>
      </c>
      <c r="F1048" s="1">
        <v>45698</v>
      </c>
      <c r="G1048" s="1">
        <v>45700</v>
      </c>
      <c r="H1048" t="s">
        <v>27</v>
      </c>
      <c r="I1048" t="s">
        <v>18</v>
      </c>
      <c r="J1048">
        <v>4</v>
      </c>
      <c r="K1048" t="s">
        <v>19</v>
      </c>
      <c r="L1048" t="s">
        <v>62</v>
      </c>
      <c r="M1048">
        <f>orders[[#This Row],[Ship Date]]-orders[[#This Row],[Order Date]]</f>
        <v>2</v>
      </c>
      <c r="N1048">
        <f>WEEKNUM(orders[[#This Row],[Order Date]])</f>
        <v>7</v>
      </c>
      <c r="O1048" t="str">
        <f>_xlfn.IFS(orders[[#This Row],[Customer Gender]]="M","Male", orders[[#This Row],[Customer Gender]]="F","Female", orders[[#This Row],[Customer Gender]]="O","Other", TRUE,"Unknown")</f>
        <v>Female</v>
      </c>
    </row>
    <row r="1049" spans="1:15">
      <c r="A1049" t="s">
        <v>1146</v>
      </c>
      <c r="B1049" t="s">
        <v>26</v>
      </c>
      <c r="C1049">
        <v>4</v>
      </c>
      <c r="D1049">
        <v>56.1</v>
      </c>
      <c r="E1049">
        <v>224.4</v>
      </c>
      <c r="F1049" s="1">
        <v>45698</v>
      </c>
      <c r="G1049" s="1">
        <v>45698</v>
      </c>
      <c r="H1049" t="s">
        <v>27</v>
      </c>
      <c r="I1049" t="s">
        <v>51</v>
      </c>
      <c r="J1049">
        <v>5</v>
      </c>
      <c r="K1049" t="s">
        <v>19</v>
      </c>
      <c r="L1049" t="s">
        <v>72</v>
      </c>
      <c r="M1049">
        <f>orders[[#This Row],[Ship Date]]-orders[[#This Row],[Order Date]]</f>
        <v>0</v>
      </c>
      <c r="N1049">
        <f>WEEKNUM(orders[[#This Row],[Order Date]])</f>
        <v>7</v>
      </c>
      <c r="O1049" t="str">
        <f>_xlfn.IFS(orders[[#This Row],[Customer Gender]]="M","Male", orders[[#This Row],[Customer Gender]]="F","Female", orders[[#This Row],[Customer Gender]]="O","Other", TRUE,"Unknown")</f>
        <v>Female</v>
      </c>
    </row>
    <row r="1050" spans="1:15">
      <c r="A1050" t="s">
        <v>1147</v>
      </c>
      <c r="B1050" t="s">
        <v>30</v>
      </c>
      <c r="C1050">
        <v>1</v>
      </c>
      <c r="D1050">
        <v>58.5</v>
      </c>
      <c r="E1050">
        <v>58.5</v>
      </c>
      <c r="F1050" s="1">
        <v>45699</v>
      </c>
      <c r="G1050" s="1">
        <v>45703</v>
      </c>
      <c r="H1050" t="s">
        <v>27</v>
      </c>
      <c r="I1050" t="s">
        <v>35</v>
      </c>
      <c r="J1050">
        <v>5</v>
      </c>
      <c r="K1050" t="s">
        <v>19</v>
      </c>
      <c r="L1050" t="s">
        <v>72</v>
      </c>
      <c r="M1050">
        <f>orders[[#This Row],[Ship Date]]-orders[[#This Row],[Order Date]]</f>
        <v>4</v>
      </c>
      <c r="N1050">
        <f>WEEKNUM(orders[[#This Row],[Order Date]])</f>
        <v>7</v>
      </c>
      <c r="O1050" t="str">
        <f>_xlfn.IFS(orders[[#This Row],[Customer Gender]]="M","Male", orders[[#This Row],[Customer Gender]]="F","Female", orders[[#This Row],[Customer Gender]]="O","Other", TRUE,"Unknown")</f>
        <v>Female</v>
      </c>
    </row>
    <row r="1051" spans="1:15">
      <c r="A1051" t="s">
        <v>1148</v>
      </c>
      <c r="B1051" t="s">
        <v>39</v>
      </c>
      <c r="C1051">
        <v>1</v>
      </c>
      <c r="D1051">
        <v>84.2</v>
      </c>
      <c r="E1051">
        <v>84.2</v>
      </c>
      <c r="F1051" s="1">
        <v>45699</v>
      </c>
      <c r="G1051" s="1">
        <v>45701</v>
      </c>
      <c r="H1051" t="s">
        <v>23</v>
      </c>
      <c r="I1051" t="s">
        <v>51</v>
      </c>
      <c r="J1051">
        <v>4</v>
      </c>
      <c r="K1051" t="s">
        <v>19</v>
      </c>
      <c r="L1051" t="s">
        <v>77</v>
      </c>
      <c r="M1051">
        <f>orders[[#This Row],[Ship Date]]-orders[[#This Row],[Order Date]]</f>
        <v>2</v>
      </c>
      <c r="N1051">
        <f>WEEKNUM(orders[[#This Row],[Order Date]])</f>
        <v>7</v>
      </c>
      <c r="O1051" t="str">
        <f>_xlfn.IFS(orders[[#This Row],[Customer Gender]]="M","Male", orders[[#This Row],[Customer Gender]]="F","Female", orders[[#This Row],[Customer Gender]]="O","Other", TRUE,"Unknown")</f>
        <v>Male</v>
      </c>
    </row>
    <row r="1052" spans="1:15">
      <c r="A1052" t="s">
        <v>1149</v>
      </c>
      <c r="B1052" t="s">
        <v>67</v>
      </c>
      <c r="C1052">
        <v>4</v>
      </c>
      <c r="D1052">
        <v>52</v>
      </c>
      <c r="E1052">
        <v>208</v>
      </c>
      <c r="F1052" s="1">
        <v>45699</v>
      </c>
      <c r="G1052" s="1">
        <v>45702</v>
      </c>
      <c r="H1052" t="s">
        <v>23</v>
      </c>
      <c r="I1052" t="s">
        <v>18</v>
      </c>
      <c r="J1052">
        <v>4</v>
      </c>
      <c r="K1052" t="s">
        <v>19</v>
      </c>
      <c r="L1052" t="s">
        <v>77</v>
      </c>
      <c r="M1052">
        <f>orders[[#This Row],[Ship Date]]-orders[[#This Row],[Order Date]]</f>
        <v>3</v>
      </c>
      <c r="N1052">
        <f>WEEKNUM(orders[[#This Row],[Order Date]])</f>
        <v>7</v>
      </c>
      <c r="O1052" t="str">
        <f>_xlfn.IFS(orders[[#This Row],[Customer Gender]]="M","Male", orders[[#This Row],[Customer Gender]]="F","Female", orders[[#This Row],[Customer Gender]]="O","Other", TRUE,"Unknown")</f>
        <v>Male</v>
      </c>
    </row>
    <row r="1053" spans="1:15">
      <c r="A1053" t="s">
        <v>1150</v>
      </c>
      <c r="B1053" t="s">
        <v>32</v>
      </c>
      <c r="C1053">
        <v>5</v>
      </c>
      <c r="D1053">
        <v>31.5</v>
      </c>
      <c r="E1053">
        <v>157.5</v>
      </c>
      <c r="F1053" s="1">
        <v>45699</v>
      </c>
      <c r="G1053" s="1">
        <v>45700</v>
      </c>
      <c r="H1053" t="s">
        <v>27</v>
      </c>
      <c r="I1053" t="s">
        <v>18</v>
      </c>
      <c r="J1053">
        <v>5</v>
      </c>
      <c r="K1053" t="s">
        <v>19</v>
      </c>
      <c r="L1053" t="s">
        <v>77</v>
      </c>
      <c r="M1053">
        <f>orders[[#This Row],[Ship Date]]-orders[[#This Row],[Order Date]]</f>
        <v>1</v>
      </c>
      <c r="N1053">
        <f>WEEKNUM(orders[[#This Row],[Order Date]])</f>
        <v>7</v>
      </c>
      <c r="O1053" t="str">
        <f>_xlfn.IFS(orders[[#This Row],[Customer Gender]]="M","Male", orders[[#This Row],[Customer Gender]]="F","Female", orders[[#This Row],[Customer Gender]]="O","Other", TRUE,"Unknown")</f>
        <v>Female</v>
      </c>
    </row>
    <row r="1054" spans="1:15">
      <c r="A1054" t="s">
        <v>1151</v>
      </c>
      <c r="B1054" t="s">
        <v>128</v>
      </c>
      <c r="C1054">
        <v>3</v>
      </c>
      <c r="D1054">
        <v>46.2</v>
      </c>
      <c r="E1054">
        <v>138.60000000000002</v>
      </c>
      <c r="F1054" s="1">
        <v>45699</v>
      </c>
      <c r="G1054" s="1">
        <v>45700</v>
      </c>
      <c r="H1054" t="s">
        <v>23</v>
      </c>
      <c r="I1054" t="s">
        <v>18</v>
      </c>
      <c r="J1054">
        <v>4</v>
      </c>
      <c r="K1054" t="s">
        <v>19</v>
      </c>
      <c r="L1054" t="s">
        <v>1116</v>
      </c>
      <c r="M1054">
        <f>orders[[#This Row],[Ship Date]]-orders[[#This Row],[Order Date]]</f>
        <v>1</v>
      </c>
      <c r="N1054">
        <f>WEEKNUM(orders[[#This Row],[Order Date]])</f>
        <v>7</v>
      </c>
      <c r="O1054" t="str">
        <f>_xlfn.IFS(orders[[#This Row],[Customer Gender]]="M","Male", orders[[#This Row],[Customer Gender]]="F","Female", orders[[#This Row],[Customer Gender]]="O","Other", TRUE,"Unknown")</f>
        <v>Male</v>
      </c>
    </row>
    <row r="1055" spans="1:15">
      <c r="A1055" t="s">
        <v>1152</v>
      </c>
      <c r="B1055" t="s">
        <v>26</v>
      </c>
      <c r="C1055">
        <v>6</v>
      </c>
      <c r="D1055">
        <v>135</v>
      </c>
      <c r="E1055">
        <v>810</v>
      </c>
      <c r="F1055" s="1">
        <v>45699</v>
      </c>
      <c r="G1055" s="1">
        <v>45700</v>
      </c>
      <c r="H1055" t="s">
        <v>27</v>
      </c>
      <c r="I1055" t="s">
        <v>35</v>
      </c>
      <c r="J1055">
        <v>5</v>
      </c>
      <c r="K1055" t="s">
        <v>19</v>
      </c>
      <c r="L1055" t="s">
        <v>108</v>
      </c>
      <c r="M1055">
        <f>orders[[#This Row],[Ship Date]]-orders[[#This Row],[Order Date]]</f>
        <v>1</v>
      </c>
      <c r="N1055">
        <f>WEEKNUM(orders[[#This Row],[Order Date]])</f>
        <v>7</v>
      </c>
      <c r="O1055" t="str">
        <f>_xlfn.IFS(orders[[#This Row],[Customer Gender]]="M","Male", orders[[#This Row],[Customer Gender]]="F","Female", orders[[#This Row],[Customer Gender]]="O","Other", TRUE,"Unknown")</f>
        <v>Female</v>
      </c>
    </row>
    <row r="1056" spans="1:15">
      <c r="A1056" t="s">
        <v>1153</v>
      </c>
      <c r="B1056" t="s">
        <v>69</v>
      </c>
      <c r="C1056">
        <v>3</v>
      </c>
      <c r="D1056">
        <v>92.2</v>
      </c>
      <c r="E1056">
        <v>276.60000000000002</v>
      </c>
      <c r="F1056" s="1">
        <v>45699</v>
      </c>
      <c r="G1056" s="1">
        <v>45703</v>
      </c>
      <c r="H1056" t="s">
        <v>23</v>
      </c>
      <c r="I1056" t="s">
        <v>18</v>
      </c>
      <c r="J1056">
        <v>4</v>
      </c>
      <c r="K1056" t="s">
        <v>19</v>
      </c>
      <c r="L1056" t="s">
        <v>115</v>
      </c>
      <c r="M1056">
        <f>orders[[#This Row],[Ship Date]]-orders[[#This Row],[Order Date]]</f>
        <v>4</v>
      </c>
      <c r="N1056">
        <f>WEEKNUM(orders[[#This Row],[Order Date]])</f>
        <v>7</v>
      </c>
      <c r="O1056" t="str">
        <f>_xlfn.IFS(orders[[#This Row],[Customer Gender]]="M","Male", orders[[#This Row],[Customer Gender]]="F","Female", orders[[#This Row],[Customer Gender]]="O","Other", TRUE,"Unknown")</f>
        <v>Male</v>
      </c>
    </row>
    <row r="1057" spans="1:15">
      <c r="A1057" t="s">
        <v>1154</v>
      </c>
      <c r="B1057" t="s">
        <v>44</v>
      </c>
      <c r="C1057">
        <v>1</v>
      </c>
      <c r="D1057">
        <v>36.6</v>
      </c>
      <c r="E1057">
        <v>36.6</v>
      </c>
      <c r="F1057" s="1">
        <v>45699</v>
      </c>
      <c r="G1057" s="1">
        <v>45701</v>
      </c>
      <c r="H1057" t="s">
        <v>23</v>
      </c>
      <c r="I1057" t="s">
        <v>40</v>
      </c>
      <c r="J1057">
        <v>5</v>
      </c>
      <c r="K1057" t="s">
        <v>19</v>
      </c>
      <c r="L1057" t="s">
        <v>115</v>
      </c>
      <c r="M1057">
        <f>orders[[#This Row],[Ship Date]]-orders[[#This Row],[Order Date]]</f>
        <v>2</v>
      </c>
      <c r="N1057">
        <f>WEEKNUM(orders[[#This Row],[Order Date]])</f>
        <v>7</v>
      </c>
      <c r="O1057" t="str">
        <f>_xlfn.IFS(orders[[#This Row],[Customer Gender]]="M","Male", orders[[#This Row],[Customer Gender]]="F","Female", orders[[#This Row],[Customer Gender]]="O","Other", TRUE,"Unknown")</f>
        <v>Male</v>
      </c>
    </row>
    <row r="1058" spans="1:15">
      <c r="A1058" t="s">
        <v>1155</v>
      </c>
      <c r="B1058" t="s">
        <v>46</v>
      </c>
      <c r="C1058">
        <v>2</v>
      </c>
      <c r="D1058">
        <v>50.6</v>
      </c>
      <c r="E1058">
        <v>101.2</v>
      </c>
      <c r="F1058" s="1">
        <v>45699</v>
      </c>
      <c r="G1058" s="1">
        <v>45702</v>
      </c>
      <c r="H1058" t="s">
        <v>27</v>
      </c>
      <c r="I1058" t="s">
        <v>18</v>
      </c>
      <c r="J1058">
        <v>4</v>
      </c>
      <c r="K1058" t="s">
        <v>19</v>
      </c>
      <c r="L1058" t="s">
        <v>28</v>
      </c>
      <c r="M1058">
        <f>orders[[#This Row],[Ship Date]]-orders[[#This Row],[Order Date]]</f>
        <v>3</v>
      </c>
      <c r="N1058">
        <f>WEEKNUM(orders[[#This Row],[Order Date]])</f>
        <v>7</v>
      </c>
      <c r="O1058" t="str">
        <f>_xlfn.IFS(orders[[#This Row],[Customer Gender]]="M","Male", orders[[#This Row],[Customer Gender]]="F","Female", orders[[#This Row],[Customer Gender]]="O","Other", TRUE,"Unknown")</f>
        <v>Female</v>
      </c>
    </row>
    <row r="1059" spans="1:15">
      <c r="A1059" t="s">
        <v>1156</v>
      </c>
      <c r="B1059" t="s">
        <v>146</v>
      </c>
      <c r="C1059">
        <v>7</v>
      </c>
      <c r="D1059">
        <v>56.7</v>
      </c>
      <c r="E1059">
        <v>396.90000000000003</v>
      </c>
      <c r="F1059" s="1">
        <v>45699</v>
      </c>
      <c r="G1059" s="1">
        <v>45702</v>
      </c>
      <c r="H1059" t="s">
        <v>27</v>
      </c>
      <c r="I1059" t="s">
        <v>18</v>
      </c>
      <c r="J1059">
        <v>4</v>
      </c>
      <c r="K1059" t="s">
        <v>19</v>
      </c>
      <c r="L1059" t="s">
        <v>28</v>
      </c>
      <c r="M1059">
        <f>orders[[#This Row],[Ship Date]]-orders[[#This Row],[Order Date]]</f>
        <v>3</v>
      </c>
      <c r="N1059">
        <f>WEEKNUM(orders[[#This Row],[Order Date]])</f>
        <v>7</v>
      </c>
      <c r="O1059" t="str">
        <f>_xlfn.IFS(orders[[#This Row],[Customer Gender]]="M","Male", orders[[#This Row],[Customer Gender]]="F","Female", orders[[#This Row],[Customer Gender]]="O","Other", TRUE,"Unknown")</f>
        <v>Female</v>
      </c>
    </row>
    <row r="1060" spans="1:15">
      <c r="A1060" t="s">
        <v>1157</v>
      </c>
      <c r="B1060" t="s">
        <v>46</v>
      </c>
      <c r="C1060">
        <v>13</v>
      </c>
      <c r="D1060">
        <v>22.9</v>
      </c>
      <c r="E1060">
        <v>297.7</v>
      </c>
      <c r="F1060" s="1">
        <v>45699</v>
      </c>
      <c r="G1060" s="1">
        <v>45700</v>
      </c>
      <c r="H1060" t="s">
        <v>27</v>
      </c>
      <c r="I1060" t="s">
        <v>18</v>
      </c>
      <c r="J1060">
        <v>3</v>
      </c>
      <c r="K1060" t="s">
        <v>19</v>
      </c>
      <c r="L1060" t="s">
        <v>587</v>
      </c>
      <c r="M1060">
        <f>orders[[#This Row],[Ship Date]]-orders[[#This Row],[Order Date]]</f>
        <v>1</v>
      </c>
      <c r="N1060">
        <f>WEEKNUM(orders[[#This Row],[Order Date]])</f>
        <v>7</v>
      </c>
      <c r="O1060" t="str">
        <f>_xlfn.IFS(orders[[#This Row],[Customer Gender]]="M","Male", orders[[#This Row],[Customer Gender]]="F","Female", orders[[#This Row],[Customer Gender]]="O","Other", TRUE,"Unknown")</f>
        <v>Female</v>
      </c>
    </row>
    <row r="1061" spans="1:15">
      <c r="A1061" t="s">
        <v>1158</v>
      </c>
      <c r="B1061" t="s">
        <v>123</v>
      </c>
      <c r="C1061">
        <v>19</v>
      </c>
      <c r="D1061">
        <v>53.6</v>
      </c>
      <c r="E1061">
        <v>1018.4</v>
      </c>
      <c r="F1061" s="1">
        <v>45699</v>
      </c>
      <c r="G1061" s="1">
        <v>45700</v>
      </c>
      <c r="H1061" t="s">
        <v>23</v>
      </c>
      <c r="I1061" t="s">
        <v>18</v>
      </c>
      <c r="J1061">
        <v>4</v>
      </c>
      <c r="K1061" t="s">
        <v>19</v>
      </c>
      <c r="L1061" t="s">
        <v>147</v>
      </c>
      <c r="M1061">
        <f>orders[[#This Row],[Ship Date]]-orders[[#This Row],[Order Date]]</f>
        <v>1</v>
      </c>
      <c r="N1061">
        <f>WEEKNUM(orders[[#This Row],[Order Date]])</f>
        <v>7</v>
      </c>
      <c r="O1061" t="str">
        <f>_xlfn.IFS(orders[[#This Row],[Customer Gender]]="M","Male", orders[[#This Row],[Customer Gender]]="F","Female", orders[[#This Row],[Customer Gender]]="O","Other", TRUE,"Unknown")</f>
        <v>Male</v>
      </c>
    </row>
    <row r="1062" spans="1:15">
      <c r="A1062" t="s">
        <v>1159</v>
      </c>
      <c r="B1062" t="s">
        <v>146</v>
      </c>
      <c r="C1062">
        <v>2</v>
      </c>
      <c r="D1062">
        <v>30.2</v>
      </c>
      <c r="E1062">
        <v>60.4</v>
      </c>
      <c r="F1062" s="1">
        <v>45699</v>
      </c>
      <c r="G1062" s="1">
        <v>45701</v>
      </c>
      <c r="H1062" t="s">
        <v>17</v>
      </c>
      <c r="I1062" t="s">
        <v>40</v>
      </c>
      <c r="J1062">
        <v>5</v>
      </c>
      <c r="K1062" t="s">
        <v>19</v>
      </c>
      <c r="L1062" t="s">
        <v>33</v>
      </c>
      <c r="M1062">
        <f>orders[[#This Row],[Ship Date]]-orders[[#This Row],[Order Date]]</f>
        <v>2</v>
      </c>
      <c r="N1062">
        <f>WEEKNUM(orders[[#This Row],[Order Date]])</f>
        <v>7</v>
      </c>
      <c r="O1062" t="str">
        <f>_xlfn.IFS(orders[[#This Row],[Customer Gender]]="M","Male", orders[[#This Row],[Customer Gender]]="F","Female", orders[[#This Row],[Customer Gender]]="O","Other", TRUE,"Unknown")</f>
        <v>Unknown</v>
      </c>
    </row>
    <row r="1063" spans="1:15">
      <c r="A1063" t="s">
        <v>1160</v>
      </c>
      <c r="B1063" t="s">
        <v>123</v>
      </c>
      <c r="C1063">
        <v>6</v>
      </c>
      <c r="D1063">
        <v>83.4</v>
      </c>
      <c r="E1063">
        <v>500.40000000000003</v>
      </c>
      <c r="F1063" s="1">
        <v>45699</v>
      </c>
      <c r="G1063" s="1">
        <v>45700</v>
      </c>
      <c r="H1063" t="s">
        <v>23</v>
      </c>
      <c r="I1063" t="s">
        <v>35</v>
      </c>
      <c r="J1063">
        <v>5</v>
      </c>
      <c r="K1063" t="s">
        <v>19</v>
      </c>
      <c r="L1063" t="s">
        <v>33</v>
      </c>
      <c r="M1063">
        <f>orders[[#This Row],[Ship Date]]-orders[[#This Row],[Order Date]]</f>
        <v>1</v>
      </c>
      <c r="N1063">
        <f>WEEKNUM(orders[[#This Row],[Order Date]])</f>
        <v>7</v>
      </c>
      <c r="O1063" t="str">
        <f>_xlfn.IFS(orders[[#This Row],[Customer Gender]]="M","Male", orders[[#This Row],[Customer Gender]]="F","Female", orders[[#This Row],[Customer Gender]]="O","Other", TRUE,"Unknown")</f>
        <v>Male</v>
      </c>
    </row>
    <row r="1064" spans="1:15">
      <c r="A1064" t="s">
        <v>1161</v>
      </c>
      <c r="B1064" t="s">
        <v>76</v>
      </c>
      <c r="C1064">
        <v>12</v>
      </c>
      <c r="D1064">
        <v>16.600000000000001</v>
      </c>
      <c r="E1064">
        <v>199.20000000000002</v>
      </c>
      <c r="F1064" s="1">
        <v>45699</v>
      </c>
      <c r="G1064" s="1">
        <v>45701</v>
      </c>
      <c r="H1064" t="s">
        <v>23</v>
      </c>
      <c r="I1064" t="s">
        <v>35</v>
      </c>
      <c r="J1064">
        <v>4</v>
      </c>
      <c r="K1064" t="s">
        <v>19</v>
      </c>
      <c r="L1064" t="s">
        <v>33</v>
      </c>
      <c r="M1064">
        <f>orders[[#This Row],[Ship Date]]-orders[[#This Row],[Order Date]]</f>
        <v>2</v>
      </c>
      <c r="N1064">
        <f>WEEKNUM(orders[[#This Row],[Order Date]])</f>
        <v>7</v>
      </c>
      <c r="O1064" t="str">
        <f>_xlfn.IFS(orders[[#This Row],[Customer Gender]]="M","Male", orders[[#This Row],[Customer Gender]]="F","Female", orders[[#This Row],[Customer Gender]]="O","Other", TRUE,"Unknown")</f>
        <v>Male</v>
      </c>
    </row>
    <row r="1065" spans="1:15">
      <c r="A1065" t="s">
        <v>1162</v>
      </c>
      <c r="B1065" t="s">
        <v>44</v>
      </c>
      <c r="C1065">
        <v>17</v>
      </c>
      <c r="D1065">
        <v>21.9</v>
      </c>
      <c r="E1065">
        <v>372.29999999999995</v>
      </c>
      <c r="F1065" s="1">
        <v>45699</v>
      </c>
      <c r="G1065" s="1">
        <v>45701</v>
      </c>
      <c r="H1065" t="s">
        <v>27</v>
      </c>
      <c r="I1065" t="s">
        <v>70</v>
      </c>
      <c r="J1065">
        <v>3</v>
      </c>
      <c r="K1065" t="s">
        <v>19</v>
      </c>
      <c r="L1065" t="s">
        <v>33</v>
      </c>
      <c r="M1065">
        <f>orders[[#This Row],[Ship Date]]-orders[[#This Row],[Order Date]]</f>
        <v>2</v>
      </c>
      <c r="N1065">
        <f>WEEKNUM(orders[[#This Row],[Order Date]])</f>
        <v>7</v>
      </c>
      <c r="O1065" t="str">
        <f>_xlfn.IFS(orders[[#This Row],[Customer Gender]]="M","Male", orders[[#This Row],[Customer Gender]]="F","Female", orders[[#This Row],[Customer Gender]]="O","Other", TRUE,"Unknown")</f>
        <v>Female</v>
      </c>
    </row>
    <row r="1066" spans="1:15">
      <c r="A1066" t="s">
        <v>1163</v>
      </c>
      <c r="B1066" t="s">
        <v>44</v>
      </c>
      <c r="C1066">
        <v>28</v>
      </c>
      <c r="D1066">
        <v>33.799999999999997</v>
      </c>
      <c r="E1066">
        <v>946.39999999999986</v>
      </c>
      <c r="F1066" s="1">
        <v>45699</v>
      </c>
      <c r="G1066" s="1">
        <v>45701</v>
      </c>
      <c r="H1066" t="s">
        <v>23</v>
      </c>
      <c r="I1066" t="s">
        <v>40</v>
      </c>
      <c r="J1066">
        <v>2</v>
      </c>
      <c r="K1066" t="s">
        <v>19</v>
      </c>
      <c r="L1066" t="s">
        <v>33</v>
      </c>
      <c r="M1066">
        <f>orders[[#This Row],[Ship Date]]-orders[[#This Row],[Order Date]]</f>
        <v>2</v>
      </c>
      <c r="N1066">
        <f>WEEKNUM(orders[[#This Row],[Order Date]])</f>
        <v>7</v>
      </c>
      <c r="O1066" t="str">
        <f>_xlfn.IFS(orders[[#This Row],[Customer Gender]]="M","Male", orders[[#This Row],[Customer Gender]]="F","Female", orders[[#This Row],[Customer Gender]]="O","Other", TRUE,"Unknown")</f>
        <v>Male</v>
      </c>
    </row>
    <row r="1067" spans="1:15">
      <c r="A1067" t="s">
        <v>1164</v>
      </c>
      <c r="B1067" t="s">
        <v>146</v>
      </c>
      <c r="C1067">
        <v>2</v>
      </c>
      <c r="D1067">
        <v>53.2</v>
      </c>
      <c r="E1067">
        <v>106.4</v>
      </c>
      <c r="F1067" s="1">
        <v>45699</v>
      </c>
      <c r="G1067" s="1">
        <v>45699</v>
      </c>
      <c r="H1067" t="s">
        <v>23</v>
      </c>
      <c r="I1067" t="s">
        <v>35</v>
      </c>
      <c r="J1067">
        <v>4</v>
      </c>
      <c r="K1067" t="s">
        <v>19</v>
      </c>
      <c r="L1067" t="s">
        <v>33</v>
      </c>
      <c r="M1067">
        <f>orders[[#This Row],[Ship Date]]-orders[[#This Row],[Order Date]]</f>
        <v>0</v>
      </c>
      <c r="N1067">
        <f>WEEKNUM(orders[[#This Row],[Order Date]])</f>
        <v>7</v>
      </c>
      <c r="O1067" t="str">
        <f>_xlfn.IFS(orders[[#This Row],[Customer Gender]]="M","Male", orders[[#This Row],[Customer Gender]]="F","Female", orders[[#This Row],[Customer Gender]]="O","Other", TRUE,"Unknown")</f>
        <v>Male</v>
      </c>
    </row>
    <row r="1068" spans="1:15">
      <c r="A1068" t="s">
        <v>1165</v>
      </c>
      <c r="B1068" t="s">
        <v>26</v>
      </c>
      <c r="C1068">
        <v>2</v>
      </c>
      <c r="D1068">
        <v>176.7</v>
      </c>
      <c r="E1068">
        <v>353.4</v>
      </c>
      <c r="F1068" s="1">
        <v>45699</v>
      </c>
      <c r="G1068" s="1">
        <v>45702</v>
      </c>
      <c r="H1068" t="s">
        <v>27</v>
      </c>
      <c r="I1068" t="s">
        <v>40</v>
      </c>
      <c r="J1068">
        <v>4</v>
      </c>
      <c r="K1068" t="s">
        <v>19</v>
      </c>
      <c r="L1068" t="s">
        <v>33</v>
      </c>
      <c r="M1068">
        <f>orders[[#This Row],[Ship Date]]-orders[[#This Row],[Order Date]]</f>
        <v>3</v>
      </c>
      <c r="N1068">
        <f>WEEKNUM(orders[[#This Row],[Order Date]])</f>
        <v>7</v>
      </c>
      <c r="O1068" t="str">
        <f>_xlfn.IFS(orders[[#This Row],[Customer Gender]]="M","Male", orders[[#This Row],[Customer Gender]]="F","Female", orders[[#This Row],[Customer Gender]]="O","Other", TRUE,"Unknown")</f>
        <v>Female</v>
      </c>
    </row>
    <row r="1069" spans="1:15">
      <c r="A1069" t="s">
        <v>1166</v>
      </c>
      <c r="B1069" t="s">
        <v>69</v>
      </c>
      <c r="C1069">
        <v>3</v>
      </c>
      <c r="D1069">
        <v>54</v>
      </c>
      <c r="E1069">
        <v>162</v>
      </c>
      <c r="F1069" s="1">
        <v>45699</v>
      </c>
      <c r="G1069" s="1">
        <v>45702</v>
      </c>
      <c r="H1069" t="s">
        <v>23</v>
      </c>
      <c r="I1069" t="s">
        <v>18</v>
      </c>
      <c r="J1069">
        <v>3</v>
      </c>
      <c r="K1069" t="s">
        <v>19</v>
      </c>
      <c r="L1069" t="s">
        <v>33</v>
      </c>
      <c r="M1069">
        <f>orders[[#This Row],[Ship Date]]-orders[[#This Row],[Order Date]]</f>
        <v>3</v>
      </c>
      <c r="N1069">
        <f>WEEKNUM(orders[[#This Row],[Order Date]])</f>
        <v>7</v>
      </c>
      <c r="O1069" t="str">
        <f>_xlfn.IFS(orders[[#This Row],[Customer Gender]]="M","Male", orders[[#This Row],[Customer Gender]]="F","Female", orders[[#This Row],[Customer Gender]]="O","Other", TRUE,"Unknown")</f>
        <v>Male</v>
      </c>
    </row>
    <row r="1070" spans="1:15">
      <c r="A1070" t="s">
        <v>1167</v>
      </c>
      <c r="B1070" t="s">
        <v>46</v>
      </c>
      <c r="C1070">
        <v>2</v>
      </c>
      <c r="D1070">
        <v>70.099999999999994</v>
      </c>
      <c r="E1070">
        <v>140.19999999999999</v>
      </c>
      <c r="F1070" s="1">
        <v>45699</v>
      </c>
      <c r="G1070" s="1">
        <v>45707</v>
      </c>
      <c r="H1070" t="s">
        <v>27</v>
      </c>
      <c r="I1070" t="s">
        <v>51</v>
      </c>
      <c r="J1070">
        <v>5</v>
      </c>
      <c r="K1070" t="s">
        <v>19</v>
      </c>
      <c r="L1070" t="s">
        <v>33</v>
      </c>
      <c r="M1070">
        <f>orders[[#This Row],[Ship Date]]-orders[[#This Row],[Order Date]]</f>
        <v>8</v>
      </c>
      <c r="N1070">
        <f>WEEKNUM(orders[[#This Row],[Order Date]])</f>
        <v>7</v>
      </c>
      <c r="O1070" t="str">
        <f>_xlfn.IFS(orders[[#This Row],[Customer Gender]]="M","Male", orders[[#This Row],[Customer Gender]]="F","Female", orders[[#This Row],[Customer Gender]]="O","Other", TRUE,"Unknown")</f>
        <v>Female</v>
      </c>
    </row>
    <row r="1071" spans="1:15">
      <c r="A1071" t="s">
        <v>1168</v>
      </c>
      <c r="B1071" t="s">
        <v>44</v>
      </c>
      <c r="C1071">
        <v>1</v>
      </c>
      <c r="D1071">
        <v>26.5</v>
      </c>
      <c r="E1071">
        <v>26.5</v>
      </c>
      <c r="F1071" s="1">
        <v>45699</v>
      </c>
      <c r="G1071" s="1">
        <v>45701</v>
      </c>
      <c r="H1071" t="s">
        <v>27</v>
      </c>
      <c r="I1071" t="s">
        <v>35</v>
      </c>
      <c r="J1071">
        <v>4</v>
      </c>
      <c r="K1071" t="s">
        <v>19</v>
      </c>
      <c r="L1071" t="s">
        <v>33</v>
      </c>
      <c r="M1071">
        <f>orders[[#This Row],[Ship Date]]-orders[[#This Row],[Order Date]]</f>
        <v>2</v>
      </c>
      <c r="N1071">
        <f>WEEKNUM(orders[[#This Row],[Order Date]])</f>
        <v>7</v>
      </c>
      <c r="O1071" t="str">
        <f>_xlfn.IFS(orders[[#This Row],[Customer Gender]]="M","Male", orders[[#This Row],[Customer Gender]]="F","Female", orders[[#This Row],[Customer Gender]]="O","Other", TRUE,"Unknown")</f>
        <v>Female</v>
      </c>
    </row>
    <row r="1072" spans="1:15">
      <c r="A1072" t="s">
        <v>1169</v>
      </c>
      <c r="B1072" t="s">
        <v>42</v>
      </c>
      <c r="C1072">
        <v>5</v>
      </c>
      <c r="D1072">
        <v>89</v>
      </c>
      <c r="E1072">
        <v>445</v>
      </c>
      <c r="F1072" s="1">
        <v>45699</v>
      </c>
      <c r="G1072" s="1">
        <v>45701</v>
      </c>
      <c r="H1072" t="s">
        <v>23</v>
      </c>
      <c r="I1072" t="s">
        <v>40</v>
      </c>
      <c r="J1072">
        <v>2</v>
      </c>
      <c r="K1072" t="s">
        <v>19</v>
      </c>
      <c r="L1072" t="s">
        <v>33</v>
      </c>
      <c r="M1072">
        <f>orders[[#This Row],[Ship Date]]-orders[[#This Row],[Order Date]]</f>
        <v>2</v>
      </c>
      <c r="N1072">
        <f>WEEKNUM(orders[[#This Row],[Order Date]])</f>
        <v>7</v>
      </c>
      <c r="O1072" t="str">
        <f>_xlfn.IFS(orders[[#This Row],[Customer Gender]]="M","Male", orders[[#This Row],[Customer Gender]]="F","Female", orders[[#This Row],[Customer Gender]]="O","Other", TRUE,"Unknown")</f>
        <v>Male</v>
      </c>
    </row>
    <row r="1073" spans="1:15">
      <c r="A1073" t="s">
        <v>1170</v>
      </c>
      <c r="B1073" t="s">
        <v>22</v>
      </c>
      <c r="C1073">
        <v>6</v>
      </c>
      <c r="D1073">
        <v>47</v>
      </c>
      <c r="E1073">
        <v>282</v>
      </c>
      <c r="F1073" s="1">
        <v>45699</v>
      </c>
      <c r="G1073" s="1">
        <v>45702</v>
      </c>
      <c r="H1073" t="s">
        <v>27</v>
      </c>
      <c r="I1073" t="s">
        <v>51</v>
      </c>
      <c r="J1073">
        <v>4</v>
      </c>
      <c r="K1073" t="s">
        <v>19</v>
      </c>
      <c r="L1073" t="s">
        <v>186</v>
      </c>
      <c r="M1073">
        <f>orders[[#This Row],[Ship Date]]-orders[[#This Row],[Order Date]]</f>
        <v>3</v>
      </c>
      <c r="N1073">
        <f>WEEKNUM(orders[[#This Row],[Order Date]])</f>
        <v>7</v>
      </c>
      <c r="O1073" t="str">
        <f>_xlfn.IFS(orders[[#This Row],[Customer Gender]]="M","Male", orders[[#This Row],[Customer Gender]]="F","Female", orders[[#This Row],[Customer Gender]]="O","Other", TRUE,"Unknown")</f>
        <v>Female</v>
      </c>
    </row>
    <row r="1074" spans="1:15">
      <c r="A1074" t="s">
        <v>1171</v>
      </c>
      <c r="B1074" t="s">
        <v>30</v>
      </c>
      <c r="C1074">
        <v>2</v>
      </c>
      <c r="D1074">
        <v>55.2</v>
      </c>
      <c r="E1074">
        <v>110.4</v>
      </c>
      <c r="F1074" s="1">
        <v>45699</v>
      </c>
      <c r="G1074" s="1">
        <v>45702</v>
      </c>
      <c r="H1074" t="s">
        <v>23</v>
      </c>
      <c r="I1074" t="s">
        <v>35</v>
      </c>
      <c r="J1074">
        <v>3</v>
      </c>
      <c r="K1074" t="s">
        <v>19</v>
      </c>
      <c r="L1074" t="s">
        <v>55</v>
      </c>
      <c r="M1074">
        <f>orders[[#This Row],[Ship Date]]-orders[[#This Row],[Order Date]]</f>
        <v>3</v>
      </c>
      <c r="N1074">
        <f>WEEKNUM(orders[[#This Row],[Order Date]])</f>
        <v>7</v>
      </c>
      <c r="O1074" t="str">
        <f>_xlfn.IFS(orders[[#This Row],[Customer Gender]]="M","Male", orders[[#This Row],[Customer Gender]]="F","Female", orders[[#This Row],[Customer Gender]]="O","Other", TRUE,"Unknown")</f>
        <v>Male</v>
      </c>
    </row>
    <row r="1075" spans="1:15">
      <c r="A1075" t="s">
        <v>1172</v>
      </c>
      <c r="B1075" t="s">
        <v>44</v>
      </c>
      <c r="C1075">
        <v>42</v>
      </c>
      <c r="D1075">
        <v>33.299999999999997</v>
      </c>
      <c r="E1075">
        <v>1398.6</v>
      </c>
      <c r="F1075" s="1">
        <v>45699</v>
      </c>
      <c r="G1075" s="1">
        <v>45713</v>
      </c>
      <c r="H1075" t="s">
        <v>23</v>
      </c>
      <c r="I1075" t="s">
        <v>35</v>
      </c>
      <c r="J1075">
        <v>5</v>
      </c>
      <c r="K1075" t="s">
        <v>19</v>
      </c>
      <c r="L1075" t="s">
        <v>55</v>
      </c>
      <c r="M1075">
        <f>orders[[#This Row],[Ship Date]]-orders[[#This Row],[Order Date]]</f>
        <v>14</v>
      </c>
      <c r="N1075">
        <f>WEEKNUM(orders[[#This Row],[Order Date]])</f>
        <v>7</v>
      </c>
      <c r="O1075" t="str">
        <f>_xlfn.IFS(orders[[#This Row],[Customer Gender]]="M","Male", orders[[#This Row],[Customer Gender]]="F","Female", orders[[#This Row],[Customer Gender]]="O","Other", TRUE,"Unknown")</f>
        <v>Male</v>
      </c>
    </row>
    <row r="1076" spans="1:15">
      <c r="A1076" t="s">
        <v>1173</v>
      </c>
      <c r="B1076" t="s">
        <v>26</v>
      </c>
      <c r="C1076">
        <v>4</v>
      </c>
      <c r="D1076">
        <v>110.9</v>
      </c>
      <c r="E1076">
        <v>443.6</v>
      </c>
      <c r="F1076" s="1">
        <v>45700</v>
      </c>
      <c r="G1076" s="1">
        <v>45700</v>
      </c>
      <c r="H1076" t="s">
        <v>23</v>
      </c>
      <c r="I1076" t="s">
        <v>40</v>
      </c>
      <c r="J1076">
        <v>2</v>
      </c>
      <c r="K1076" t="s">
        <v>19</v>
      </c>
      <c r="L1076" t="s">
        <v>55</v>
      </c>
      <c r="M1076">
        <f>orders[[#This Row],[Ship Date]]-orders[[#This Row],[Order Date]]</f>
        <v>0</v>
      </c>
      <c r="N1076">
        <f>WEEKNUM(orders[[#This Row],[Order Date]])</f>
        <v>7</v>
      </c>
      <c r="O1076" t="str">
        <f>_xlfn.IFS(orders[[#This Row],[Customer Gender]]="M","Male", orders[[#This Row],[Customer Gender]]="F","Female", orders[[#This Row],[Customer Gender]]="O","Other", TRUE,"Unknown")</f>
        <v>Male</v>
      </c>
    </row>
    <row r="1077" spans="1:15">
      <c r="A1077" t="s">
        <v>1174</v>
      </c>
      <c r="B1077" t="s">
        <v>26</v>
      </c>
      <c r="C1077">
        <v>6</v>
      </c>
      <c r="D1077">
        <v>67.3</v>
      </c>
      <c r="E1077">
        <v>403.79999999999995</v>
      </c>
      <c r="F1077" s="1">
        <v>45700</v>
      </c>
      <c r="G1077" s="1">
        <v>45701</v>
      </c>
      <c r="H1077" t="s">
        <v>23</v>
      </c>
      <c r="I1077" t="s">
        <v>18</v>
      </c>
      <c r="J1077">
        <v>4</v>
      </c>
      <c r="K1077" t="s">
        <v>19</v>
      </c>
      <c r="L1077" t="s">
        <v>62</v>
      </c>
      <c r="M1077">
        <f>orders[[#This Row],[Ship Date]]-orders[[#This Row],[Order Date]]</f>
        <v>1</v>
      </c>
      <c r="N1077">
        <f>WEEKNUM(orders[[#This Row],[Order Date]])</f>
        <v>7</v>
      </c>
      <c r="O1077" t="str">
        <f>_xlfn.IFS(orders[[#This Row],[Customer Gender]]="M","Male", orders[[#This Row],[Customer Gender]]="F","Female", orders[[#This Row],[Customer Gender]]="O","Other", TRUE,"Unknown")</f>
        <v>Male</v>
      </c>
    </row>
    <row r="1078" spans="1:15">
      <c r="A1078" t="s">
        <v>1175</v>
      </c>
      <c r="B1078" t="s">
        <v>39</v>
      </c>
      <c r="C1078">
        <v>3</v>
      </c>
      <c r="D1078">
        <v>69.7</v>
      </c>
      <c r="E1078">
        <v>209.10000000000002</v>
      </c>
      <c r="F1078" s="1">
        <v>45700</v>
      </c>
      <c r="G1078" s="1">
        <v>45701</v>
      </c>
      <c r="H1078" t="s">
        <v>23</v>
      </c>
      <c r="I1078" t="s">
        <v>40</v>
      </c>
      <c r="J1078">
        <v>3</v>
      </c>
      <c r="K1078" t="s">
        <v>19</v>
      </c>
      <c r="L1078" t="s">
        <v>62</v>
      </c>
      <c r="M1078">
        <f>orders[[#This Row],[Ship Date]]-orders[[#This Row],[Order Date]]</f>
        <v>1</v>
      </c>
      <c r="N1078">
        <f>WEEKNUM(orders[[#This Row],[Order Date]])</f>
        <v>7</v>
      </c>
      <c r="O1078" t="str">
        <f>_xlfn.IFS(orders[[#This Row],[Customer Gender]]="M","Male", orders[[#This Row],[Customer Gender]]="F","Female", orders[[#This Row],[Customer Gender]]="O","Other", TRUE,"Unknown")</f>
        <v>Male</v>
      </c>
    </row>
    <row r="1079" spans="1:15">
      <c r="A1079" t="s">
        <v>1176</v>
      </c>
      <c r="B1079" t="s">
        <v>37</v>
      </c>
      <c r="C1079">
        <v>1</v>
      </c>
      <c r="D1079">
        <v>39.1</v>
      </c>
      <c r="E1079">
        <v>39.1</v>
      </c>
      <c r="F1079" s="1">
        <v>45700</v>
      </c>
      <c r="G1079" s="1">
        <v>45705</v>
      </c>
      <c r="H1079" t="s">
        <v>23</v>
      </c>
      <c r="I1079" t="s">
        <v>18</v>
      </c>
      <c r="J1079">
        <v>3</v>
      </c>
      <c r="K1079" t="s">
        <v>19</v>
      </c>
      <c r="L1079" t="s">
        <v>103</v>
      </c>
      <c r="M1079">
        <f>orders[[#This Row],[Ship Date]]-orders[[#This Row],[Order Date]]</f>
        <v>5</v>
      </c>
      <c r="N1079">
        <f>WEEKNUM(orders[[#This Row],[Order Date]])</f>
        <v>7</v>
      </c>
      <c r="O1079" t="str">
        <f>_xlfn.IFS(orders[[#This Row],[Customer Gender]]="M","Male", orders[[#This Row],[Customer Gender]]="F","Female", orders[[#This Row],[Customer Gender]]="O","Other", TRUE,"Unknown")</f>
        <v>Male</v>
      </c>
    </row>
    <row r="1080" spans="1:15">
      <c r="A1080" t="s">
        <v>1177</v>
      </c>
      <c r="B1080" t="s">
        <v>26</v>
      </c>
      <c r="C1080">
        <v>3</v>
      </c>
      <c r="D1080">
        <v>208.6</v>
      </c>
      <c r="E1080">
        <v>625.79999999999995</v>
      </c>
      <c r="F1080" s="1">
        <v>45700</v>
      </c>
      <c r="G1080" s="1">
        <v>45700</v>
      </c>
      <c r="H1080" t="s">
        <v>23</v>
      </c>
      <c r="I1080" t="s">
        <v>70</v>
      </c>
      <c r="J1080">
        <v>5</v>
      </c>
      <c r="K1080" t="s">
        <v>19</v>
      </c>
      <c r="L1080" t="s">
        <v>103</v>
      </c>
      <c r="M1080">
        <f>orders[[#This Row],[Ship Date]]-orders[[#This Row],[Order Date]]</f>
        <v>0</v>
      </c>
      <c r="N1080">
        <f>WEEKNUM(orders[[#This Row],[Order Date]])</f>
        <v>7</v>
      </c>
      <c r="O1080" t="str">
        <f>_xlfn.IFS(orders[[#This Row],[Customer Gender]]="M","Male", orders[[#This Row],[Customer Gender]]="F","Female", orders[[#This Row],[Customer Gender]]="O","Other", TRUE,"Unknown")</f>
        <v>Male</v>
      </c>
    </row>
    <row r="1081" spans="1:15">
      <c r="A1081" t="s">
        <v>1178</v>
      </c>
      <c r="B1081" t="s">
        <v>123</v>
      </c>
      <c r="C1081">
        <v>3</v>
      </c>
      <c r="D1081">
        <v>27.8</v>
      </c>
      <c r="E1081">
        <v>83.4</v>
      </c>
      <c r="F1081" s="1">
        <v>45700</v>
      </c>
      <c r="G1081" s="1">
        <v>45701</v>
      </c>
      <c r="H1081" t="s">
        <v>23</v>
      </c>
      <c r="I1081" t="s">
        <v>51</v>
      </c>
      <c r="J1081">
        <v>3</v>
      </c>
      <c r="K1081" t="s">
        <v>19</v>
      </c>
      <c r="L1081" t="s">
        <v>77</v>
      </c>
      <c r="M1081">
        <f>orders[[#This Row],[Ship Date]]-orders[[#This Row],[Order Date]]</f>
        <v>1</v>
      </c>
      <c r="N1081">
        <f>WEEKNUM(orders[[#This Row],[Order Date]])</f>
        <v>7</v>
      </c>
      <c r="O1081" t="str">
        <f>_xlfn.IFS(orders[[#This Row],[Customer Gender]]="M","Male", orders[[#This Row],[Customer Gender]]="F","Female", orders[[#This Row],[Customer Gender]]="O","Other", TRUE,"Unknown")</f>
        <v>Male</v>
      </c>
    </row>
    <row r="1082" spans="1:15">
      <c r="A1082" t="s">
        <v>1179</v>
      </c>
      <c r="B1082" t="s">
        <v>54</v>
      </c>
      <c r="C1082">
        <v>5</v>
      </c>
      <c r="D1082">
        <v>29.4</v>
      </c>
      <c r="E1082">
        <v>147</v>
      </c>
      <c r="F1082" s="1">
        <v>45700</v>
      </c>
      <c r="G1082" s="1">
        <v>45702</v>
      </c>
      <c r="H1082" t="s">
        <v>27</v>
      </c>
      <c r="I1082" t="s">
        <v>18</v>
      </c>
      <c r="J1082">
        <v>4</v>
      </c>
      <c r="K1082" t="s">
        <v>19</v>
      </c>
      <c r="L1082" t="s">
        <v>77</v>
      </c>
      <c r="M1082">
        <f>orders[[#This Row],[Ship Date]]-orders[[#This Row],[Order Date]]</f>
        <v>2</v>
      </c>
      <c r="N1082">
        <f>WEEKNUM(orders[[#This Row],[Order Date]])</f>
        <v>7</v>
      </c>
      <c r="O1082" t="str">
        <f>_xlfn.IFS(orders[[#This Row],[Customer Gender]]="M","Male", orders[[#This Row],[Customer Gender]]="F","Female", orders[[#This Row],[Customer Gender]]="O","Other", TRUE,"Unknown")</f>
        <v>Female</v>
      </c>
    </row>
    <row r="1083" spans="1:15">
      <c r="A1083" t="s">
        <v>1180</v>
      </c>
      <c r="B1083" t="s">
        <v>46</v>
      </c>
      <c r="C1083">
        <v>2</v>
      </c>
      <c r="D1083">
        <v>29.2</v>
      </c>
      <c r="E1083">
        <v>58.4</v>
      </c>
      <c r="F1083" s="1">
        <v>45700</v>
      </c>
      <c r="G1083" s="1">
        <v>45702</v>
      </c>
      <c r="H1083" t="s">
        <v>27</v>
      </c>
      <c r="I1083" t="s">
        <v>35</v>
      </c>
      <c r="J1083">
        <v>5</v>
      </c>
      <c r="K1083" t="s">
        <v>19</v>
      </c>
      <c r="L1083" t="s">
        <v>113</v>
      </c>
      <c r="M1083">
        <f>orders[[#This Row],[Ship Date]]-orders[[#This Row],[Order Date]]</f>
        <v>2</v>
      </c>
      <c r="N1083">
        <f>WEEKNUM(orders[[#This Row],[Order Date]])</f>
        <v>7</v>
      </c>
      <c r="O1083" t="str">
        <f>_xlfn.IFS(orders[[#This Row],[Customer Gender]]="M","Male", orders[[#This Row],[Customer Gender]]="F","Female", orders[[#This Row],[Customer Gender]]="O","Other", TRUE,"Unknown")</f>
        <v>Female</v>
      </c>
    </row>
    <row r="1084" spans="1:15">
      <c r="A1084" t="s">
        <v>1181</v>
      </c>
      <c r="B1084" t="s">
        <v>54</v>
      </c>
      <c r="C1084">
        <v>5</v>
      </c>
      <c r="D1084">
        <v>26.5</v>
      </c>
      <c r="E1084">
        <v>132.5</v>
      </c>
      <c r="F1084" s="1">
        <v>45700</v>
      </c>
      <c r="G1084" s="1">
        <v>45702</v>
      </c>
      <c r="H1084" t="s">
        <v>27</v>
      </c>
      <c r="I1084" t="s">
        <v>18</v>
      </c>
      <c r="J1084">
        <v>4</v>
      </c>
      <c r="K1084" t="s">
        <v>19</v>
      </c>
      <c r="L1084" t="s">
        <v>997</v>
      </c>
      <c r="M1084">
        <f>orders[[#This Row],[Ship Date]]-orders[[#This Row],[Order Date]]</f>
        <v>2</v>
      </c>
      <c r="N1084">
        <f>WEEKNUM(orders[[#This Row],[Order Date]])</f>
        <v>7</v>
      </c>
      <c r="O1084" t="str">
        <f>_xlfn.IFS(orders[[#This Row],[Customer Gender]]="M","Male", orders[[#This Row],[Customer Gender]]="F","Female", orders[[#This Row],[Customer Gender]]="O","Other", TRUE,"Unknown")</f>
        <v>Female</v>
      </c>
    </row>
    <row r="1085" spans="1:15">
      <c r="A1085" t="s">
        <v>1182</v>
      </c>
      <c r="B1085" t="s">
        <v>37</v>
      </c>
      <c r="C1085">
        <v>1</v>
      </c>
      <c r="D1085">
        <v>30.3</v>
      </c>
      <c r="E1085">
        <v>30.3</v>
      </c>
      <c r="F1085" s="1">
        <v>45700</v>
      </c>
      <c r="G1085" s="1">
        <v>45701</v>
      </c>
      <c r="H1085" t="s">
        <v>27</v>
      </c>
      <c r="I1085" t="s">
        <v>70</v>
      </c>
      <c r="J1085">
        <v>3</v>
      </c>
      <c r="K1085" t="s">
        <v>19</v>
      </c>
      <c r="L1085" t="s">
        <v>82</v>
      </c>
      <c r="M1085">
        <f>orders[[#This Row],[Ship Date]]-orders[[#This Row],[Order Date]]</f>
        <v>1</v>
      </c>
      <c r="N1085">
        <f>WEEKNUM(orders[[#This Row],[Order Date]])</f>
        <v>7</v>
      </c>
      <c r="O1085" t="str">
        <f>_xlfn.IFS(orders[[#This Row],[Customer Gender]]="M","Male", orders[[#This Row],[Customer Gender]]="F","Female", orders[[#This Row],[Customer Gender]]="O","Other", TRUE,"Unknown")</f>
        <v>Female</v>
      </c>
    </row>
    <row r="1086" spans="1:15">
      <c r="A1086" t="s">
        <v>1183</v>
      </c>
      <c r="B1086" t="s">
        <v>128</v>
      </c>
      <c r="C1086">
        <v>12</v>
      </c>
      <c r="D1086">
        <v>39.700000000000003</v>
      </c>
      <c r="E1086">
        <v>476.40000000000003</v>
      </c>
      <c r="F1086" s="1">
        <v>45700</v>
      </c>
      <c r="G1086" s="1">
        <v>45701</v>
      </c>
      <c r="H1086" t="s">
        <v>27</v>
      </c>
      <c r="I1086" t="s">
        <v>18</v>
      </c>
      <c r="J1086">
        <v>4</v>
      </c>
      <c r="K1086" t="s">
        <v>19</v>
      </c>
      <c r="L1086" t="s">
        <v>115</v>
      </c>
      <c r="M1086">
        <f>orders[[#This Row],[Ship Date]]-orders[[#This Row],[Order Date]]</f>
        <v>1</v>
      </c>
      <c r="N1086">
        <f>WEEKNUM(orders[[#This Row],[Order Date]])</f>
        <v>7</v>
      </c>
      <c r="O1086" t="str">
        <f>_xlfn.IFS(orders[[#This Row],[Customer Gender]]="M","Male", orders[[#This Row],[Customer Gender]]="F","Female", orders[[#This Row],[Customer Gender]]="O","Other", TRUE,"Unknown")</f>
        <v>Female</v>
      </c>
    </row>
    <row r="1087" spans="1:15">
      <c r="A1087" t="s">
        <v>1184</v>
      </c>
      <c r="B1087" t="s">
        <v>42</v>
      </c>
      <c r="C1087">
        <v>10</v>
      </c>
      <c r="D1087">
        <v>58.9</v>
      </c>
      <c r="E1087">
        <v>589</v>
      </c>
      <c r="F1087" s="1">
        <v>45700</v>
      </c>
      <c r="G1087" s="1">
        <v>45702</v>
      </c>
      <c r="H1087" t="s">
        <v>27</v>
      </c>
      <c r="I1087" t="s">
        <v>35</v>
      </c>
      <c r="J1087">
        <v>2</v>
      </c>
      <c r="K1087" t="s">
        <v>19</v>
      </c>
      <c r="L1087" t="s">
        <v>115</v>
      </c>
      <c r="M1087">
        <f>orders[[#This Row],[Ship Date]]-orders[[#This Row],[Order Date]]</f>
        <v>2</v>
      </c>
      <c r="N1087">
        <f>WEEKNUM(orders[[#This Row],[Order Date]])</f>
        <v>7</v>
      </c>
      <c r="O1087" t="str">
        <f>_xlfn.IFS(orders[[#This Row],[Customer Gender]]="M","Male", orders[[#This Row],[Customer Gender]]="F","Female", orders[[#This Row],[Customer Gender]]="O","Other", TRUE,"Unknown")</f>
        <v>Female</v>
      </c>
    </row>
    <row r="1088" spans="1:15">
      <c r="A1088" t="s">
        <v>1185</v>
      </c>
      <c r="B1088" t="s">
        <v>26</v>
      </c>
      <c r="C1088">
        <v>2</v>
      </c>
      <c r="D1088">
        <v>174.1</v>
      </c>
      <c r="E1088">
        <v>348.2</v>
      </c>
      <c r="F1088" s="1">
        <v>45700</v>
      </c>
      <c r="G1088" s="1">
        <v>45702</v>
      </c>
      <c r="H1088" t="s">
        <v>27</v>
      </c>
      <c r="I1088" t="s">
        <v>18</v>
      </c>
      <c r="J1088">
        <v>3</v>
      </c>
      <c r="K1088" t="s">
        <v>19</v>
      </c>
      <c r="L1088" t="s">
        <v>641</v>
      </c>
      <c r="M1088">
        <f>orders[[#This Row],[Ship Date]]-orders[[#This Row],[Order Date]]</f>
        <v>2</v>
      </c>
      <c r="N1088">
        <f>WEEKNUM(orders[[#This Row],[Order Date]])</f>
        <v>7</v>
      </c>
      <c r="O1088" t="str">
        <f>_xlfn.IFS(orders[[#This Row],[Customer Gender]]="M","Male", orders[[#This Row],[Customer Gender]]="F","Female", orders[[#This Row],[Customer Gender]]="O","Other", TRUE,"Unknown")</f>
        <v>Female</v>
      </c>
    </row>
    <row r="1089" spans="1:15">
      <c r="A1089" t="s">
        <v>1186</v>
      </c>
      <c r="B1089" t="s">
        <v>39</v>
      </c>
      <c r="C1089">
        <v>2</v>
      </c>
      <c r="D1089">
        <v>70.8</v>
      </c>
      <c r="E1089">
        <v>141.6</v>
      </c>
      <c r="F1089" s="1">
        <v>45700</v>
      </c>
      <c r="G1089" s="1">
        <v>45703</v>
      </c>
      <c r="H1089" t="s">
        <v>23</v>
      </c>
      <c r="I1089" t="s">
        <v>40</v>
      </c>
      <c r="J1089">
        <v>4</v>
      </c>
      <c r="K1089" t="s">
        <v>19</v>
      </c>
      <c r="L1089" t="s">
        <v>147</v>
      </c>
      <c r="M1089">
        <f>orders[[#This Row],[Ship Date]]-orders[[#This Row],[Order Date]]</f>
        <v>3</v>
      </c>
      <c r="N1089">
        <f>WEEKNUM(orders[[#This Row],[Order Date]])</f>
        <v>7</v>
      </c>
      <c r="O1089" t="str">
        <f>_xlfn.IFS(orders[[#This Row],[Customer Gender]]="M","Male", orders[[#This Row],[Customer Gender]]="F","Female", orders[[#This Row],[Customer Gender]]="O","Other", TRUE,"Unknown")</f>
        <v>Male</v>
      </c>
    </row>
    <row r="1090" spans="1:15">
      <c r="A1090" t="s">
        <v>1187</v>
      </c>
      <c r="B1090" t="s">
        <v>42</v>
      </c>
      <c r="C1090">
        <v>2</v>
      </c>
      <c r="D1090">
        <v>57.4</v>
      </c>
      <c r="E1090">
        <v>114.8</v>
      </c>
      <c r="F1090" s="1">
        <v>45700</v>
      </c>
      <c r="G1090" s="1">
        <v>45702</v>
      </c>
      <c r="H1090" t="s">
        <v>27</v>
      </c>
      <c r="I1090" t="s">
        <v>35</v>
      </c>
      <c r="J1090">
        <v>3</v>
      </c>
      <c r="K1090" t="s">
        <v>19</v>
      </c>
      <c r="L1090" t="s">
        <v>334</v>
      </c>
      <c r="M1090">
        <f>orders[[#This Row],[Ship Date]]-orders[[#This Row],[Order Date]]</f>
        <v>2</v>
      </c>
      <c r="N1090">
        <f>WEEKNUM(orders[[#This Row],[Order Date]])</f>
        <v>7</v>
      </c>
      <c r="O1090" t="str">
        <f>_xlfn.IFS(orders[[#This Row],[Customer Gender]]="M","Male", orders[[#This Row],[Customer Gender]]="F","Female", orders[[#This Row],[Customer Gender]]="O","Other", TRUE,"Unknown")</f>
        <v>Female</v>
      </c>
    </row>
    <row r="1091" spans="1:15">
      <c r="A1091" t="s">
        <v>1188</v>
      </c>
      <c r="B1091" t="s">
        <v>16</v>
      </c>
      <c r="C1091">
        <v>2</v>
      </c>
      <c r="D1091">
        <v>28.5</v>
      </c>
      <c r="E1091">
        <v>57</v>
      </c>
      <c r="F1091" s="1">
        <v>45700</v>
      </c>
      <c r="G1091" s="1">
        <v>45702</v>
      </c>
      <c r="H1091" t="s">
        <v>23</v>
      </c>
      <c r="I1091" t="s">
        <v>51</v>
      </c>
      <c r="J1091">
        <v>3</v>
      </c>
      <c r="K1091" t="s">
        <v>19</v>
      </c>
      <c r="L1091" t="s">
        <v>33</v>
      </c>
      <c r="M1091">
        <f>orders[[#This Row],[Ship Date]]-orders[[#This Row],[Order Date]]</f>
        <v>2</v>
      </c>
      <c r="N1091">
        <f>WEEKNUM(orders[[#This Row],[Order Date]])</f>
        <v>7</v>
      </c>
      <c r="O1091" t="str">
        <f>_xlfn.IFS(orders[[#This Row],[Customer Gender]]="M","Male", orders[[#This Row],[Customer Gender]]="F","Female", orders[[#This Row],[Customer Gender]]="O","Other", TRUE,"Unknown")</f>
        <v>Male</v>
      </c>
    </row>
    <row r="1092" spans="1:15">
      <c r="A1092" t="s">
        <v>1189</v>
      </c>
      <c r="B1092" t="s">
        <v>26</v>
      </c>
      <c r="C1092">
        <v>20</v>
      </c>
      <c r="D1092">
        <v>106.6</v>
      </c>
      <c r="E1092">
        <v>2132</v>
      </c>
      <c r="F1092" s="1">
        <v>45700</v>
      </c>
      <c r="G1092" s="1">
        <v>45701</v>
      </c>
      <c r="H1092" t="s">
        <v>17</v>
      </c>
      <c r="I1092" t="s">
        <v>35</v>
      </c>
      <c r="J1092">
        <v>2</v>
      </c>
      <c r="K1092" t="s">
        <v>19</v>
      </c>
      <c r="L1092" t="s">
        <v>33</v>
      </c>
      <c r="M1092">
        <f>orders[[#This Row],[Ship Date]]-orders[[#This Row],[Order Date]]</f>
        <v>1</v>
      </c>
      <c r="N1092">
        <f>WEEKNUM(orders[[#This Row],[Order Date]])</f>
        <v>7</v>
      </c>
      <c r="O1092" t="str">
        <f>_xlfn.IFS(orders[[#This Row],[Customer Gender]]="M","Male", orders[[#This Row],[Customer Gender]]="F","Female", orders[[#This Row],[Customer Gender]]="O","Other", TRUE,"Unknown")</f>
        <v>Unknown</v>
      </c>
    </row>
    <row r="1093" spans="1:15">
      <c r="A1093" t="s">
        <v>1190</v>
      </c>
      <c r="B1093" t="s">
        <v>26</v>
      </c>
      <c r="C1093">
        <v>3</v>
      </c>
      <c r="D1093">
        <v>119.7</v>
      </c>
      <c r="E1093">
        <v>359.1</v>
      </c>
      <c r="F1093" s="1">
        <v>45700</v>
      </c>
      <c r="G1093" s="1">
        <v>45701</v>
      </c>
      <c r="H1093" t="s">
        <v>27</v>
      </c>
      <c r="I1093" t="s">
        <v>35</v>
      </c>
      <c r="J1093">
        <v>2</v>
      </c>
      <c r="K1093" t="s">
        <v>19</v>
      </c>
      <c r="L1093" t="s">
        <v>33</v>
      </c>
      <c r="M1093">
        <f>orders[[#This Row],[Ship Date]]-orders[[#This Row],[Order Date]]</f>
        <v>1</v>
      </c>
      <c r="N1093">
        <f>WEEKNUM(orders[[#This Row],[Order Date]])</f>
        <v>7</v>
      </c>
      <c r="O1093" t="str">
        <f>_xlfn.IFS(orders[[#This Row],[Customer Gender]]="M","Male", orders[[#This Row],[Customer Gender]]="F","Female", orders[[#This Row],[Customer Gender]]="O","Other", TRUE,"Unknown")</f>
        <v>Female</v>
      </c>
    </row>
    <row r="1094" spans="1:15">
      <c r="A1094" t="s">
        <v>1191</v>
      </c>
      <c r="B1094" t="s">
        <v>146</v>
      </c>
      <c r="C1094">
        <v>1</v>
      </c>
      <c r="D1094">
        <v>73.3</v>
      </c>
      <c r="E1094">
        <v>73.3</v>
      </c>
      <c r="F1094" s="1">
        <v>45700</v>
      </c>
      <c r="G1094" s="1">
        <v>45705</v>
      </c>
      <c r="H1094" t="s">
        <v>27</v>
      </c>
      <c r="I1094" t="s">
        <v>18</v>
      </c>
      <c r="J1094">
        <v>5</v>
      </c>
      <c r="K1094" t="s">
        <v>19</v>
      </c>
      <c r="L1094" t="s">
        <v>33</v>
      </c>
      <c r="M1094">
        <f>orders[[#This Row],[Ship Date]]-orders[[#This Row],[Order Date]]</f>
        <v>5</v>
      </c>
      <c r="N1094">
        <f>WEEKNUM(orders[[#This Row],[Order Date]])</f>
        <v>7</v>
      </c>
      <c r="O1094" t="str">
        <f>_xlfn.IFS(orders[[#This Row],[Customer Gender]]="M","Male", orders[[#This Row],[Customer Gender]]="F","Female", orders[[#This Row],[Customer Gender]]="O","Other", TRUE,"Unknown")</f>
        <v>Female</v>
      </c>
    </row>
    <row r="1095" spans="1:15">
      <c r="A1095" t="s">
        <v>1192</v>
      </c>
      <c r="B1095" t="s">
        <v>16</v>
      </c>
      <c r="C1095">
        <v>2</v>
      </c>
      <c r="D1095">
        <v>25.8</v>
      </c>
      <c r="E1095">
        <v>51.6</v>
      </c>
      <c r="F1095" s="1">
        <v>45700</v>
      </c>
      <c r="G1095" s="1">
        <v>45714</v>
      </c>
      <c r="H1095" t="s">
        <v>23</v>
      </c>
      <c r="I1095" t="s">
        <v>40</v>
      </c>
      <c r="J1095">
        <v>4</v>
      </c>
      <c r="K1095" t="s">
        <v>19</v>
      </c>
      <c r="L1095" t="s">
        <v>33</v>
      </c>
      <c r="M1095">
        <f>orders[[#This Row],[Ship Date]]-orders[[#This Row],[Order Date]]</f>
        <v>14</v>
      </c>
      <c r="N1095">
        <f>WEEKNUM(orders[[#This Row],[Order Date]])</f>
        <v>7</v>
      </c>
      <c r="O1095" t="str">
        <f>_xlfn.IFS(orders[[#This Row],[Customer Gender]]="M","Male", orders[[#This Row],[Customer Gender]]="F","Female", orders[[#This Row],[Customer Gender]]="O","Other", TRUE,"Unknown")</f>
        <v>Male</v>
      </c>
    </row>
    <row r="1096" spans="1:15">
      <c r="A1096" t="s">
        <v>1193</v>
      </c>
      <c r="B1096" t="s">
        <v>135</v>
      </c>
      <c r="C1096">
        <v>3</v>
      </c>
      <c r="D1096">
        <v>49.1</v>
      </c>
      <c r="E1096">
        <v>147.30000000000001</v>
      </c>
      <c r="F1096" s="1">
        <v>45700</v>
      </c>
      <c r="G1096" s="1">
        <v>45702</v>
      </c>
      <c r="H1096" t="s">
        <v>27</v>
      </c>
      <c r="I1096" t="s">
        <v>18</v>
      </c>
      <c r="J1096">
        <v>4</v>
      </c>
      <c r="K1096" t="s">
        <v>19</v>
      </c>
      <c r="L1096" t="s">
        <v>186</v>
      </c>
      <c r="M1096">
        <f>orders[[#This Row],[Ship Date]]-orders[[#This Row],[Order Date]]</f>
        <v>2</v>
      </c>
      <c r="N1096">
        <f>WEEKNUM(orders[[#This Row],[Order Date]])</f>
        <v>7</v>
      </c>
      <c r="O1096" t="str">
        <f>_xlfn.IFS(orders[[#This Row],[Customer Gender]]="M","Male", orders[[#This Row],[Customer Gender]]="F","Female", orders[[#This Row],[Customer Gender]]="O","Other", TRUE,"Unknown")</f>
        <v>Female</v>
      </c>
    </row>
    <row r="1097" spans="1:15">
      <c r="A1097" t="s">
        <v>1194</v>
      </c>
      <c r="B1097" t="s">
        <v>22</v>
      </c>
      <c r="C1097">
        <v>1</v>
      </c>
      <c r="D1097">
        <v>44.9</v>
      </c>
      <c r="E1097">
        <v>44.9</v>
      </c>
      <c r="F1097" s="1">
        <v>45700</v>
      </c>
      <c r="G1097" s="1">
        <v>45703</v>
      </c>
      <c r="H1097" t="s">
        <v>27</v>
      </c>
      <c r="I1097" t="s">
        <v>51</v>
      </c>
      <c r="J1097">
        <v>5</v>
      </c>
      <c r="K1097" t="s">
        <v>19</v>
      </c>
      <c r="L1097" t="s">
        <v>55</v>
      </c>
      <c r="M1097">
        <f>orders[[#This Row],[Ship Date]]-orders[[#This Row],[Order Date]]</f>
        <v>3</v>
      </c>
      <c r="N1097">
        <f>WEEKNUM(orders[[#This Row],[Order Date]])</f>
        <v>7</v>
      </c>
      <c r="O1097" t="str">
        <f>_xlfn.IFS(orders[[#This Row],[Customer Gender]]="M","Male", orders[[#This Row],[Customer Gender]]="F","Female", orders[[#This Row],[Customer Gender]]="O","Other", TRUE,"Unknown")</f>
        <v>Female</v>
      </c>
    </row>
    <row r="1098" spans="1:15">
      <c r="A1098" t="s">
        <v>1195</v>
      </c>
      <c r="B1098" t="s">
        <v>123</v>
      </c>
      <c r="C1098">
        <v>7</v>
      </c>
      <c r="D1098">
        <v>29.9</v>
      </c>
      <c r="E1098">
        <v>209.29999999999998</v>
      </c>
      <c r="F1098" s="1">
        <v>45700</v>
      </c>
      <c r="G1098" s="1">
        <v>45701</v>
      </c>
      <c r="H1098" t="s">
        <v>27</v>
      </c>
      <c r="I1098" t="s">
        <v>18</v>
      </c>
      <c r="J1098">
        <v>4</v>
      </c>
      <c r="K1098" t="s">
        <v>19</v>
      </c>
      <c r="L1098" t="s">
        <v>55</v>
      </c>
      <c r="M1098">
        <f>orders[[#This Row],[Ship Date]]-orders[[#This Row],[Order Date]]</f>
        <v>1</v>
      </c>
      <c r="N1098">
        <f>WEEKNUM(orders[[#This Row],[Order Date]])</f>
        <v>7</v>
      </c>
      <c r="O1098" t="str">
        <f>_xlfn.IFS(orders[[#This Row],[Customer Gender]]="M","Male", orders[[#This Row],[Customer Gender]]="F","Female", orders[[#This Row],[Customer Gender]]="O","Other", TRUE,"Unknown")</f>
        <v>Female</v>
      </c>
    </row>
    <row r="1099" spans="1:15">
      <c r="A1099" t="s">
        <v>1196</v>
      </c>
      <c r="B1099" t="s">
        <v>42</v>
      </c>
      <c r="C1099">
        <v>2</v>
      </c>
      <c r="D1099">
        <v>54.3</v>
      </c>
      <c r="E1099">
        <v>108.6</v>
      </c>
      <c r="F1099" s="1">
        <v>45701</v>
      </c>
      <c r="G1099" s="1">
        <v>45702</v>
      </c>
      <c r="H1099" t="s">
        <v>23</v>
      </c>
      <c r="I1099" t="s">
        <v>51</v>
      </c>
      <c r="J1099">
        <v>4</v>
      </c>
      <c r="K1099" t="s">
        <v>19</v>
      </c>
      <c r="L1099" t="s">
        <v>342</v>
      </c>
      <c r="M1099">
        <f>orders[[#This Row],[Ship Date]]-orders[[#This Row],[Order Date]]</f>
        <v>1</v>
      </c>
      <c r="N1099">
        <f>WEEKNUM(orders[[#This Row],[Order Date]])</f>
        <v>7</v>
      </c>
      <c r="O1099" t="str">
        <f>_xlfn.IFS(orders[[#This Row],[Customer Gender]]="M","Male", orders[[#This Row],[Customer Gender]]="F","Female", orders[[#This Row],[Customer Gender]]="O","Other", TRUE,"Unknown")</f>
        <v>Male</v>
      </c>
    </row>
    <row r="1100" spans="1:15">
      <c r="A1100" t="s">
        <v>1197</v>
      </c>
      <c r="B1100" t="s">
        <v>46</v>
      </c>
      <c r="C1100">
        <v>4</v>
      </c>
      <c r="D1100">
        <v>57</v>
      </c>
      <c r="E1100">
        <v>228</v>
      </c>
      <c r="F1100" s="1">
        <v>45701</v>
      </c>
      <c r="G1100" s="1">
        <v>45703</v>
      </c>
      <c r="H1100" t="s">
        <v>27</v>
      </c>
      <c r="I1100" t="s">
        <v>18</v>
      </c>
      <c r="J1100">
        <v>4</v>
      </c>
      <c r="K1100" t="s">
        <v>19</v>
      </c>
      <c r="L1100" t="s">
        <v>62</v>
      </c>
      <c r="M1100">
        <f>orders[[#This Row],[Ship Date]]-orders[[#This Row],[Order Date]]</f>
        <v>2</v>
      </c>
      <c r="N1100">
        <f>WEEKNUM(orders[[#This Row],[Order Date]])</f>
        <v>7</v>
      </c>
      <c r="O1100" t="str">
        <f>_xlfn.IFS(orders[[#This Row],[Customer Gender]]="M","Male", orders[[#This Row],[Customer Gender]]="F","Female", orders[[#This Row],[Customer Gender]]="O","Other", TRUE,"Unknown")</f>
        <v>Female</v>
      </c>
    </row>
    <row r="1101" spans="1:15">
      <c r="A1101" t="s">
        <v>1198</v>
      </c>
      <c r="B1101" t="s">
        <v>26</v>
      </c>
      <c r="C1101">
        <v>1</v>
      </c>
      <c r="D1101">
        <v>139.19999999999999</v>
      </c>
      <c r="E1101">
        <v>139.19999999999999</v>
      </c>
      <c r="F1101" s="1">
        <v>45701</v>
      </c>
      <c r="G1101" s="1">
        <v>45702</v>
      </c>
      <c r="H1101" t="s">
        <v>27</v>
      </c>
      <c r="I1101" t="s">
        <v>51</v>
      </c>
      <c r="J1101">
        <v>5</v>
      </c>
      <c r="K1101" t="s">
        <v>19</v>
      </c>
      <c r="L1101" t="s">
        <v>62</v>
      </c>
      <c r="M1101">
        <f>orders[[#This Row],[Ship Date]]-orders[[#This Row],[Order Date]]</f>
        <v>1</v>
      </c>
      <c r="N1101">
        <f>WEEKNUM(orders[[#This Row],[Order Date]])</f>
        <v>7</v>
      </c>
      <c r="O1101" t="str">
        <f>_xlfn.IFS(orders[[#This Row],[Customer Gender]]="M","Male", orders[[#This Row],[Customer Gender]]="F","Female", orders[[#This Row],[Customer Gender]]="O","Other", TRUE,"Unknown")</f>
        <v>Female</v>
      </c>
    </row>
    <row r="1102" spans="1:15">
      <c r="A1102" t="s">
        <v>1199</v>
      </c>
      <c r="B1102" t="s">
        <v>54</v>
      </c>
      <c r="C1102">
        <v>1</v>
      </c>
      <c r="D1102">
        <v>33</v>
      </c>
      <c r="E1102">
        <v>33</v>
      </c>
      <c r="F1102" s="1">
        <v>45701</v>
      </c>
      <c r="G1102" s="1">
        <v>45704</v>
      </c>
      <c r="H1102" t="s">
        <v>27</v>
      </c>
      <c r="I1102" t="s">
        <v>18</v>
      </c>
      <c r="J1102">
        <v>5</v>
      </c>
      <c r="K1102" t="s">
        <v>19</v>
      </c>
      <c r="L1102" t="s">
        <v>62</v>
      </c>
      <c r="M1102">
        <f>orders[[#This Row],[Ship Date]]-orders[[#This Row],[Order Date]]</f>
        <v>3</v>
      </c>
      <c r="N1102">
        <f>WEEKNUM(orders[[#This Row],[Order Date]])</f>
        <v>7</v>
      </c>
      <c r="O1102" t="str">
        <f>_xlfn.IFS(orders[[#This Row],[Customer Gender]]="M","Male", orders[[#This Row],[Customer Gender]]="F","Female", orders[[#This Row],[Customer Gender]]="O","Other", TRUE,"Unknown")</f>
        <v>Female</v>
      </c>
    </row>
    <row r="1103" spans="1:15">
      <c r="A1103" t="s">
        <v>1200</v>
      </c>
      <c r="B1103" t="s">
        <v>67</v>
      </c>
      <c r="C1103">
        <v>6</v>
      </c>
      <c r="D1103">
        <v>80.2</v>
      </c>
      <c r="E1103">
        <v>481.20000000000005</v>
      </c>
      <c r="F1103" s="1">
        <v>45701</v>
      </c>
      <c r="G1103" s="1">
        <v>45703</v>
      </c>
      <c r="H1103" t="s">
        <v>23</v>
      </c>
      <c r="I1103" t="s">
        <v>35</v>
      </c>
      <c r="J1103">
        <v>2</v>
      </c>
      <c r="K1103" t="s">
        <v>19</v>
      </c>
      <c r="L1103" t="s">
        <v>62</v>
      </c>
      <c r="M1103">
        <f>orders[[#This Row],[Ship Date]]-orders[[#This Row],[Order Date]]</f>
        <v>2</v>
      </c>
      <c r="N1103">
        <f>WEEKNUM(orders[[#This Row],[Order Date]])</f>
        <v>7</v>
      </c>
      <c r="O1103" t="str">
        <f>_xlfn.IFS(orders[[#This Row],[Customer Gender]]="M","Male", orders[[#This Row],[Customer Gender]]="F","Female", orders[[#This Row],[Customer Gender]]="O","Other", TRUE,"Unknown")</f>
        <v>Male</v>
      </c>
    </row>
    <row r="1104" spans="1:15">
      <c r="A1104" t="s">
        <v>1201</v>
      </c>
      <c r="B1104" t="s">
        <v>146</v>
      </c>
      <c r="C1104">
        <v>8</v>
      </c>
      <c r="D1104">
        <v>49</v>
      </c>
      <c r="E1104">
        <v>392</v>
      </c>
      <c r="F1104" s="1">
        <v>45701</v>
      </c>
      <c r="G1104" s="1">
        <v>45702</v>
      </c>
      <c r="H1104" t="s">
        <v>17</v>
      </c>
      <c r="I1104" t="s">
        <v>40</v>
      </c>
      <c r="J1104">
        <v>3</v>
      </c>
      <c r="K1104" t="s">
        <v>19</v>
      </c>
      <c r="L1104" t="s">
        <v>72</v>
      </c>
      <c r="M1104">
        <f>orders[[#This Row],[Ship Date]]-orders[[#This Row],[Order Date]]</f>
        <v>1</v>
      </c>
      <c r="N1104">
        <f>WEEKNUM(orders[[#This Row],[Order Date]])</f>
        <v>7</v>
      </c>
      <c r="O1104" t="str">
        <f>_xlfn.IFS(orders[[#This Row],[Customer Gender]]="M","Male", orders[[#This Row],[Customer Gender]]="F","Female", orders[[#This Row],[Customer Gender]]="O","Other", TRUE,"Unknown")</f>
        <v>Unknown</v>
      </c>
    </row>
    <row r="1105" spans="1:15">
      <c r="A1105" t="s">
        <v>1202</v>
      </c>
      <c r="B1105" t="s">
        <v>22</v>
      </c>
      <c r="C1105">
        <v>4</v>
      </c>
      <c r="D1105">
        <v>104.4</v>
      </c>
      <c r="E1105">
        <v>417.6</v>
      </c>
      <c r="F1105" s="1">
        <v>45701</v>
      </c>
      <c r="G1105" s="1">
        <v>45701</v>
      </c>
      <c r="H1105" t="s">
        <v>27</v>
      </c>
      <c r="I1105" t="s">
        <v>18</v>
      </c>
      <c r="J1105">
        <v>4</v>
      </c>
      <c r="K1105" t="s">
        <v>19</v>
      </c>
      <c r="L1105" t="s">
        <v>72</v>
      </c>
      <c r="M1105">
        <f>orders[[#This Row],[Ship Date]]-orders[[#This Row],[Order Date]]</f>
        <v>0</v>
      </c>
      <c r="N1105">
        <f>WEEKNUM(orders[[#This Row],[Order Date]])</f>
        <v>7</v>
      </c>
      <c r="O1105" t="str">
        <f>_xlfn.IFS(orders[[#This Row],[Customer Gender]]="M","Male", orders[[#This Row],[Customer Gender]]="F","Female", orders[[#This Row],[Customer Gender]]="O","Other", TRUE,"Unknown")</f>
        <v>Female</v>
      </c>
    </row>
    <row r="1106" spans="1:15">
      <c r="A1106" t="s">
        <v>1203</v>
      </c>
      <c r="B1106" t="s">
        <v>30</v>
      </c>
      <c r="C1106">
        <v>1</v>
      </c>
      <c r="D1106">
        <v>41.6</v>
      </c>
      <c r="E1106">
        <v>41.6</v>
      </c>
      <c r="F1106" s="1">
        <v>45701</v>
      </c>
      <c r="G1106" s="1">
        <v>45704</v>
      </c>
      <c r="H1106" t="s">
        <v>23</v>
      </c>
      <c r="I1106" t="s">
        <v>51</v>
      </c>
      <c r="J1106">
        <v>4</v>
      </c>
      <c r="K1106" t="s">
        <v>19</v>
      </c>
      <c r="L1106" t="s">
        <v>77</v>
      </c>
      <c r="M1106">
        <f>orders[[#This Row],[Ship Date]]-orders[[#This Row],[Order Date]]</f>
        <v>3</v>
      </c>
      <c r="N1106">
        <f>WEEKNUM(orders[[#This Row],[Order Date]])</f>
        <v>7</v>
      </c>
      <c r="O1106" t="str">
        <f>_xlfn.IFS(orders[[#This Row],[Customer Gender]]="M","Male", orders[[#This Row],[Customer Gender]]="F","Female", orders[[#This Row],[Customer Gender]]="O","Other", TRUE,"Unknown")</f>
        <v>Male</v>
      </c>
    </row>
    <row r="1107" spans="1:15">
      <c r="A1107" t="s">
        <v>1204</v>
      </c>
      <c r="B1107" t="s">
        <v>171</v>
      </c>
      <c r="C1107">
        <v>2</v>
      </c>
      <c r="D1107">
        <v>16.399999999999999</v>
      </c>
      <c r="E1107">
        <v>32.799999999999997</v>
      </c>
      <c r="F1107" s="1">
        <v>45701</v>
      </c>
      <c r="G1107" s="1">
        <v>45702</v>
      </c>
      <c r="H1107" t="s">
        <v>89</v>
      </c>
      <c r="I1107" t="s">
        <v>18</v>
      </c>
      <c r="J1107">
        <v>5</v>
      </c>
      <c r="K1107" t="s">
        <v>19</v>
      </c>
      <c r="L1107" t="s">
        <v>77</v>
      </c>
      <c r="M1107">
        <f>orders[[#This Row],[Ship Date]]-orders[[#This Row],[Order Date]]</f>
        <v>1</v>
      </c>
      <c r="N1107">
        <f>WEEKNUM(orders[[#This Row],[Order Date]])</f>
        <v>7</v>
      </c>
      <c r="O1107" t="str">
        <f>_xlfn.IFS(orders[[#This Row],[Customer Gender]]="M","Male", orders[[#This Row],[Customer Gender]]="F","Female", orders[[#This Row],[Customer Gender]]="O","Other", TRUE,"Unknown")</f>
        <v>Other</v>
      </c>
    </row>
    <row r="1108" spans="1:15">
      <c r="A1108" t="s">
        <v>1205</v>
      </c>
      <c r="B1108" t="s">
        <v>44</v>
      </c>
      <c r="C1108">
        <v>2</v>
      </c>
      <c r="D1108">
        <v>22</v>
      </c>
      <c r="E1108">
        <v>44</v>
      </c>
      <c r="F1108" s="1">
        <v>45701</v>
      </c>
      <c r="G1108" s="1">
        <v>45702</v>
      </c>
      <c r="H1108" t="s">
        <v>23</v>
      </c>
      <c r="I1108" t="s">
        <v>40</v>
      </c>
      <c r="J1108">
        <v>5</v>
      </c>
      <c r="K1108" t="s">
        <v>19</v>
      </c>
      <c r="L1108" t="s">
        <v>1116</v>
      </c>
      <c r="M1108">
        <f>orders[[#This Row],[Ship Date]]-orders[[#This Row],[Order Date]]</f>
        <v>1</v>
      </c>
      <c r="N1108">
        <f>WEEKNUM(orders[[#This Row],[Order Date]])</f>
        <v>7</v>
      </c>
      <c r="O1108" t="str">
        <f>_xlfn.IFS(orders[[#This Row],[Customer Gender]]="M","Male", orders[[#This Row],[Customer Gender]]="F","Female", orders[[#This Row],[Customer Gender]]="O","Other", TRUE,"Unknown")</f>
        <v>Male</v>
      </c>
    </row>
    <row r="1109" spans="1:15">
      <c r="A1109" t="s">
        <v>1206</v>
      </c>
      <c r="B1109" t="s">
        <v>123</v>
      </c>
      <c r="C1109">
        <v>2</v>
      </c>
      <c r="D1109">
        <v>33.6</v>
      </c>
      <c r="E1109">
        <v>67.2</v>
      </c>
      <c r="F1109" s="1">
        <v>45701</v>
      </c>
      <c r="G1109" s="1">
        <v>45706</v>
      </c>
      <c r="H1109" t="s">
        <v>27</v>
      </c>
      <c r="I1109" t="s">
        <v>18</v>
      </c>
      <c r="J1109">
        <v>4</v>
      </c>
      <c r="K1109" t="s">
        <v>19</v>
      </c>
      <c r="L1109" t="s">
        <v>115</v>
      </c>
      <c r="M1109">
        <f>orders[[#This Row],[Ship Date]]-orders[[#This Row],[Order Date]]</f>
        <v>5</v>
      </c>
      <c r="N1109">
        <f>WEEKNUM(orders[[#This Row],[Order Date]])</f>
        <v>7</v>
      </c>
      <c r="O1109" t="str">
        <f>_xlfn.IFS(orders[[#This Row],[Customer Gender]]="M","Male", orders[[#This Row],[Customer Gender]]="F","Female", orders[[#This Row],[Customer Gender]]="O","Other", TRUE,"Unknown")</f>
        <v>Female</v>
      </c>
    </row>
    <row r="1110" spans="1:15">
      <c r="A1110" t="s">
        <v>1207</v>
      </c>
      <c r="B1110" t="s">
        <v>67</v>
      </c>
      <c r="C1110">
        <v>6</v>
      </c>
      <c r="D1110">
        <v>43</v>
      </c>
      <c r="E1110">
        <v>258</v>
      </c>
      <c r="F1110" s="1">
        <v>45701</v>
      </c>
      <c r="G1110" s="1">
        <v>45702</v>
      </c>
      <c r="H1110" t="s">
        <v>27</v>
      </c>
      <c r="I1110" t="s">
        <v>40</v>
      </c>
      <c r="J1110">
        <v>4</v>
      </c>
      <c r="K1110" t="s">
        <v>19</v>
      </c>
      <c r="L1110" t="s">
        <v>115</v>
      </c>
      <c r="M1110">
        <f>orders[[#This Row],[Ship Date]]-orders[[#This Row],[Order Date]]</f>
        <v>1</v>
      </c>
      <c r="N1110">
        <f>WEEKNUM(orders[[#This Row],[Order Date]])</f>
        <v>7</v>
      </c>
      <c r="O1110" t="str">
        <f>_xlfn.IFS(orders[[#This Row],[Customer Gender]]="M","Male", orders[[#This Row],[Customer Gender]]="F","Female", orders[[#This Row],[Customer Gender]]="O","Other", TRUE,"Unknown")</f>
        <v>Female</v>
      </c>
    </row>
    <row r="1111" spans="1:15">
      <c r="A1111" t="s">
        <v>1208</v>
      </c>
      <c r="B1111" t="s">
        <v>39</v>
      </c>
      <c r="C1111">
        <v>5</v>
      </c>
      <c r="D1111">
        <v>108.8</v>
      </c>
      <c r="E1111">
        <v>544</v>
      </c>
      <c r="F1111" s="1">
        <v>45701</v>
      </c>
      <c r="G1111" s="1">
        <v>45704</v>
      </c>
      <c r="H1111" t="s">
        <v>27</v>
      </c>
      <c r="I1111" t="s">
        <v>70</v>
      </c>
      <c r="J1111">
        <v>5</v>
      </c>
      <c r="K1111" t="s">
        <v>19</v>
      </c>
      <c r="L1111" t="s">
        <v>115</v>
      </c>
      <c r="M1111">
        <f>orders[[#This Row],[Ship Date]]-orders[[#This Row],[Order Date]]</f>
        <v>3</v>
      </c>
      <c r="N1111">
        <f>WEEKNUM(orders[[#This Row],[Order Date]])</f>
        <v>7</v>
      </c>
      <c r="O1111" t="str">
        <f>_xlfn.IFS(orders[[#This Row],[Customer Gender]]="M","Male", orders[[#This Row],[Customer Gender]]="F","Female", orders[[#This Row],[Customer Gender]]="O","Other", TRUE,"Unknown")</f>
        <v>Female</v>
      </c>
    </row>
    <row r="1112" spans="1:15">
      <c r="A1112" t="s">
        <v>1209</v>
      </c>
      <c r="B1112" t="s">
        <v>16</v>
      </c>
      <c r="C1112">
        <v>9</v>
      </c>
      <c r="D1112">
        <v>29.3</v>
      </c>
      <c r="E1112">
        <v>263.7</v>
      </c>
      <c r="F1112" s="1">
        <v>45701</v>
      </c>
      <c r="G1112" s="1">
        <v>45703</v>
      </c>
      <c r="H1112" t="s">
        <v>23</v>
      </c>
      <c r="I1112" t="s">
        <v>70</v>
      </c>
      <c r="J1112">
        <v>5</v>
      </c>
      <c r="K1112" t="s">
        <v>19</v>
      </c>
      <c r="L1112" t="s">
        <v>115</v>
      </c>
      <c r="M1112">
        <f>orders[[#This Row],[Ship Date]]-orders[[#This Row],[Order Date]]</f>
        <v>2</v>
      </c>
      <c r="N1112">
        <f>WEEKNUM(orders[[#This Row],[Order Date]])</f>
        <v>7</v>
      </c>
      <c r="O1112" t="str">
        <f>_xlfn.IFS(orders[[#This Row],[Customer Gender]]="M","Male", orders[[#This Row],[Customer Gender]]="F","Female", orders[[#This Row],[Customer Gender]]="O","Other", TRUE,"Unknown")</f>
        <v>Male</v>
      </c>
    </row>
    <row r="1113" spans="1:15">
      <c r="A1113" t="s">
        <v>1210</v>
      </c>
      <c r="B1113" t="s">
        <v>26</v>
      </c>
      <c r="C1113">
        <v>1</v>
      </c>
      <c r="D1113">
        <v>122.7</v>
      </c>
      <c r="E1113">
        <v>122.7</v>
      </c>
      <c r="F1113" s="1">
        <v>45701</v>
      </c>
      <c r="G1113" s="1">
        <v>45704</v>
      </c>
      <c r="H1113" t="s">
        <v>89</v>
      </c>
      <c r="I1113" t="s">
        <v>18</v>
      </c>
      <c r="J1113">
        <v>5</v>
      </c>
      <c r="K1113" t="s">
        <v>19</v>
      </c>
      <c r="L1113" t="s">
        <v>24</v>
      </c>
      <c r="M1113">
        <f>orders[[#This Row],[Ship Date]]-orders[[#This Row],[Order Date]]</f>
        <v>3</v>
      </c>
      <c r="N1113">
        <f>WEEKNUM(orders[[#This Row],[Order Date]])</f>
        <v>7</v>
      </c>
      <c r="O1113" t="str">
        <f>_xlfn.IFS(orders[[#This Row],[Customer Gender]]="M","Male", orders[[#This Row],[Customer Gender]]="F","Female", orders[[#This Row],[Customer Gender]]="O","Other", TRUE,"Unknown")</f>
        <v>Other</v>
      </c>
    </row>
    <row r="1114" spans="1:15">
      <c r="A1114" t="s">
        <v>1211</v>
      </c>
      <c r="B1114" t="s">
        <v>32</v>
      </c>
      <c r="C1114">
        <v>7</v>
      </c>
      <c r="D1114">
        <v>22.9</v>
      </c>
      <c r="E1114">
        <v>160.29999999999998</v>
      </c>
      <c r="F1114" s="1">
        <v>45701</v>
      </c>
      <c r="G1114" s="1">
        <v>45702</v>
      </c>
      <c r="H1114" t="s">
        <v>27</v>
      </c>
      <c r="I1114" t="s">
        <v>18</v>
      </c>
      <c r="J1114">
        <v>4</v>
      </c>
      <c r="K1114" t="s">
        <v>19</v>
      </c>
      <c r="L1114" t="s">
        <v>437</v>
      </c>
      <c r="M1114">
        <f>orders[[#This Row],[Ship Date]]-orders[[#This Row],[Order Date]]</f>
        <v>1</v>
      </c>
      <c r="N1114">
        <f>WEEKNUM(orders[[#This Row],[Order Date]])</f>
        <v>7</v>
      </c>
      <c r="O1114" t="str">
        <f>_xlfn.IFS(orders[[#This Row],[Customer Gender]]="M","Male", orders[[#This Row],[Customer Gender]]="F","Female", orders[[#This Row],[Customer Gender]]="O","Other", TRUE,"Unknown")</f>
        <v>Female</v>
      </c>
    </row>
    <row r="1115" spans="1:15">
      <c r="A1115" t="s">
        <v>1212</v>
      </c>
      <c r="B1115" t="s">
        <v>44</v>
      </c>
      <c r="C1115">
        <v>10</v>
      </c>
      <c r="D1115">
        <v>25.5</v>
      </c>
      <c r="E1115">
        <v>255</v>
      </c>
      <c r="F1115" s="1">
        <v>45701</v>
      </c>
      <c r="G1115" s="1">
        <v>45708</v>
      </c>
      <c r="H1115" t="s">
        <v>27</v>
      </c>
      <c r="I1115" t="s">
        <v>18</v>
      </c>
      <c r="J1115">
        <v>4</v>
      </c>
      <c r="K1115" t="s">
        <v>19</v>
      </c>
      <c r="L1115" t="s">
        <v>331</v>
      </c>
      <c r="M1115">
        <f>orders[[#This Row],[Ship Date]]-orders[[#This Row],[Order Date]]</f>
        <v>7</v>
      </c>
      <c r="N1115">
        <f>WEEKNUM(orders[[#This Row],[Order Date]])</f>
        <v>7</v>
      </c>
      <c r="O1115" t="str">
        <f>_xlfn.IFS(orders[[#This Row],[Customer Gender]]="M","Male", orders[[#This Row],[Customer Gender]]="F","Female", orders[[#This Row],[Customer Gender]]="O","Other", TRUE,"Unknown")</f>
        <v>Female</v>
      </c>
    </row>
    <row r="1116" spans="1:15">
      <c r="A1116" t="s">
        <v>1213</v>
      </c>
      <c r="B1116" t="s">
        <v>135</v>
      </c>
      <c r="C1116">
        <v>3</v>
      </c>
      <c r="D1116">
        <v>23.4</v>
      </c>
      <c r="E1116">
        <v>70.199999999999989</v>
      </c>
      <c r="F1116" s="1">
        <v>45701</v>
      </c>
      <c r="G1116" s="1">
        <v>45705</v>
      </c>
      <c r="H1116" t="s">
        <v>27</v>
      </c>
      <c r="I1116" t="s">
        <v>18</v>
      </c>
      <c r="J1116">
        <v>5</v>
      </c>
      <c r="K1116" t="s">
        <v>19</v>
      </c>
      <c r="L1116" t="s">
        <v>33</v>
      </c>
      <c r="M1116">
        <f>orders[[#This Row],[Ship Date]]-orders[[#This Row],[Order Date]]</f>
        <v>4</v>
      </c>
      <c r="N1116">
        <f>WEEKNUM(orders[[#This Row],[Order Date]])</f>
        <v>7</v>
      </c>
      <c r="O1116" t="str">
        <f>_xlfn.IFS(orders[[#This Row],[Customer Gender]]="M","Male", orders[[#This Row],[Customer Gender]]="F","Female", orders[[#This Row],[Customer Gender]]="O","Other", TRUE,"Unknown")</f>
        <v>Female</v>
      </c>
    </row>
    <row r="1117" spans="1:15">
      <c r="A1117" t="s">
        <v>1214</v>
      </c>
      <c r="B1117" t="s">
        <v>37</v>
      </c>
      <c r="C1117">
        <v>8</v>
      </c>
      <c r="D1117">
        <v>27.4</v>
      </c>
      <c r="E1117">
        <v>219.2</v>
      </c>
      <c r="F1117" s="1">
        <v>45701</v>
      </c>
      <c r="G1117" s="1">
        <v>45704</v>
      </c>
      <c r="H1117" t="s">
        <v>27</v>
      </c>
      <c r="I1117" t="s">
        <v>40</v>
      </c>
      <c r="J1117">
        <v>4</v>
      </c>
      <c r="K1117" t="s">
        <v>19</v>
      </c>
      <c r="L1117" t="s">
        <v>33</v>
      </c>
      <c r="M1117">
        <f>orders[[#This Row],[Ship Date]]-orders[[#This Row],[Order Date]]</f>
        <v>3</v>
      </c>
      <c r="N1117">
        <f>WEEKNUM(orders[[#This Row],[Order Date]])</f>
        <v>7</v>
      </c>
      <c r="O1117" t="str">
        <f>_xlfn.IFS(orders[[#This Row],[Customer Gender]]="M","Male", orders[[#This Row],[Customer Gender]]="F","Female", orders[[#This Row],[Customer Gender]]="O","Other", TRUE,"Unknown")</f>
        <v>Female</v>
      </c>
    </row>
    <row r="1118" spans="1:15">
      <c r="A1118" t="s">
        <v>1215</v>
      </c>
      <c r="B1118" t="s">
        <v>37</v>
      </c>
      <c r="C1118">
        <v>5</v>
      </c>
      <c r="D1118">
        <v>68.400000000000006</v>
      </c>
      <c r="E1118">
        <v>342</v>
      </c>
      <c r="F1118" s="1">
        <v>45701</v>
      </c>
      <c r="G1118" s="1">
        <v>45702</v>
      </c>
      <c r="H1118" t="s">
        <v>27</v>
      </c>
      <c r="I1118" t="s">
        <v>18</v>
      </c>
      <c r="J1118">
        <v>4</v>
      </c>
      <c r="K1118" t="s">
        <v>19</v>
      </c>
      <c r="L1118" t="s">
        <v>33</v>
      </c>
      <c r="M1118">
        <f>orders[[#This Row],[Ship Date]]-orders[[#This Row],[Order Date]]</f>
        <v>1</v>
      </c>
      <c r="N1118">
        <f>WEEKNUM(orders[[#This Row],[Order Date]])</f>
        <v>7</v>
      </c>
      <c r="O1118" t="str">
        <f>_xlfn.IFS(orders[[#This Row],[Customer Gender]]="M","Male", orders[[#This Row],[Customer Gender]]="F","Female", orders[[#This Row],[Customer Gender]]="O","Other", TRUE,"Unknown")</f>
        <v>Female</v>
      </c>
    </row>
    <row r="1119" spans="1:15">
      <c r="A1119" t="s">
        <v>1216</v>
      </c>
      <c r="B1119" t="s">
        <v>39</v>
      </c>
      <c r="C1119">
        <v>1</v>
      </c>
      <c r="D1119">
        <v>51.9</v>
      </c>
      <c r="E1119">
        <v>51.9</v>
      </c>
      <c r="F1119" s="1">
        <v>45701</v>
      </c>
      <c r="G1119" s="1">
        <v>45701</v>
      </c>
      <c r="H1119" t="s">
        <v>27</v>
      </c>
      <c r="I1119" t="s">
        <v>18</v>
      </c>
      <c r="J1119">
        <v>4</v>
      </c>
      <c r="K1119" t="s">
        <v>19</v>
      </c>
      <c r="L1119" t="s">
        <v>33</v>
      </c>
      <c r="M1119">
        <f>orders[[#This Row],[Ship Date]]-orders[[#This Row],[Order Date]]</f>
        <v>0</v>
      </c>
      <c r="N1119">
        <f>WEEKNUM(orders[[#This Row],[Order Date]])</f>
        <v>7</v>
      </c>
      <c r="O1119" t="str">
        <f>_xlfn.IFS(orders[[#This Row],[Customer Gender]]="M","Male", orders[[#This Row],[Customer Gender]]="F","Female", orders[[#This Row],[Customer Gender]]="O","Other", TRUE,"Unknown")</f>
        <v>Female</v>
      </c>
    </row>
    <row r="1120" spans="1:15">
      <c r="A1120" t="s">
        <v>1217</v>
      </c>
      <c r="B1120" t="s">
        <v>16</v>
      </c>
      <c r="C1120">
        <v>5</v>
      </c>
      <c r="D1120">
        <v>26.4</v>
      </c>
      <c r="E1120">
        <v>132</v>
      </c>
      <c r="F1120" s="1">
        <v>45701</v>
      </c>
      <c r="G1120" s="1">
        <v>45704</v>
      </c>
      <c r="H1120" t="s">
        <v>27</v>
      </c>
      <c r="I1120" t="s">
        <v>18</v>
      </c>
      <c r="J1120">
        <v>5</v>
      </c>
      <c r="K1120" t="s">
        <v>19</v>
      </c>
      <c r="L1120" t="s">
        <v>33</v>
      </c>
      <c r="M1120">
        <f>orders[[#This Row],[Ship Date]]-orders[[#This Row],[Order Date]]</f>
        <v>3</v>
      </c>
      <c r="N1120">
        <f>WEEKNUM(orders[[#This Row],[Order Date]])</f>
        <v>7</v>
      </c>
      <c r="O1120" t="str">
        <f>_xlfn.IFS(orders[[#This Row],[Customer Gender]]="M","Male", orders[[#This Row],[Customer Gender]]="F","Female", orders[[#This Row],[Customer Gender]]="O","Other", TRUE,"Unknown")</f>
        <v>Female</v>
      </c>
    </row>
    <row r="1121" spans="1:15">
      <c r="A1121" t="s">
        <v>1218</v>
      </c>
      <c r="B1121" t="s">
        <v>69</v>
      </c>
      <c r="C1121">
        <v>2</v>
      </c>
      <c r="D1121">
        <v>117</v>
      </c>
      <c r="E1121">
        <v>234</v>
      </c>
      <c r="F1121" s="1">
        <v>45701</v>
      </c>
      <c r="G1121" s="1">
        <v>45702</v>
      </c>
      <c r="H1121" t="s">
        <v>27</v>
      </c>
      <c r="I1121" t="s">
        <v>35</v>
      </c>
      <c r="J1121">
        <v>3</v>
      </c>
      <c r="K1121" t="s">
        <v>19</v>
      </c>
      <c r="L1121" t="s">
        <v>33</v>
      </c>
      <c r="M1121">
        <f>orders[[#This Row],[Ship Date]]-orders[[#This Row],[Order Date]]</f>
        <v>1</v>
      </c>
      <c r="N1121">
        <f>WEEKNUM(orders[[#This Row],[Order Date]])</f>
        <v>7</v>
      </c>
      <c r="O1121" t="str">
        <f>_xlfn.IFS(orders[[#This Row],[Customer Gender]]="M","Male", orders[[#This Row],[Customer Gender]]="F","Female", orders[[#This Row],[Customer Gender]]="O","Other", TRUE,"Unknown")</f>
        <v>Female</v>
      </c>
    </row>
    <row r="1122" spans="1:15">
      <c r="A1122" t="s">
        <v>1219</v>
      </c>
      <c r="B1122" t="s">
        <v>42</v>
      </c>
      <c r="C1122">
        <v>3</v>
      </c>
      <c r="D1122">
        <v>49.6</v>
      </c>
      <c r="E1122">
        <v>148.80000000000001</v>
      </c>
      <c r="F1122" s="1">
        <v>45702</v>
      </c>
      <c r="G1122" s="1">
        <v>45704</v>
      </c>
      <c r="H1122" t="s">
        <v>27</v>
      </c>
      <c r="I1122" t="s">
        <v>18</v>
      </c>
      <c r="J1122">
        <v>4</v>
      </c>
      <c r="K1122" t="s">
        <v>19</v>
      </c>
      <c r="L1122" t="s">
        <v>33</v>
      </c>
      <c r="M1122">
        <f>orders[[#This Row],[Ship Date]]-orders[[#This Row],[Order Date]]</f>
        <v>2</v>
      </c>
      <c r="N1122">
        <f>WEEKNUM(orders[[#This Row],[Order Date]])</f>
        <v>7</v>
      </c>
      <c r="O1122" t="str">
        <f>_xlfn.IFS(orders[[#This Row],[Customer Gender]]="M","Male", orders[[#This Row],[Customer Gender]]="F","Female", orders[[#This Row],[Customer Gender]]="O","Other", TRUE,"Unknown")</f>
        <v>Female</v>
      </c>
    </row>
    <row r="1123" spans="1:15">
      <c r="A1123" t="s">
        <v>1220</v>
      </c>
      <c r="B1123" t="s">
        <v>32</v>
      </c>
      <c r="C1123">
        <v>3</v>
      </c>
      <c r="D1123">
        <v>38</v>
      </c>
      <c r="E1123">
        <v>114</v>
      </c>
      <c r="F1123" s="1">
        <v>45702</v>
      </c>
      <c r="G1123" s="1">
        <v>45705</v>
      </c>
      <c r="H1123" t="s">
        <v>23</v>
      </c>
      <c r="I1123" t="s">
        <v>40</v>
      </c>
      <c r="J1123">
        <v>2</v>
      </c>
      <c r="K1123" t="s">
        <v>19</v>
      </c>
      <c r="L1123" t="s">
        <v>33</v>
      </c>
      <c r="M1123">
        <f>orders[[#This Row],[Ship Date]]-orders[[#This Row],[Order Date]]</f>
        <v>3</v>
      </c>
      <c r="N1123">
        <f>WEEKNUM(orders[[#This Row],[Order Date]])</f>
        <v>7</v>
      </c>
      <c r="O1123" t="str">
        <f>_xlfn.IFS(orders[[#This Row],[Customer Gender]]="M","Male", orders[[#This Row],[Customer Gender]]="F","Female", orders[[#This Row],[Customer Gender]]="O","Other", TRUE,"Unknown")</f>
        <v>Male</v>
      </c>
    </row>
    <row r="1124" spans="1:15">
      <c r="A1124" t="s">
        <v>1221</v>
      </c>
      <c r="B1124" t="s">
        <v>16</v>
      </c>
      <c r="C1124">
        <v>3</v>
      </c>
      <c r="D1124">
        <v>20.6</v>
      </c>
      <c r="E1124">
        <v>61.800000000000004</v>
      </c>
      <c r="F1124" s="1">
        <v>45702</v>
      </c>
      <c r="G1124" s="1">
        <v>45704</v>
      </c>
      <c r="H1124" t="s">
        <v>27</v>
      </c>
      <c r="I1124" t="s">
        <v>70</v>
      </c>
      <c r="J1124">
        <v>5</v>
      </c>
      <c r="K1124" t="s">
        <v>19</v>
      </c>
      <c r="L1124" t="s">
        <v>33</v>
      </c>
      <c r="M1124">
        <f>orders[[#This Row],[Ship Date]]-orders[[#This Row],[Order Date]]</f>
        <v>2</v>
      </c>
      <c r="N1124">
        <f>WEEKNUM(orders[[#This Row],[Order Date]])</f>
        <v>7</v>
      </c>
      <c r="O1124" t="str">
        <f>_xlfn.IFS(orders[[#This Row],[Customer Gender]]="M","Male", orders[[#This Row],[Customer Gender]]="F","Female", orders[[#This Row],[Customer Gender]]="O","Other", TRUE,"Unknown")</f>
        <v>Female</v>
      </c>
    </row>
    <row r="1125" spans="1:15">
      <c r="A1125" t="s">
        <v>1222</v>
      </c>
      <c r="B1125" t="s">
        <v>16</v>
      </c>
      <c r="C1125">
        <v>2</v>
      </c>
      <c r="D1125">
        <v>16</v>
      </c>
      <c r="E1125">
        <v>32</v>
      </c>
      <c r="F1125" s="1">
        <v>45702</v>
      </c>
      <c r="G1125" s="1">
        <v>45703</v>
      </c>
      <c r="H1125" t="s">
        <v>23</v>
      </c>
      <c r="I1125" t="s">
        <v>35</v>
      </c>
      <c r="J1125">
        <v>3</v>
      </c>
      <c r="K1125" t="s">
        <v>19</v>
      </c>
      <c r="L1125" t="s">
        <v>802</v>
      </c>
      <c r="M1125">
        <f>orders[[#This Row],[Ship Date]]-orders[[#This Row],[Order Date]]</f>
        <v>1</v>
      </c>
      <c r="N1125">
        <f>WEEKNUM(orders[[#This Row],[Order Date]])</f>
        <v>7</v>
      </c>
      <c r="O1125" t="str">
        <f>_xlfn.IFS(orders[[#This Row],[Customer Gender]]="M","Male", orders[[#This Row],[Customer Gender]]="F","Female", orders[[#This Row],[Customer Gender]]="O","Other", TRUE,"Unknown")</f>
        <v>Male</v>
      </c>
    </row>
    <row r="1126" spans="1:15">
      <c r="A1126" t="s">
        <v>1223</v>
      </c>
      <c r="B1126" t="s">
        <v>123</v>
      </c>
      <c r="C1126">
        <v>4</v>
      </c>
      <c r="D1126">
        <v>49.3</v>
      </c>
      <c r="E1126">
        <v>197.2</v>
      </c>
      <c r="F1126" s="1">
        <v>45702</v>
      </c>
      <c r="G1126" s="1">
        <v>45703</v>
      </c>
      <c r="H1126" t="s">
        <v>27</v>
      </c>
      <c r="I1126" t="s">
        <v>40</v>
      </c>
      <c r="J1126">
        <v>4</v>
      </c>
      <c r="K1126" t="s">
        <v>19</v>
      </c>
      <c r="L1126" t="s">
        <v>158</v>
      </c>
      <c r="M1126">
        <f>orders[[#This Row],[Ship Date]]-orders[[#This Row],[Order Date]]</f>
        <v>1</v>
      </c>
      <c r="N1126">
        <f>WEEKNUM(orders[[#This Row],[Order Date]])</f>
        <v>7</v>
      </c>
      <c r="O1126" t="str">
        <f>_xlfn.IFS(orders[[#This Row],[Customer Gender]]="M","Male", orders[[#This Row],[Customer Gender]]="F","Female", orders[[#This Row],[Customer Gender]]="O","Other", TRUE,"Unknown")</f>
        <v>Female</v>
      </c>
    </row>
    <row r="1127" spans="1:15">
      <c r="A1127" t="s">
        <v>1224</v>
      </c>
      <c r="B1127" t="s">
        <v>46</v>
      </c>
      <c r="C1127">
        <v>2</v>
      </c>
      <c r="D1127">
        <v>24.1</v>
      </c>
      <c r="E1127">
        <v>48.2</v>
      </c>
      <c r="F1127" s="1">
        <v>45702</v>
      </c>
      <c r="G1127" s="1">
        <v>45706</v>
      </c>
      <c r="H1127" t="s">
        <v>27</v>
      </c>
      <c r="I1127" t="s">
        <v>18</v>
      </c>
      <c r="J1127">
        <v>4</v>
      </c>
      <c r="K1127" t="s">
        <v>19</v>
      </c>
      <c r="L1127" t="s">
        <v>55</v>
      </c>
      <c r="M1127">
        <f>orders[[#This Row],[Ship Date]]-orders[[#This Row],[Order Date]]</f>
        <v>4</v>
      </c>
      <c r="N1127">
        <f>WEEKNUM(orders[[#This Row],[Order Date]])</f>
        <v>7</v>
      </c>
      <c r="O1127" t="str">
        <f>_xlfn.IFS(orders[[#This Row],[Customer Gender]]="M","Male", orders[[#This Row],[Customer Gender]]="F","Female", orders[[#This Row],[Customer Gender]]="O","Other", TRUE,"Unknown")</f>
        <v>Female</v>
      </c>
    </row>
    <row r="1128" spans="1:15">
      <c r="A1128" t="s">
        <v>1225</v>
      </c>
      <c r="B1128" t="s">
        <v>123</v>
      </c>
      <c r="C1128">
        <v>8</v>
      </c>
      <c r="D1128">
        <v>32.700000000000003</v>
      </c>
      <c r="E1128">
        <v>261.60000000000002</v>
      </c>
      <c r="F1128" s="1">
        <v>45702</v>
      </c>
      <c r="G1128" s="1">
        <v>45703</v>
      </c>
      <c r="H1128" t="s">
        <v>27</v>
      </c>
      <c r="I1128" t="s">
        <v>35</v>
      </c>
      <c r="J1128">
        <v>4</v>
      </c>
      <c r="K1128" t="s">
        <v>19</v>
      </c>
      <c r="L1128" t="s">
        <v>55</v>
      </c>
      <c r="M1128">
        <f>orders[[#This Row],[Ship Date]]-orders[[#This Row],[Order Date]]</f>
        <v>1</v>
      </c>
      <c r="N1128">
        <f>WEEKNUM(orders[[#This Row],[Order Date]])</f>
        <v>7</v>
      </c>
      <c r="O1128" t="str">
        <f>_xlfn.IFS(orders[[#This Row],[Customer Gender]]="M","Male", orders[[#This Row],[Customer Gender]]="F","Female", orders[[#This Row],[Customer Gender]]="O","Other", TRUE,"Unknown")</f>
        <v>Female</v>
      </c>
    </row>
    <row r="1129" spans="1:15">
      <c r="A1129" t="s">
        <v>1226</v>
      </c>
      <c r="B1129" t="s">
        <v>39</v>
      </c>
      <c r="C1129">
        <v>3</v>
      </c>
      <c r="D1129">
        <v>74.400000000000006</v>
      </c>
      <c r="E1129">
        <v>223.20000000000002</v>
      </c>
      <c r="F1129" s="1">
        <v>45702</v>
      </c>
      <c r="G1129" s="1">
        <v>45703</v>
      </c>
      <c r="H1129" t="s">
        <v>27</v>
      </c>
      <c r="I1129" t="s">
        <v>51</v>
      </c>
      <c r="J1129">
        <v>5</v>
      </c>
      <c r="K1129" t="s">
        <v>19</v>
      </c>
      <c r="L1129" t="s">
        <v>62</v>
      </c>
      <c r="M1129">
        <f>orders[[#This Row],[Ship Date]]-orders[[#This Row],[Order Date]]</f>
        <v>1</v>
      </c>
      <c r="N1129">
        <f>WEEKNUM(orders[[#This Row],[Order Date]])</f>
        <v>7</v>
      </c>
      <c r="O1129" t="str">
        <f>_xlfn.IFS(orders[[#This Row],[Customer Gender]]="M","Male", orders[[#This Row],[Customer Gender]]="F","Female", orders[[#This Row],[Customer Gender]]="O","Other", TRUE,"Unknown")</f>
        <v>Female</v>
      </c>
    </row>
    <row r="1130" spans="1:15">
      <c r="A1130" t="s">
        <v>1227</v>
      </c>
      <c r="B1130" t="s">
        <v>69</v>
      </c>
      <c r="C1130">
        <v>1</v>
      </c>
      <c r="D1130">
        <v>45.6</v>
      </c>
      <c r="E1130">
        <v>45.6</v>
      </c>
      <c r="F1130" s="1">
        <v>45702</v>
      </c>
      <c r="G1130" s="1">
        <v>45706</v>
      </c>
      <c r="H1130" t="s">
        <v>27</v>
      </c>
      <c r="I1130" t="s">
        <v>70</v>
      </c>
      <c r="J1130">
        <v>4</v>
      </c>
      <c r="K1130" t="s">
        <v>19</v>
      </c>
      <c r="L1130" t="s">
        <v>62</v>
      </c>
      <c r="M1130">
        <f>orders[[#This Row],[Ship Date]]-orders[[#This Row],[Order Date]]</f>
        <v>4</v>
      </c>
      <c r="N1130">
        <f>WEEKNUM(orders[[#This Row],[Order Date]])</f>
        <v>7</v>
      </c>
      <c r="O1130" t="str">
        <f>_xlfn.IFS(orders[[#This Row],[Customer Gender]]="M","Male", orders[[#This Row],[Customer Gender]]="F","Female", orders[[#This Row],[Customer Gender]]="O","Other", TRUE,"Unknown")</f>
        <v>Female</v>
      </c>
    </row>
    <row r="1131" spans="1:15">
      <c r="A1131" t="s">
        <v>1228</v>
      </c>
      <c r="B1131" t="s">
        <v>44</v>
      </c>
      <c r="C1131">
        <v>8</v>
      </c>
      <c r="D1131">
        <v>19.600000000000001</v>
      </c>
      <c r="E1131">
        <v>156.80000000000001</v>
      </c>
      <c r="F1131" s="1">
        <v>45702</v>
      </c>
      <c r="G1131" s="1">
        <v>45715</v>
      </c>
      <c r="H1131" t="s">
        <v>27</v>
      </c>
      <c r="I1131" t="s">
        <v>18</v>
      </c>
      <c r="J1131">
        <v>4</v>
      </c>
      <c r="K1131" t="s">
        <v>19</v>
      </c>
      <c r="L1131" t="s">
        <v>62</v>
      </c>
      <c r="M1131">
        <f>orders[[#This Row],[Ship Date]]-orders[[#This Row],[Order Date]]</f>
        <v>13</v>
      </c>
      <c r="N1131">
        <f>WEEKNUM(orders[[#This Row],[Order Date]])</f>
        <v>7</v>
      </c>
      <c r="O1131" t="str">
        <f>_xlfn.IFS(orders[[#This Row],[Customer Gender]]="M","Male", orders[[#This Row],[Customer Gender]]="F","Female", orders[[#This Row],[Customer Gender]]="O","Other", TRUE,"Unknown")</f>
        <v>Female</v>
      </c>
    </row>
    <row r="1132" spans="1:15">
      <c r="A1132" t="s">
        <v>1229</v>
      </c>
      <c r="B1132" t="s">
        <v>46</v>
      </c>
      <c r="C1132">
        <v>1</v>
      </c>
      <c r="D1132">
        <v>51.8</v>
      </c>
      <c r="E1132">
        <v>51.8</v>
      </c>
      <c r="F1132" s="1">
        <v>45702</v>
      </c>
      <c r="G1132" s="1">
        <v>45703</v>
      </c>
      <c r="H1132" t="s">
        <v>27</v>
      </c>
      <c r="I1132" t="s">
        <v>35</v>
      </c>
      <c r="J1132">
        <v>4</v>
      </c>
      <c r="K1132" t="s">
        <v>19</v>
      </c>
      <c r="L1132" t="s">
        <v>62</v>
      </c>
      <c r="M1132">
        <f>orders[[#This Row],[Ship Date]]-orders[[#This Row],[Order Date]]</f>
        <v>1</v>
      </c>
      <c r="N1132">
        <f>WEEKNUM(orders[[#This Row],[Order Date]])</f>
        <v>7</v>
      </c>
      <c r="O1132" t="str">
        <f>_xlfn.IFS(orders[[#This Row],[Customer Gender]]="M","Male", orders[[#This Row],[Customer Gender]]="F","Female", orders[[#This Row],[Customer Gender]]="O","Other", TRUE,"Unknown")</f>
        <v>Female</v>
      </c>
    </row>
    <row r="1133" spans="1:15">
      <c r="A1133" t="s">
        <v>1230</v>
      </c>
      <c r="B1133" t="s">
        <v>39</v>
      </c>
      <c r="C1133">
        <v>1</v>
      </c>
      <c r="D1133">
        <v>74.7</v>
      </c>
      <c r="E1133">
        <v>74.7</v>
      </c>
      <c r="F1133" s="1">
        <v>45702</v>
      </c>
      <c r="G1133" s="1">
        <v>45703</v>
      </c>
      <c r="H1133" t="s">
        <v>23</v>
      </c>
      <c r="I1133" t="s">
        <v>18</v>
      </c>
      <c r="J1133">
        <v>3</v>
      </c>
      <c r="K1133" t="s">
        <v>19</v>
      </c>
      <c r="L1133" t="s">
        <v>62</v>
      </c>
      <c r="M1133">
        <f>orders[[#This Row],[Ship Date]]-orders[[#This Row],[Order Date]]</f>
        <v>1</v>
      </c>
      <c r="N1133">
        <f>WEEKNUM(orders[[#This Row],[Order Date]])</f>
        <v>7</v>
      </c>
      <c r="O1133" t="str">
        <f>_xlfn.IFS(orders[[#This Row],[Customer Gender]]="M","Male", orders[[#This Row],[Customer Gender]]="F","Female", orders[[#This Row],[Customer Gender]]="O","Other", TRUE,"Unknown")</f>
        <v>Male</v>
      </c>
    </row>
    <row r="1134" spans="1:15">
      <c r="A1134" t="s">
        <v>1231</v>
      </c>
      <c r="B1134" t="s">
        <v>171</v>
      </c>
      <c r="C1134">
        <v>3</v>
      </c>
      <c r="D1134">
        <v>22.4</v>
      </c>
      <c r="E1134">
        <v>67.199999999999989</v>
      </c>
      <c r="F1134" s="1">
        <v>45702</v>
      </c>
      <c r="G1134" s="1">
        <v>45703</v>
      </c>
      <c r="H1134" t="s">
        <v>27</v>
      </c>
      <c r="I1134" t="s">
        <v>35</v>
      </c>
      <c r="J1134">
        <v>5</v>
      </c>
      <c r="K1134" t="s">
        <v>19</v>
      </c>
      <c r="L1134" t="s">
        <v>72</v>
      </c>
      <c r="M1134">
        <f>orders[[#This Row],[Ship Date]]-orders[[#This Row],[Order Date]]</f>
        <v>1</v>
      </c>
      <c r="N1134">
        <f>WEEKNUM(orders[[#This Row],[Order Date]])</f>
        <v>7</v>
      </c>
      <c r="O1134" t="str">
        <f>_xlfn.IFS(orders[[#This Row],[Customer Gender]]="M","Male", orders[[#This Row],[Customer Gender]]="F","Female", orders[[#This Row],[Customer Gender]]="O","Other", TRUE,"Unknown")</f>
        <v>Female</v>
      </c>
    </row>
    <row r="1135" spans="1:15">
      <c r="A1135" t="s">
        <v>1232</v>
      </c>
      <c r="B1135" t="s">
        <v>22</v>
      </c>
      <c r="C1135">
        <v>4</v>
      </c>
      <c r="D1135">
        <v>31.4</v>
      </c>
      <c r="E1135">
        <v>125.6</v>
      </c>
      <c r="F1135" s="1">
        <v>45702</v>
      </c>
      <c r="G1135" s="1">
        <v>45703</v>
      </c>
      <c r="H1135" t="s">
        <v>27</v>
      </c>
      <c r="I1135" t="s">
        <v>35</v>
      </c>
      <c r="J1135">
        <v>4</v>
      </c>
      <c r="K1135" t="s">
        <v>19</v>
      </c>
      <c r="L1135" t="s">
        <v>72</v>
      </c>
      <c r="M1135">
        <f>orders[[#This Row],[Ship Date]]-orders[[#This Row],[Order Date]]</f>
        <v>1</v>
      </c>
      <c r="N1135">
        <f>WEEKNUM(orders[[#This Row],[Order Date]])</f>
        <v>7</v>
      </c>
      <c r="O1135" t="str">
        <f>_xlfn.IFS(orders[[#This Row],[Customer Gender]]="M","Male", orders[[#This Row],[Customer Gender]]="F","Female", orders[[#This Row],[Customer Gender]]="O","Other", TRUE,"Unknown")</f>
        <v>Female</v>
      </c>
    </row>
    <row r="1136" spans="1:15">
      <c r="A1136" t="s">
        <v>1233</v>
      </c>
      <c r="B1136" t="s">
        <v>39</v>
      </c>
      <c r="C1136">
        <v>1</v>
      </c>
      <c r="D1136">
        <v>94</v>
      </c>
      <c r="E1136">
        <v>94</v>
      </c>
      <c r="F1136" s="1">
        <v>45702</v>
      </c>
      <c r="G1136" s="1">
        <v>45702</v>
      </c>
      <c r="H1136" t="s">
        <v>27</v>
      </c>
      <c r="I1136" t="s">
        <v>35</v>
      </c>
      <c r="J1136">
        <v>5</v>
      </c>
      <c r="K1136" t="s">
        <v>19</v>
      </c>
      <c r="L1136" t="s">
        <v>74</v>
      </c>
      <c r="M1136">
        <f>orders[[#This Row],[Ship Date]]-orders[[#This Row],[Order Date]]</f>
        <v>0</v>
      </c>
      <c r="N1136">
        <f>WEEKNUM(orders[[#This Row],[Order Date]])</f>
        <v>7</v>
      </c>
      <c r="O1136" t="str">
        <f>_xlfn.IFS(orders[[#This Row],[Customer Gender]]="M","Male", orders[[#This Row],[Customer Gender]]="F","Female", orders[[#This Row],[Customer Gender]]="O","Other", TRUE,"Unknown")</f>
        <v>Female</v>
      </c>
    </row>
    <row r="1137" spans="1:15">
      <c r="A1137" t="s">
        <v>1234</v>
      </c>
      <c r="B1137" t="s">
        <v>54</v>
      </c>
      <c r="C1137">
        <v>1</v>
      </c>
      <c r="D1137">
        <v>22.3</v>
      </c>
      <c r="E1137">
        <v>22.3</v>
      </c>
      <c r="F1137" s="1">
        <v>45702</v>
      </c>
      <c r="G1137" s="1">
        <v>45703</v>
      </c>
      <c r="H1137" t="s">
        <v>23</v>
      </c>
      <c r="I1137" t="s">
        <v>70</v>
      </c>
      <c r="J1137">
        <v>4</v>
      </c>
      <c r="K1137" t="s">
        <v>19</v>
      </c>
      <c r="L1137" t="s">
        <v>113</v>
      </c>
      <c r="M1137">
        <f>orders[[#This Row],[Ship Date]]-orders[[#This Row],[Order Date]]</f>
        <v>1</v>
      </c>
      <c r="N1137">
        <f>WEEKNUM(orders[[#This Row],[Order Date]])</f>
        <v>7</v>
      </c>
      <c r="O1137" t="str">
        <f>_xlfn.IFS(orders[[#This Row],[Customer Gender]]="M","Male", orders[[#This Row],[Customer Gender]]="F","Female", orders[[#This Row],[Customer Gender]]="O","Other", TRUE,"Unknown")</f>
        <v>Male</v>
      </c>
    </row>
    <row r="1138" spans="1:15">
      <c r="A1138" t="s">
        <v>1235</v>
      </c>
      <c r="B1138" t="s">
        <v>16</v>
      </c>
      <c r="C1138">
        <v>1</v>
      </c>
      <c r="D1138">
        <v>21.9</v>
      </c>
      <c r="E1138">
        <v>21.9</v>
      </c>
      <c r="F1138" s="1">
        <v>45702</v>
      </c>
      <c r="G1138" s="1">
        <v>45705</v>
      </c>
      <c r="H1138" t="s">
        <v>27</v>
      </c>
      <c r="I1138" t="s">
        <v>40</v>
      </c>
      <c r="J1138">
        <v>4</v>
      </c>
      <c r="K1138" t="s">
        <v>19</v>
      </c>
      <c r="L1138" t="s">
        <v>115</v>
      </c>
      <c r="M1138">
        <f>orders[[#This Row],[Ship Date]]-orders[[#This Row],[Order Date]]</f>
        <v>3</v>
      </c>
      <c r="N1138">
        <f>WEEKNUM(orders[[#This Row],[Order Date]])</f>
        <v>7</v>
      </c>
      <c r="O1138" t="str">
        <f>_xlfn.IFS(orders[[#This Row],[Customer Gender]]="M","Male", orders[[#This Row],[Customer Gender]]="F","Female", orders[[#This Row],[Customer Gender]]="O","Other", TRUE,"Unknown")</f>
        <v>Female</v>
      </c>
    </row>
    <row r="1139" spans="1:15">
      <c r="A1139" t="s">
        <v>1236</v>
      </c>
      <c r="B1139" t="s">
        <v>135</v>
      </c>
      <c r="C1139">
        <v>3</v>
      </c>
      <c r="D1139">
        <v>27</v>
      </c>
      <c r="E1139">
        <v>81</v>
      </c>
      <c r="F1139" s="1">
        <v>45702</v>
      </c>
      <c r="G1139" s="1">
        <v>45704</v>
      </c>
      <c r="H1139" t="s">
        <v>27</v>
      </c>
      <c r="I1139" t="s">
        <v>70</v>
      </c>
      <c r="J1139">
        <v>5</v>
      </c>
      <c r="K1139" t="s">
        <v>19</v>
      </c>
      <c r="L1139" t="s">
        <v>28</v>
      </c>
      <c r="M1139">
        <f>orders[[#This Row],[Ship Date]]-orders[[#This Row],[Order Date]]</f>
        <v>2</v>
      </c>
      <c r="N1139">
        <f>WEEKNUM(orders[[#This Row],[Order Date]])</f>
        <v>7</v>
      </c>
      <c r="O1139" t="str">
        <f>_xlfn.IFS(orders[[#This Row],[Customer Gender]]="M","Male", orders[[#This Row],[Customer Gender]]="F","Female", orders[[#This Row],[Customer Gender]]="O","Other", TRUE,"Unknown")</f>
        <v>Female</v>
      </c>
    </row>
    <row r="1140" spans="1:15">
      <c r="A1140" t="s">
        <v>1237</v>
      </c>
      <c r="B1140" t="s">
        <v>26</v>
      </c>
      <c r="C1140">
        <v>4</v>
      </c>
      <c r="D1140">
        <v>149.6</v>
      </c>
      <c r="E1140">
        <v>598.4</v>
      </c>
      <c r="F1140" s="1">
        <v>45702</v>
      </c>
      <c r="G1140" s="1">
        <v>45702</v>
      </c>
      <c r="H1140" t="s">
        <v>27</v>
      </c>
      <c r="I1140" t="s">
        <v>70</v>
      </c>
      <c r="J1140">
        <v>4</v>
      </c>
      <c r="K1140" t="s">
        <v>19</v>
      </c>
      <c r="L1140" t="s">
        <v>147</v>
      </c>
      <c r="M1140">
        <f>orders[[#This Row],[Ship Date]]-orders[[#This Row],[Order Date]]</f>
        <v>0</v>
      </c>
      <c r="N1140">
        <f>WEEKNUM(orders[[#This Row],[Order Date]])</f>
        <v>7</v>
      </c>
      <c r="O1140" t="str">
        <f>_xlfn.IFS(orders[[#This Row],[Customer Gender]]="M","Male", orders[[#This Row],[Customer Gender]]="F","Female", orders[[#This Row],[Customer Gender]]="O","Other", TRUE,"Unknown")</f>
        <v>Female</v>
      </c>
    </row>
    <row r="1141" spans="1:15">
      <c r="A1141" t="s">
        <v>1238</v>
      </c>
      <c r="B1141" t="s">
        <v>26</v>
      </c>
      <c r="C1141">
        <v>4</v>
      </c>
      <c r="D1141">
        <v>129.1</v>
      </c>
      <c r="E1141">
        <v>516.4</v>
      </c>
      <c r="F1141" s="1">
        <v>45702</v>
      </c>
      <c r="G1141" s="1">
        <v>45712</v>
      </c>
      <c r="H1141" t="s">
        <v>23</v>
      </c>
      <c r="I1141" t="s">
        <v>18</v>
      </c>
      <c r="J1141">
        <v>3</v>
      </c>
      <c r="K1141" t="s">
        <v>19</v>
      </c>
      <c r="L1141" t="s">
        <v>33</v>
      </c>
      <c r="M1141">
        <f>orders[[#This Row],[Ship Date]]-orders[[#This Row],[Order Date]]</f>
        <v>10</v>
      </c>
      <c r="N1141">
        <f>WEEKNUM(orders[[#This Row],[Order Date]])</f>
        <v>7</v>
      </c>
      <c r="O1141" t="str">
        <f>_xlfn.IFS(orders[[#This Row],[Customer Gender]]="M","Male", orders[[#This Row],[Customer Gender]]="F","Female", orders[[#This Row],[Customer Gender]]="O","Other", TRUE,"Unknown")</f>
        <v>Male</v>
      </c>
    </row>
    <row r="1142" spans="1:15">
      <c r="A1142" t="s">
        <v>1239</v>
      </c>
      <c r="B1142" t="s">
        <v>22</v>
      </c>
      <c r="C1142">
        <v>12</v>
      </c>
      <c r="D1142">
        <v>40.4</v>
      </c>
      <c r="E1142">
        <v>484.79999999999995</v>
      </c>
      <c r="F1142" s="1">
        <v>45702</v>
      </c>
      <c r="G1142" s="1">
        <v>45703</v>
      </c>
      <c r="H1142" t="s">
        <v>23</v>
      </c>
      <c r="I1142" t="s">
        <v>35</v>
      </c>
      <c r="J1142">
        <v>3</v>
      </c>
      <c r="K1142" t="s">
        <v>19</v>
      </c>
      <c r="L1142" t="s">
        <v>33</v>
      </c>
      <c r="M1142">
        <f>orders[[#This Row],[Ship Date]]-orders[[#This Row],[Order Date]]</f>
        <v>1</v>
      </c>
      <c r="N1142">
        <f>WEEKNUM(orders[[#This Row],[Order Date]])</f>
        <v>7</v>
      </c>
      <c r="O1142" t="str">
        <f>_xlfn.IFS(orders[[#This Row],[Customer Gender]]="M","Male", orders[[#This Row],[Customer Gender]]="F","Female", orders[[#This Row],[Customer Gender]]="O","Other", TRUE,"Unknown")</f>
        <v>Male</v>
      </c>
    </row>
    <row r="1143" spans="1:15">
      <c r="A1143" t="s">
        <v>1240</v>
      </c>
      <c r="B1143" t="s">
        <v>32</v>
      </c>
      <c r="C1143">
        <v>3</v>
      </c>
      <c r="D1143">
        <v>48.5</v>
      </c>
      <c r="E1143">
        <v>145.5</v>
      </c>
      <c r="F1143" s="1">
        <v>45702</v>
      </c>
      <c r="G1143" s="1">
        <v>45704</v>
      </c>
      <c r="H1143" t="s">
        <v>27</v>
      </c>
      <c r="I1143" t="s">
        <v>18</v>
      </c>
      <c r="J1143">
        <v>2</v>
      </c>
      <c r="K1143" t="s">
        <v>19</v>
      </c>
      <c r="L1143" t="s">
        <v>33</v>
      </c>
      <c r="M1143">
        <f>orders[[#This Row],[Ship Date]]-orders[[#This Row],[Order Date]]</f>
        <v>2</v>
      </c>
      <c r="N1143">
        <f>WEEKNUM(orders[[#This Row],[Order Date]])</f>
        <v>7</v>
      </c>
      <c r="O1143" t="str">
        <f>_xlfn.IFS(orders[[#This Row],[Customer Gender]]="M","Male", orders[[#This Row],[Customer Gender]]="F","Female", orders[[#This Row],[Customer Gender]]="O","Other", TRUE,"Unknown")</f>
        <v>Female</v>
      </c>
    </row>
    <row r="1144" spans="1:15">
      <c r="A1144" t="s">
        <v>1241</v>
      </c>
      <c r="B1144" t="s">
        <v>46</v>
      </c>
      <c r="C1144">
        <v>2</v>
      </c>
      <c r="D1144">
        <v>37.6</v>
      </c>
      <c r="E1144">
        <v>75.2</v>
      </c>
      <c r="F1144" s="1">
        <v>45702</v>
      </c>
      <c r="G1144" s="1">
        <v>45704</v>
      </c>
      <c r="H1144" t="s">
        <v>27</v>
      </c>
      <c r="I1144" t="s">
        <v>35</v>
      </c>
      <c r="J1144">
        <v>5</v>
      </c>
      <c r="K1144" t="s">
        <v>19</v>
      </c>
      <c r="L1144" t="s">
        <v>33</v>
      </c>
      <c r="M1144">
        <f>orders[[#This Row],[Ship Date]]-orders[[#This Row],[Order Date]]</f>
        <v>2</v>
      </c>
      <c r="N1144">
        <f>WEEKNUM(orders[[#This Row],[Order Date]])</f>
        <v>7</v>
      </c>
      <c r="O1144" t="str">
        <f>_xlfn.IFS(orders[[#This Row],[Customer Gender]]="M","Male", orders[[#This Row],[Customer Gender]]="F","Female", orders[[#This Row],[Customer Gender]]="O","Other", TRUE,"Unknown")</f>
        <v>Female</v>
      </c>
    </row>
    <row r="1145" spans="1:15">
      <c r="A1145" t="s">
        <v>1242</v>
      </c>
      <c r="B1145" t="s">
        <v>44</v>
      </c>
      <c r="C1145">
        <v>2</v>
      </c>
      <c r="D1145">
        <v>19.600000000000001</v>
      </c>
      <c r="E1145">
        <v>39.200000000000003</v>
      </c>
      <c r="F1145" s="1">
        <v>45702</v>
      </c>
      <c r="G1145" s="1">
        <v>45703</v>
      </c>
      <c r="H1145" t="s">
        <v>23</v>
      </c>
      <c r="I1145" t="s">
        <v>51</v>
      </c>
      <c r="J1145">
        <v>2</v>
      </c>
      <c r="K1145" t="s">
        <v>19</v>
      </c>
      <c r="L1145" t="s">
        <v>545</v>
      </c>
      <c r="M1145">
        <f>orders[[#This Row],[Ship Date]]-orders[[#This Row],[Order Date]]</f>
        <v>1</v>
      </c>
      <c r="N1145">
        <f>WEEKNUM(orders[[#This Row],[Order Date]])</f>
        <v>7</v>
      </c>
      <c r="O1145" t="str">
        <f>_xlfn.IFS(orders[[#This Row],[Customer Gender]]="M","Male", orders[[#This Row],[Customer Gender]]="F","Female", orders[[#This Row],[Customer Gender]]="O","Other", TRUE,"Unknown")</f>
        <v>Male</v>
      </c>
    </row>
    <row r="1146" spans="1:15">
      <c r="A1146" t="s">
        <v>1243</v>
      </c>
      <c r="B1146" t="s">
        <v>44</v>
      </c>
      <c r="C1146">
        <v>5</v>
      </c>
      <c r="D1146">
        <v>18.5</v>
      </c>
      <c r="E1146">
        <v>92.5</v>
      </c>
      <c r="F1146" s="1">
        <v>45702</v>
      </c>
      <c r="G1146" s="1">
        <v>45703</v>
      </c>
      <c r="H1146" t="s">
        <v>27</v>
      </c>
      <c r="I1146" t="s">
        <v>40</v>
      </c>
      <c r="J1146">
        <v>3</v>
      </c>
      <c r="K1146" t="s">
        <v>19</v>
      </c>
      <c r="L1146" t="s">
        <v>55</v>
      </c>
      <c r="M1146">
        <f>orders[[#This Row],[Ship Date]]-orders[[#This Row],[Order Date]]</f>
        <v>1</v>
      </c>
      <c r="N1146">
        <f>WEEKNUM(orders[[#This Row],[Order Date]])</f>
        <v>7</v>
      </c>
      <c r="O1146" t="str">
        <f>_xlfn.IFS(orders[[#This Row],[Customer Gender]]="M","Male", orders[[#This Row],[Customer Gender]]="F","Female", orders[[#This Row],[Customer Gender]]="O","Other", TRUE,"Unknown")</f>
        <v>Female</v>
      </c>
    </row>
    <row r="1147" spans="1:15">
      <c r="A1147" t="s">
        <v>1244</v>
      </c>
      <c r="B1147" t="s">
        <v>37</v>
      </c>
      <c r="C1147">
        <v>3</v>
      </c>
      <c r="D1147">
        <v>25.5</v>
      </c>
      <c r="E1147">
        <v>76.5</v>
      </c>
      <c r="F1147" s="1">
        <v>45702</v>
      </c>
      <c r="G1147" s="1">
        <v>45704</v>
      </c>
      <c r="H1147" t="s">
        <v>27</v>
      </c>
      <c r="I1147" t="s">
        <v>70</v>
      </c>
      <c r="J1147">
        <v>3</v>
      </c>
      <c r="K1147" t="s">
        <v>19</v>
      </c>
      <c r="L1147" t="s">
        <v>55</v>
      </c>
      <c r="M1147">
        <f>orders[[#This Row],[Ship Date]]-orders[[#This Row],[Order Date]]</f>
        <v>2</v>
      </c>
      <c r="N1147">
        <f>WEEKNUM(orders[[#This Row],[Order Date]])</f>
        <v>7</v>
      </c>
      <c r="O1147" t="str">
        <f>_xlfn.IFS(orders[[#This Row],[Customer Gender]]="M","Male", orders[[#This Row],[Customer Gender]]="F","Female", orders[[#This Row],[Customer Gender]]="O","Other", TRUE,"Unknown")</f>
        <v>Female</v>
      </c>
    </row>
    <row r="1148" spans="1:15">
      <c r="A1148" t="s">
        <v>1245</v>
      </c>
      <c r="B1148" t="s">
        <v>26</v>
      </c>
      <c r="C1148">
        <v>2</v>
      </c>
      <c r="D1148">
        <v>94.7</v>
      </c>
      <c r="E1148">
        <v>189.4</v>
      </c>
      <c r="F1148" s="1">
        <v>45702</v>
      </c>
      <c r="G1148" s="1">
        <v>45703</v>
      </c>
      <c r="H1148" t="s">
        <v>27</v>
      </c>
      <c r="I1148" t="s">
        <v>40</v>
      </c>
      <c r="J1148">
        <v>4</v>
      </c>
      <c r="K1148" t="s">
        <v>19</v>
      </c>
      <c r="L1148" t="s">
        <v>342</v>
      </c>
      <c r="M1148">
        <f>orders[[#This Row],[Ship Date]]-orders[[#This Row],[Order Date]]</f>
        <v>1</v>
      </c>
      <c r="N1148">
        <f>WEEKNUM(orders[[#This Row],[Order Date]])</f>
        <v>7</v>
      </c>
      <c r="O1148" t="str">
        <f>_xlfn.IFS(orders[[#This Row],[Customer Gender]]="M","Male", orders[[#This Row],[Customer Gender]]="F","Female", orders[[#This Row],[Customer Gender]]="O","Other", TRUE,"Unknown")</f>
        <v>Female</v>
      </c>
    </row>
    <row r="1149" spans="1:15">
      <c r="A1149" t="s">
        <v>1246</v>
      </c>
      <c r="B1149" t="s">
        <v>22</v>
      </c>
      <c r="C1149">
        <v>6</v>
      </c>
      <c r="D1149">
        <v>38.799999999999997</v>
      </c>
      <c r="E1149">
        <v>232.79999999999998</v>
      </c>
      <c r="F1149" s="1">
        <v>45702</v>
      </c>
      <c r="G1149" s="1">
        <v>45707</v>
      </c>
      <c r="H1149" t="s">
        <v>27</v>
      </c>
      <c r="I1149" t="s">
        <v>40</v>
      </c>
      <c r="J1149">
        <v>5</v>
      </c>
      <c r="K1149" t="s">
        <v>19</v>
      </c>
      <c r="L1149" t="s">
        <v>62</v>
      </c>
      <c r="M1149">
        <f>orders[[#This Row],[Ship Date]]-orders[[#This Row],[Order Date]]</f>
        <v>5</v>
      </c>
      <c r="N1149">
        <f>WEEKNUM(orders[[#This Row],[Order Date]])</f>
        <v>7</v>
      </c>
      <c r="O1149" t="str">
        <f>_xlfn.IFS(orders[[#This Row],[Customer Gender]]="M","Male", orders[[#This Row],[Customer Gender]]="F","Female", orders[[#This Row],[Customer Gender]]="O","Other", TRUE,"Unknown")</f>
        <v>Female</v>
      </c>
    </row>
    <row r="1150" spans="1:15">
      <c r="A1150" t="s">
        <v>1247</v>
      </c>
      <c r="B1150" t="s">
        <v>46</v>
      </c>
      <c r="C1150">
        <v>2</v>
      </c>
      <c r="D1150">
        <v>49.4</v>
      </c>
      <c r="E1150">
        <v>98.8</v>
      </c>
      <c r="F1150" s="1">
        <v>45703</v>
      </c>
      <c r="G1150" s="1">
        <v>45711</v>
      </c>
      <c r="H1150" t="s">
        <v>23</v>
      </c>
      <c r="I1150" t="s">
        <v>70</v>
      </c>
      <c r="J1150">
        <v>3</v>
      </c>
      <c r="K1150" t="s">
        <v>19</v>
      </c>
      <c r="L1150" t="s">
        <v>62</v>
      </c>
      <c r="M1150">
        <f>orders[[#This Row],[Ship Date]]-orders[[#This Row],[Order Date]]</f>
        <v>8</v>
      </c>
      <c r="N1150">
        <f>WEEKNUM(orders[[#This Row],[Order Date]])</f>
        <v>7</v>
      </c>
      <c r="O1150" t="str">
        <f>_xlfn.IFS(orders[[#This Row],[Customer Gender]]="M","Male", orders[[#This Row],[Customer Gender]]="F","Female", orders[[#This Row],[Customer Gender]]="O","Other", TRUE,"Unknown")</f>
        <v>Male</v>
      </c>
    </row>
    <row r="1151" spans="1:15">
      <c r="A1151" t="s">
        <v>1248</v>
      </c>
      <c r="B1151" t="s">
        <v>42</v>
      </c>
      <c r="C1151">
        <v>3</v>
      </c>
      <c r="D1151">
        <v>68</v>
      </c>
      <c r="E1151">
        <v>204</v>
      </c>
      <c r="F1151" s="1">
        <v>45703</v>
      </c>
      <c r="G1151" s="1">
        <v>45706</v>
      </c>
      <c r="H1151" t="s">
        <v>23</v>
      </c>
      <c r="I1151" t="s">
        <v>18</v>
      </c>
      <c r="J1151">
        <v>5</v>
      </c>
      <c r="K1151" t="s">
        <v>19</v>
      </c>
      <c r="L1151" t="s">
        <v>62</v>
      </c>
      <c r="M1151">
        <f>orders[[#This Row],[Ship Date]]-orders[[#This Row],[Order Date]]</f>
        <v>3</v>
      </c>
      <c r="N1151">
        <f>WEEKNUM(orders[[#This Row],[Order Date]])</f>
        <v>7</v>
      </c>
      <c r="O1151" t="str">
        <f>_xlfn.IFS(orders[[#This Row],[Customer Gender]]="M","Male", orders[[#This Row],[Customer Gender]]="F","Female", orders[[#This Row],[Customer Gender]]="O","Other", TRUE,"Unknown")</f>
        <v>Male</v>
      </c>
    </row>
    <row r="1152" spans="1:15">
      <c r="A1152" t="s">
        <v>1249</v>
      </c>
      <c r="B1152" t="s">
        <v>123</v>
      </c>
      <c r="C1152">
        <v>7</v>
      </c>
      <c r="D1152">
        <v>63.7</v>
      </c>
      <c r="E1152">
        <v>445.90000000000003</v>
      </c>
      <c r="F1152" s="1">
        <v>45703</v>
      </c>
      <c r="G1152" s="1">
        <v>45704</v>
      </c>
      <c r="H1152" t="s">
        <v>27</v>
      </c>
      <c r="I1152" t="s">
        <v>40</v>
      </c>
      <c r="J1152">
        <v>5</v>
      </c>
      <c r="K1152" t="s">
        <v>19</v>
      </c>
      <c r="L1152" t="s">
        <v>62</v>
      </c>
      <c r="M1152">
        <f>orders[[#This Row],[Ship Date]]-orders[[#This Row],[Order Date]]</f>
        <v>1</v>
      </c>
      <c r="N1152">
        <f>WEEKNUM(orders[[#This Row],[Order Date]])</f>
        <v>7</v>
      </c>
      <c r="O1152" t="str">
        <f>_xlfn.IFS(orders[[#This Row],[Customer Gender]]="M","Male", orders[[#This Row],[Customer Gender]]="F","Female", orders[[#This Row],[Customer Gender]]="O","Other", TRUE,"Unknown")</f>
        <v>Female</v>
      </c>
    </row>
    <row r="1153" spans="1:15">
      <c r="A1153" t="s">
        <v>1250</v>
      </c>
      <c r="B1153" t="s">
        <v>54</v>
      </c>
      <c r="C1153">
        <v>2</v>
      </c>
      <c r="D1153">
        <v>66.2</v>
      </c>
      <c r="E1153">
        <v>132.4</v>
      </c>
      <c r="F1153" s="1">
        <v>45703</v>
      </c>
      <c r="G1153" s="1">
        <v>45704</v>
      </c>
      <c r="H1153" t="s">
        <v>27</v>
      </c>
      <c r="I1153" t="s">
        <v>70</v>
      </c>
      <c r="J1153">
        <v>5</v>
      </c>
      <c r="K1153" t="s">
        <v>19</v>
      </c>
      <c r="L1153" t="s">
        <v>103</v>
      </c>
      <c r="M1153">
        <f>orders[[#This Row],[Ship Date]]-orders[[#This Row],[Order Date]]</f>
        <v>1</v>
      </c>
      <c r="N1153">
        <f>WEEKNUM(orders[[#This Row],[Order Date]])</f>
        <v>7</v>
      </c>
      <c r="O1153" t="str">
        <f>_xlfn.IFS(orders[[#This Row],[Customer Gender]]="M","Male", orders[[#This Row],[Customer Gender]]="F","Female", orders[[#This Row],[Customer Gender]]="O","Other", TRUE,"Unknown")</f>
        <v>Female</v>
      </c>
    </row>
    <row r="1154" spans="1:15">
      <c r="A1154" t="s">
        <v>1251</v>
      </c>
      <c r="B1154" t="s">
        <v>69</v>
      </c>
      <c r="C1154">
        <v>3</v>
      </c>
      <c r="D1154">
        <v>32.299999999999997</v>
      </c>
      <c r="E1154">
        <v>96.899999999999991</v>
      </c>
      <c r="F1154" s="1">
        <v>45703</v>
      </c>
      <c r="G1154" s="1">
        <v>45704</v>
      </c>
      <c r="H1154" t="s">
        <v>89</v>
      </c>
      <c r="I1154" t="s">
        <v>40</v>
      </c>
      <c r="J1154">
        <v>3</v>
      </c>
      <c r="K1154" t="s">
        <v>19</v>
      </c>
      <c r="L1154" t="s">
        <v>72</v>
      </c>
      <c r="M1154">
        <f>orders[[#This Row],[Ship Date]]-orders[[#This Row],[Order Date]]</f>
        <v>1</v>
      </c>
      <c r="N1154">
        <f>WEEKNUM(orders[[#This Row],[Order Date]])</f>
        <v>7</v>
      </c>
      <c r="O1154" t="str">
        <f>_xlfn.IFS(orders[[#This Row],[Customer Gender]]="M","Male", orders[[#This Row],[Customer Gender]]="F","Female", orders[[#This Row],[Customer Gender]]="O","Other", TRUE,"Unknown")</f>
        <v>Other</v>
      </c>
    </row>
    <row r="1155" spans="1:15">
      <c r="A1155" t="s">
        <v>1252</v>
      </c>
      <c r="B1155" t="s">
        <v>32</v>
      </c>
      <c r="C1155">
        <v>2</v>
      </c>
      <c r="D1155">
        <v>66.900000000000006</v>
      </c>
      <c r="E1155">
        <v>133.80000000000001</v>
      </c>
      <c r="F1155" s="1">
        <v>45703</v>
      </c>
      <c r="G1155" s="1">
        <v>45706</v>
      </c>
      <c r="H1155" t="s">
        <v>23</v>
      </c>
      <c r="I1155" t="s">
        <v>35</v>
      </c>
      <c r="J1155">
        <v>4</v>
      </c>
      <c r="K1155" t="s">
        <v>19</v>
      </c>
      <c r="L1155" t="s">
        <v>77</v>
      </c>
      <c r="M1155">
        <f>orders[[#This Row],[Ship Date]]-orders[[#This Row],[Order Date]]</f>
        <v>3</v>
      </c>
      <c r="N1155">
        <f>WEEKNUM(orders[[#This Row],[Order Date]])</f>
        <v>7</v>
      </c>
      <c r="O1155" t="str">
        <f>_xlfn.IFS(orders[[#This Row],[Customer Gender]]="M","Male", orders[[#This Row],[Customer Gender]]="F","Female", orders[[#This Row],[Customer Gender]]="O","Other", TRUE,"Unknown")</f>
        <v>Male</v>
      </c>
    </row>
    <row r="1156" spans="1:15">
      <c r="A1156" t="s">
        <v>1253</v>
      </c>
      <c r="B1156" t="s">
        <v>32</v>
      </c>
      <c r="C1156">
        <v>12</v>
      </c>
      <c r="D1156">
        <v>25.2</v>
      </c>
      <c r="E1156">
        <v>302.39999999999998</v>
      </c>
      <c r="F1156" s="1">
        <v>45703</v>
      </c>
      <c r="G1156" s="1">
        <v>45707</v>
      </c>
      <c r="H1156" t="s">
        <v>27</v>
      </c>
      <c r="I1156" t="s">
        <v>18</v>
      </c>
      <c r="J1156">
        <v>3</v>
      </c>
      <c r="K1156" t="s">
        <v>19</v>
      </c>
      <c r="L1156" t="s">
        <v>77</v>
      </c>
      <c r="M1156">
        <f>orders[[#This Row],[Ship Date]]-orders[[#This Row],[Order Date]]</f>
        <v>4</v>
      </c>
      <c r="N1156">
        <f>WEEKNUM(orders[[#This Row],[Order Date]])</f>
        <v>7</v>
      </c>
      <c r="O1156" t="str">
        <f>_xlfn.IFS(orders[[#This Row],[Customer Gender]]="M","Male", orders[[#This Row],[Customer Gender]]="F","Female", orders[[#This Row],[Customer Gender]]="O","Other", TRUE,"Unknown")</f>
        <v>Female</v>
      </c>
    </row>
    <row r="1157" spans="1:15">
      <c r="A1157" t="s">
        <v>1254</v>
      </c>
      <c r="B1157" t="s">
        <v>54</v>
      </c>
      <c r="C1157">
        <v>6</v>
      </c>
      <c r="D1157">
        <v>29.5</v>
      </c>
      <c r="E1157">
        <v>177</v>
      </c>
      <c r="F1157" s="1">
        <v>45703</v>
      </c>
      <c r="G1157" s="1">
        <v>45704</v>
      </c>
      <c r="H1157" t="s">
        <v>23</v>
      </c>
      <c r="I1157" t="s">
        <v>40</v>
      </c>
      <c r="J1157">
        <v>4</v>
      </c>
      <c r="K1157" t="s">
        <v>19</v>
      </c>
      <c r="L1157" t="s">
        <v>77</v>
      </c>
      <c r="M1157">
        <f>orders[[#This Row],[Ship Date]]-orders[[#This Row],[Order Date]]</f>
        <v>1</v>
      </c>
      <c r="N1157">
        <f>WEEKNUM(orders[[#This Row],[Order Date]])</f>
        <v>7</v>
      </c>
      <c r="O1157" t="str">
        <f>_xlfn.IFS(orders[[#This Row],[Customer Gender]]="M","Male", orders[[#This Row],[Customer Gender]]="F","Female", orders[[#This Row],[Customer Gender]]="O","Other", TRUE,"Unknown")</f>
        <v>Male</v>
      </c>
    </row>
    <row r="1158" spans="1:15">
      <c r="A1158" t="s">
        <v>1255</v>
      </c>
      <c r="B1158" t="s">
        <v>44</v>
      </c>
      <c r="C1158">
        <v>5</v>
      </c>
      <c r="D1158">
        <v>21.6</v>
      </c>
      <c r="E1158">
        <v>108</v>
      </c>
      <c r="F1158" s="1">
        <v>45703</v>
      </c>
      <c r="G1158" s="1">
        <v>45705</v>
      </c>
      <c r="H1158" t="s">
        <v>27</v>
      </c>
      <c r="I1158" t="s">
        <v>18</v>
      </c>
      <c r="J1158">
        <v>5</v>
      </c>
      <c r="K1158" t="s">
        <v>19</v>
      </c>
      <c r="L1158" t="s">
        <v>309</v>
      </c>
      <c r="M1158">
        <f>orders[[#This Row],[Ship Date]]-orders[[#This Row],[Order Date]]</f>
        <v>2</v>
      </c>
      <c r="N1158">
        <f>WEEKNUM(orders[[#This Row],[Order Date]])</f>
        <v>7</v>
      </c>
      <c r="O1158" t="str">
        <f>_xlfn.IFS(orders[[#This Row],[Customer Gender]]="M","Male", orders[[#This Row],[Customer Gender]]="F","Female", orders[[#This Row],[Customer Gender]]="O","Other", TRUE,"Unknown")</f>
        <v>Female</v>
      </c>
    </row>
    <row r="1159" spans="1:15">
      <c r="A1159" t="s">
        <v>1256</v>
      </c>
      <c r="B1159" t="s">
        <v>69</v>
      </c>
      <c r="C1159">
        <v>3</v>
      </c>
      <c r="D1159">
        <v>69</v>
      </c>
      <c r="E1159">
        <v>207</v>
      </c>
      <c r="F1159" s="1">
        <v>45703</v>
      </c>
      <c r="G1159" s="1">
        <v>45704</v>
      </c>
      <c r="H1159" t="s">
        <v>27</v>
      </c>
      <c r="I1159" t="s">
        <v>18</v>
      </c>
      <c r="J1159">
        <v>4</v>
      </c>
      <c r="K1159" t="s">
        <v>19</v>
      </c>
      <c r="L1159" t="s">
        <v>108</v>
      </c>
      <c r="M1159">
        <f>orders[[#This Row],[Ship Date]]-orders[[#This Row],[Order Date]]</f>
        <v>1</v>
      </c>
      <c r="N1159">
        <f>WEEKNUM(orders[[#This Row],[Order Date]])</f>
        <v>7</v>
      </c>
      <c r="O1159" t="str">
        <f>_xlfn.IFS(orders[[#This Row],[Customer Gender]]="M","Male", orders[[#This Row],[Customer Gender]]="F","Female", orders[[#This Row],[Customer Gender]]="O","Other", TRUE,"Unknown")</f>
        <v>Female</v>
      </c>
    </row>
    <row r="1160" spans="1:15">
      <c r="A1160" t="s">
        <v>1257</v>
      </c>
      <c r="B1160" t="s">
        <v>42</v>
      </c>
      <c r="C1160">
        <v>2</v>
      </c>
      <c r="D1160">
        <v>115</v>
      </c>
      <c r="E1160">
        <v>230</v>
      </c>
      <c r="F1160" s="1">
        <v>45703</v>
      </c>
      <c r="G1160" s="1">
        <v>45707</v>
      </c>
      <c r="H1160" t="s">
        <v>23</v>
      </c>
      <c r="I1160" t="s">
        <v>18</v>
      </c>
      <c r="J1160">
        <v>5</v>
      </c>
      <c r="K1160" t="s">
        <v>19</v>
      </c>
      <c r="L1160" t="s">
        <v>108</v>
      </c>
      <c r="M1160">
        <f>orders[[#This Row],[Ship Date]]-orders[[#This Row],[Order Date]]</f>
        <v>4</v>
      </c>
      <c r="N1160">
        <f>WEEKNUM(orders[[#This Row],[Order Date]])</f>
        <v>7</v>
      </c>
      <c r="O1160" t="str">
        <f>_xlfn.IFS(orders[[#This Row],[Customer Gender]]="M","Male", orders[[#This Row],[Customer Gender]]="F","Female", orders[[#This Row],[Customer Gender]]="O","Other", TRUE,"Unknown")</f>
        <v>Male</v>
      </c>
    </row>
    <row r="1161" spans="1:15">
      <c r="A1161" t="s">
        <v>1258</v>
      </c>
      <c r="B1161" t="s">
        <v>26</v>
      </c>
      <c r="C1161">
        <v>2</v>
      </c>
      <c r="D1161">
        <v>109.3</v>
      </c>
      <c r="E1161">
        <v>218.6</v>
      </c>
      <c r="F1161" s="1">
        <v>45703</v>
      </c>
      <c r="G1161" s="1">
        <v>45705</v>
      </c>
      <c r="H1161" t="s">
        <v>17</v>
      </c>
      <c r="I1161" t="s">
        <v>51</v>
      </c>
      <c r="J1161">
        <v>3</v>
      </c>
      <c r="K1161" t="s">
        <v>19</v>
      </c>
      <c r="L1161" t="s">
        <v>110</v>
      </c>
      <c r="M1161">
        <f>orders[[#This Row],[Ship Date]]-orders[[#This Row],[Order Date]]</f>
        <v>2</v>
      </c>
      <c r="N1161">
        <f>WEEKNUM(orders[[#This Row],[Order Date]])</f>
        <v>7</v>
      </c>
      <c r="O1161" t="str">
        <f>_xlfn.IFS(orders[[#This Row],[Customer Gender]]="M","Male", orders[[#This Row],[Customer Gender]]="F","Female", orders[[#This Row],[Customer Gender]]="O","Other", TRUE,"Unknown")</f>
        <v>Unknown</v>
      </c>
    </row>
    <row r="1162" spans="1:15">
      <c r="A1162" t="s">
        <v>1259</v>
      </c>
      <c r="B1162" t="s">
        <v>46</v>
      </c>
      <c r="C1162">
        <v>2</v>
      </c>
      <c r="D1162">
        <v>66.599999999999994</v>
      </c>
      <c r="E1162">
        <v>133.19999999999999</v>
      </c>
      <c r="F1162" s="1">
        <v>45703</v>
      </c>
      <c r="G1162" s="1">
        <v>45706</v>
      </c>
      <c r="H1162" t="s">
        <v>17</v>
      </c>
      <c r="I1162" t="s">
        <v>70</v>
      </c>
      <c r="J1162">
        <v>3</v>
      </c>
      <c r="K1162" t="s">
        <v>19</v>
      </c>
      <c r="L1162" t="s">
        <v>110</v>
      </c>
      <c r="M1162">
        <f>orders[[#This Row],[Ship Date]]-orders[[#This Row],[Order Date]]</f>
        <v>3</v>
      </c>
      <c r="N1162">
        <f>WEEKNUM(orders[[#This Row],[Order Date]])</f>
        <v>7</v>
      </c>
      <c r="O1162" t="str">
        <f>_xlfn.IFS(orders[[#This Row],[Customer Gender]]="M","Male", orders[[#This Row],[Customer Gender]]="F","Female", orders[[#This Row],[Customer Gender]]="O","Other", TRUE,"Unknown")</f>
        <v>Unknown</v>
      </c>
    </row>
    <row r="1163" spans="1:15">
      <c r="A1163" t="s">
        <v>1260</v>
      </c>
      <c r="B1163" t="s">
        <v>69</v>
      </c>
      <c r="C1163">
        <v>5</v>
      </c>
      <c r="D1163">
        <v>47.7</v>
      </c>
      <c r="E1163">
        <v>238.5</v>
      </c>
      <c r="F1163" s="1">
        <v>45703</v>
      </c>
      <c r="G1163" s="1">
        <v>45704</v>
      </c>
      <c r="H1163" t="s">
        <v>23</v>
      </c>
      <c r="I1163" t="s">
        <v>51</v>
      </c>
      <c r="J1163">
        <v>5</v>
      </c>
      <c r="K1163" t="s">
        <v>19</v>
      </c>
      <c r="L1163" t="s">
        <v>115</v>
      </c>
      <c r="M1163">
        <f>orders[[#This Row],[Ship Date]]-orders[[#This Row],[Order Date]]</f>
        <v>1</v>
      </c>
      <c r="N1163">
        <f>WEEKNUM(orders[[#This Row],[Order Date]])</f>
        <v>7</v>
      </c>
      <c r="O1163" t="str">
        <f>_xlfn.IFS(orders[[#This Row],[Customer Gender]]="M","Male", orders[[#This Row],[Customer Gender]]="F","Female", orders[[#This Row],[Customer Gender]]="O","Other", TRUE,"Unknown")</f>
        <v>Male</v>
      </c>
    </row>
    <row r="1164" spans="1:15">
      <c r="A1164" t="s">
        <v>1261</v>
      </c>
      <c r="B1164" t="s">
        <v>44</v>
      </c>
      <c r="C1164">
        <v>2</v>
      </c>
      <c r="D1164">
        <v>46</v>
      </c>
      <c r="E1164">
        <v>92</v>
      </c>
      <c r="F1164" s="1">
        <v>45703</v>
      </c>
      <c r="G1164" s="1">
        <v>45704</v>
      </c>
      <c r="H1164" t="s">
        <v>27</v>
      </c>
      <c r="I1164" t="s">
        <v>70</v>
      </c>
      <c r="J1164">
        <v>2</v>
      </c>
      <c r="K1164" t="s">
        <v>19</v>
      </c>
      <c r="L1164" t="s">
        <v>147</v>
      </c>
      <c r="M1164">
        <f>orders[[#This Row],[Ship Date]]-orders[[#This Row],[Order Date]]</f>
        <v>1</v>
      </c>
      <c r="N1164">
        <f>WEEKNUM(orders[[#This Row],[Order Date]])</f>
        <v>7</v>
      </c>
      <c r="O1164" t="str">
        <f>_xlfn.IFS(orders[[#This Row],[Customer Gender]]="M","Male", orders[[#This Row],[Customer Gender]]="F","Female", orders[[#This Row],[Customer Gender]]="O","Other", TRUE,"Unknown")</f>
        <v>Female</v>
      </c>
    </row>
    <row r="1165" spans="1:15">
      <c r="A1165" t="s">
        <v>1262</v>
      </c>
      <c r="B1165" t="s">
        <v>22</v>
      </c>
      <c r="C1165">
        <v>6</v>
      </c>
      <c r="D1165">
        <v>39.299999999999997</v>
      </c>
      <c r="E1165">
        <v>235.79999999999998</v>
      </c>
      <c r="F1165" s="1">
        <v>45703</v>
      </c>
      <c r="G1165" s="1">
        <v>45705</v>
      </c>
      <c r="H1165" t="s">
        <v>23</v>
      </c>
      <c r="I1165" t="s">
        <v>51</v>
      </c>
      <c r="J1165">
        <v>5</v>
      </c>
      <c r="K1165" t="s">
        <v>19</v>
      </c>
      <c r="L1165" t="s">
        <v>33</v>
      </c>
      <c r="M1165">
        <f>orders[[#This Row],[Ship Date]]-orders[[#This Row],[Order Date]]</f>
        <v>2</v>
      </c>
      <c r="N1165">
        <f>WEEKNUM(orders[[#This Row],[Order Date]])</f>
        <v>7</v>
      </c>
      <c r="O1165" t="str">
        <f>_xlfn.IFS(orders[[#This Row],[Customer Gender]]="M","Male", orders[[#This Row],[Customer Gender]]="F","Female", orders[[#This Row],[Customer Gender]]="O","Other", TRUE,"Unknown")</f>
        <v>Male</v>
      </c>
    </row>
    <row r="1166" spans="1:15">
      <c r="A1166" t="s">
        <v>1263</v>
      </c>
      <c r="B1166" t="s">
        <v>46</v>
      </c>
      <c r="C1166">
        <v>1</v>
      </c>
      <c r="D1166">
        <v>70.2</v>
      </c>
      <c r="E1166">
        <v>70.2</v>
      </c>
      <c r="F1166" s="1">
        <v>45703</v>
      </c>
      <c r="G1166" s="1">
        <v>45704</v>
      </c>
      <c r="H1166" t="s">
        <v>27</v>
      </c>
      <c r="I1166" t="s">
        <v>18</v>
      </c>
      <c r="J1166">
        <v>2</v>
      </c>
      <c r="K1166" t="s">
        <v>19</v>
      </c>
      <c r="L1166" t="s">
        <v>33</v>
      </c>
      <c r="M1166">
        <f>orders[[#This Row],[Ship Date]]-orders[[#This Row],[Order Date]]</f>
        <v>1</v>
      </c>
      <c r="N1166">
        <f>WEEKNUM(orders[[#This Row],[Order Date]])</f>
        <v>7</v>
      </c>
      <c r="O1166" t="str">
        <f>_xlfn.IFS(orders[[#This Row],[Customer Gender]]="M","Male", orders[[#This Row],[Customer Gender]]="F","Female", orders[[#This Row],[Customer Gender]]="O","Other", TRUE,"Unknown")</f>
        <v>Female</v>
      </c>
    </row>
    <row r="1167" spans="1:15">
      <c r="A1167" t="s">
        <v>1264</v>
      </c>
      <c r="B1167" t="s">
        <v>30</v>
      </c>
      <c r="C1167">
        <v>4</v>
      </c>
      <c r="D1167">
        <v>71.5</v>
      </c>
      <c r="E1167">
        <v>286</v>
      </c>
      <c r="F1167" s="1">
        <v>45703</v>
      </c>
      <c r="G1167" s="1">
        <v>45703</v>
      </c>
      <c r="H1167" t="s">
        <v>27</v>
      </c>
      <c r="I1167" t="s">
        <v>35</v>
      </c>
      <c r="J1167">
        <v>5</v>
      </c>
      <c r="K1167" t="s">
        <v>19</v>
      </c>
      <c r="L1167" t="s">
        <v>33</v>
      </c>
      <c r="M1167">
        <f>orders[[#This Row],[Ship Date]]-orders[[#This Row],[Order Date]]</f>
        <v>0</v>
      </c>
      <c r="N1167">
        <f>WEEKNUM(orders[[#This Row],[Order Date]])</f>
        <v>7</v>
      </c>
      <c r="O1167" t="str">
        <f>_xlfn.IFS(orders[[#This Row],[Customer Gender]]="M","Male", orders[[#This Row],[Customer Gender]]="F","Female", orders[[#This Row],[Customer Gender]]="O","Other", TRUE,"Unknown")</f>
        <v>Female</v>
      </c>
    </row>
    <row r="1168" spans="1:15">
      <c r="A1168" t="s">
        <v>1265</v>
      </c>
      <c r="B1168" t="s">
        <v>54</v>
      </c>
      <c r="C1168">
        <v>7</v>
      </c>
      <c r="D1168">
        <v>31</v>
      </c>
      <c r="E1168">
        <v>217</v>
      </c>
      <c r="F1168" s="1">
        <v>45703</v>
      </c>
      <c r="G1168" s="1">
        <v>45710</v>
      </c>
      <c r="H1168" t="s">
        <v>27</v>
      </c>
      <c r="I1168" t="s">
        <v>51</v>
      </c>
      <c r="J1168">
        <v>5</v>
      </c>
      <c r="K1168" t="s">
        <v>19</v>
      </c>
      <c r="L1168" t="s">
        <v>33</v>
      </c>
      <c r="M1168">
        <f>orders[[#This Row],[Ship Date]]-orders[[#This Row],[Order Date]]</f>
        <v>7</v>
      </c>
      <c r="N1168">
        <f>WEEKNUM(orders[[#This Row],[Order Date]])</f>
        <v>7</v>
      </c>
      <c r="O1168" t="str">
        <f>_xlfn.IFS(orders[[#This Row],[Customer Gender]]="M","Male", orders[[#This Row],[Customer Gender]]="F","Female", orders[[#This Row],[Customer Gender]]="O","Other", TRUE,"Unknown")</f>
        <v>Female</v>
      </c>
    </row>
    <row r="1169" spans="1:15">
      <c r="A1169" t="s">
        <v>1266</v>
      </c>
      <c r="B1169" t="s">
        <v>26</v>
      </c>
      <c r="C1169">
        <v>5</v>
      </c>
      <c r="D1169">
        <v>68.2</v>
      </c>
      <c r="E1169">
        <v>341</v>
      </c>
      <c r="F1169" s="1">
        <v>45703</v>
      </c>
      <c r="G1169" s="1">
        <v>45708</v>
      </c>
      <c r="H1169" t="s">
        <v>27</v>
      </c>
      <c r="I1169" t="s">
        <v>18</v>
      </c>
      <c r="J1169">
        <v>5</v>
      </c>
      <c r="K1169" t="s">
        <v>19</v>
      </c>
      <c r="L1169" t="s">
        <v>33</v>
      </c>
      <c r="M1169">
        <f>orders[[#This Row],[Ship Date]]-orders[[#This Row],[Order Date]]</f>
        <v>5</v>
      </c>
      <c r="N1169">
        <f>WEEKNUM(orders[[#This Row],[Order Date]])</f>
        <v>7</v>
      </c>
      <c r="O1169" t="str">
        <f>_xlfn.IFS(orders[[#This Row],[Customer Gender]]="M","Male", orders[[#This Row],[Customer Gender]]="F","Female", orders[[#This Row],[Customer Gender]]="O","Other", TRUE,"Unknown")</f>
        <v>Female</v>
      </c>
    </row>
    <row r="1170" spans="1:15">
      <c r="A1170" t="s">
        <v>1267</v>
      </c>
      <c r="B1170" t="s">
        <v>26</v>
      </c>
      <c r="C1170">
        <v>1</v>
      </c>
      <c r="D1170">
        <v>91.4</v>
      </c>
      <c r="E1170">
        <v>91.4</v>
      </c>
      <c r="F1170" s="1">
        <v>45703</v>
      </c>
      <c r="G1170" s="1">
        <v>45707</v>
      </c>
      <c r="H1170" t="s">
        <v>27</v>
      </c>
      <c r="I1170" t="s">
        <v>35</v>
      </c>
      <c r="J1170">
        <v>5</v>
      </c>
      <c r="K1170" t="s">
        <v>19</v>
      </c>
      <c r="L1170" t="s">
        <v>55</v>
      </c>
      <c r="M1170">
        <f>orders[[#This Row],[Ship Date]]-orders[[#This Row],[Order Date]]</f>
        <v>4</v>
      </c>
      <c r="N1170">
        <f>WEEKNUM(orders[[#This Row],[Order Date]])</f>
        <v>7</v>
      </c>
      <c r="O1170" t="str">
        <f>_xlfn.IFS(orders[[#This Row],[Customer Gender]]="M","Male", orders[[#This Row],[Customer Gender]]="F","Female", orders[[#This Row],[Customer Gender]]="O","Other", TRUE,"Unknown")</f>
        <v>Female</v>
      </c>
    </row>
    <row r="1171" spans="1:15">
      <c r="A1171" t="s">
        <v>1268</v>
      </c>
      <c r="B1171" t="s">
        <v>39</v>
      </c>
      <c r="C1171">
        <v>10</v>
      </c>
      <c r="D1171">
        <v>112.9</v>
      </c>
      <c r="E1171">
        <v>1129</v>
      </c>
      <c r="F1171" s="1">
        <v>45703</v>
      </c>
      <c r="G1171" s="1">
        <v>45704</v>
      </c>
      <c r="H1171" t="s">
        <v>27</v>
      </c>
      <c r="I1171" t="s">
        <v>18</v>
      </c>
      <c r="J1171">
        <v>4</v>
      </c>
      <c r="K1171" t="s">
        <v>19</v>
      </c>
      <c r="L1171" t="s">
        <v>55</v>
      </c>
      <c r="M1171">
        <f>orders[[#This Row],[Ship Date]]-orders[[#This Row],[Order Date]]</f>
        <v>1</v>
      </c>
      <c r="N1171">
        <f>WEEKNUM(orders[[#This Row],[Order Date]])</f>
        <v>7</v>
      </c>
      <c r="O1171" t="str">
        <f>_xlfn.IFS(orders[[#This Row],[Customer Gender]]="M","Male", orders[[#This Row],[Customer Gender]]="F","Female", orders[[#This Row],[Customer Gender]]="O","Other", TRUE,"Unknown")</f>
        <v>Female</v>
      </c>
    </row>
    <row r="1172" spans="1:15">
      <c r="A1172" t="s">
        <v>1269</v>
      </c>
      <c r="B1172" t="s">
        <v>135</v>
      </c>
      <c r="C1172">
        <v>9</v>
      </c>
      <c r="D1172">
        <v>33.700000000000003</v>
      </c>
      <c r="E1172">
        <v>303.3</v>
      </c>
      <c r="F1172" s="1">
        <v>45703</v>
      </c>
      <c r="G1172" s="1">
        <v>45704</v>
      </c>
      <c r="H1172" t="s">
        <v>27</v>
      </c>
      <c r="I1172" t="s">
        <v>35</v>
      </c>
      <c r="J1172">
        <v>5</v>
      </c>
      <c r="K1172" t="s">
        <v>19</v>
      </c>
      <c r="L1172" t="s">
        <v>62</v>
      </c>
      <c r="M1172">
        <f>orders[[#This Row],[Ship Date]]-orders[[#This Row],[Order Date]]</f>
        <v>1</v>
      </c>
      <c r="N1172">
        <f>WEEKNUM(orders[[#This Row],[Order Date]])</f>
        <v>7</v>
      </c>
      <c r="O1172" t="str">
        <f>_xlfn.IFS(orders[[#This Row],[Customer Gender]]="M","Male", orders[[#This Row],[Customer Gender]]="F","Female", orders[[#This Row],[Customer Gender]]="O","Other", TRUE,"Unknown")</f>
        <v>Female</v>
      </c>
    </row>
    <row r="1173" spans="1:15">
      <c r="A1173" t="s">
        <v>1270</v>
      </c>
      <c r="B1173" t="s">
        <v>123</v>
      </c>
      <c r="C1173">
        <v>10</v>
      </c>
      <c r="D1173">
        <v>35.299999999999997</v>
      </c>
      <c r="E1173">
        <v>353</v>
      </c>
      <c r="F1173" s="1">
        <v>45703</v>
      </c>
      <c r="G1173" s="1">
        <v>45705</v>
      </c>
      <c r="H1173" t="s">
        <v>23</v>
      </c>
      <c r="I1173" t="s">
        <v>40</v>
      </c>
      <c r="J1173">
        <v>4</v>
      </c>
      <c r="K1173" t="s">
        <v>19</v>
      </c>
      <c r="L1173" t="s">
        <v>62</v>
      </c>
      <c r="M1173">
        <f>orders[[#This Row],[Ship Date]]-orders[[#This Row],[Order Date]]</f>
        <v>2</v>
      </c>
      <c r="N1173">
        <f>WEEKNUM(orders[[#This Row],[Order Date]])</f>
        <v>7</v>
      </c>
      <c r="O1173" t="str">
        <f>_xlfn.IFS(orders[[#This Row],[Customer Gender]]="M","Male", orders[[#This Row],[Customer Gender]]="F","Female", orders[[#This Row],[Customer Gender]]="O","Other", TRUE,"Unknown")</f>
        <v>Male</v>
      </c>
    </row>
    <row r="1174" spans="1:15">
      <c r="A1174" t="s">
        <v>1271</v>
      </c>
      <c r="B1174" t="s">
        <v>146</v>
      </c>
      <c r="C1174">
        <v>3</v>
      </c>
      <c r="D1174">
        <v>45.6</v>
      </c>
      <c r="E1174">
        <v>136.80000000000001</v>
      </c>
      <c r="F1174" s="1">
        <v>45703</v>
      </c>
      <c r="G1174" s="1">
        <v>45707</v>
      </c>
      <c r="H1174" t="s">
        <v>23</v>
      </c>
      <c r="I1174" t="s">
        <v>51</v>
      </c>
      <c r="J1174">
        <v>4</v>
      </c>
      <c r="K1174" t="s">
        <v>19</v>
      </c>
      <c r="L1174" t="s">
        <v>62</v>
      </c>
      <c r="M1174">
        <f>orders[[#This Row],[Ship Date]]-orders[[#This Row],[Order Date]]</f>
        <v>4</v>
      </c>
      <c r="N1174">
        <f>WEEKNUM(orders[[#This Row],[Order Date]])</f>
        <v>7</v>
      </c>
      <c r="O1174" t="str">
        <f>_xlfn.IFS(orders[[#This Row],[Customer Gender]]="M","Male", orders[[#This Row],[Customer Gender]]="F","Female", orders[[#This Row],[Customer Gender]]="O","Other", TRUE,"Unknown")</f>
        <v>Male</v>
      </c>
    </row>
    <row r="1175" spans="1:15">
      <c r="A1175" t="s">
        <v>1272</v>
      </c>
      <c r="B1175" t="s">
        <v>42</v>
      </c>
      <c r="C1175">
        <v>7</v>
      </c>
      <c r="D1175">
        <v>47.1</v>
      </c>
      <c r="E1175">
        <v>329.7</v>
      </c>
      <c r="F1175" s="1">
        <v>45703</v>
      </c>
      <c r="G1175" s="1">
        <v>45704</v>
      </c>
      <c r="H1175" t="s">
        <v>27</v>
      </c>
      <c r="I1175" t="s">
        <v>70</v>
      </c>
      <c r="J1175">
        <v>5</v>
      </c>
      <c r="K1175" t="s">
        <v>19</v>
      </c>
      <c r="L1175" t="s">
        <v>72</v>
      </c>
      <c r="M1175">
        <f>orders[[#This Row],[Ship Date]]-orders[[#This Row],[Order Date]]</f>
        <v>1</v>
      </c>
      <c r="N1175">
        <f>WEEKNUM(orders[[#This Row],[Order Date]])</f>
        <v>7</v>
      </c>
      <c r="O1175" t="str">
        <f>_xlfn.IFS(orders[[#This Row],[Customer Gender]]="M","Male", orders[[#This Row],[Customer Gender]]="F","Female", orders[[#This Row],[Customer Gender]]="O","Other", TRUE,"Unknown")</f>
        <v>Female</v>
      </c>
    </row>
    <row r="1176" spans="1:15">
      <c r="A1176" t="s">
        <v>1273</v>
      </c>
      <c r="B1176" t="s">
        <v>44</v>
      </c>
      <c r="C1176">
        <v>5</v>
      </c>
      <c r="D1176">
        <v>16.2</v>
      </c>
      <c r="E1176">
        <v>81</v>
      </c>
      <c r="F1176" s="1">
        <v>45703</v>
      </c>
      <c r="G1176" s="1">
        <v>45705</v>
      </c>
      <c r="H1176" t="s">
        <v>27</v>
      </c>
      <c r="I1176" t="s">
        <v>51</v>
      </c>
      <c r="J1176">
        <v>5</v>
      </c>
      <c r="K1176" t="s">
        <v>19</v>
      </c>
      <c r="L1176" t="s">
        <v>110</v>
      </c>
      <c r="M1176">
        <f>orders[[#This Row],[Ship Date]]-orders[[#This Row],[Order Date]]</f>
        <v>2</v>
      </c>
      <c r="N1176">
        <f>WEEKNUM(orders[[#This Row],[Order Date]])</f>
        <v>7</v>
      </c>
      <c r="O1176" t="str">
        <f>_xlfn.IFS(orders[[#This Row],[Customer Gender]]="M","Male", orders[[#This Row],[Customer Gender]]="F","Female", orders[[#This Row],[Customer Gender]]="O","Other", TRUE,"Unknown")</f>
        <v>Female</v>
      </c>
    </row>
    <row r="1177" spans="1:15">
      <c r="A1177" t="s">
        <v>1274</v>
      </c>
      <c r="B1177" t="s">
        <v>22</v>
      </c>
      <c r="C1177">
        <v>2</v>
      </c>
      <c r="D1177">
        <v>159.69999999999999</v>
      </c>
      <c r="E1177">
        <v>319.39999999999998</v>
      </c>
      <c r="F1177" s="1">
        <v>45704</v>
      </c>
      <c r="G1177" s="1">
        <v>45705</v>
      </c>
      <c r="H1177" t="s">
        <v>23</v>
      </c>
      <c r="I1177" t="s">
        <v>70</v>
      </c>
      <c r="J1177">
        <v>4</v>
      </c>
      <c r="K1177" t="s">
        <v>19</v>
      </c>
      <c r="L1177" t="s">
        <v>82</v>
      </c>
      <c r="M1177">
        <f>orders[[#This Row],[Ship Date]]-orders[[#This Row],[Order Date]]</f>
        <v>1</v>
      </c>
      <c r="N1177">
        <f>WEEKNUM(orders[[#This Row],[Order Date]])</f>
        <v>8</v>
      </c>
      <c r="O1177" t="str">
        <f>_xlfn.IFS(orders[[#This Row],[Customer Gender]]="M","Male", orders[[#This Row],[Customer Gender]]="F","Female", orders[[#This Row],[Customer Gender]]="O","Other", TRUE,"Unknown")</f>
        <v>Male</v>
      </c>
    </row>
    <row r="1178" spans="1:15">
      <c r="A1178" t="s">
        <v>1275</v>
      </c>
      <c r="B1178" t="s">
        <v>44</v>
      </c>
      <c r="C1178">
        <v>4</v>
      </c>
      <c r="D1178">
        <v>19</v>
      </c>
      <c r="E1178">
        <v>76</v>
      </c>
      <c r="F1178" s="1">
        <v>45704</v>
      </c>
      <c r="G1178" s="1">
        <v>45711</v>
      </c>
      <c r="H1178" t="s">
        <v>27</v>
      </c>
      <c r="I1178" t="s">
        <v>40</v>
      </c>
      <c r="J1178">
        <v>5</v>
      </c>
      <c r="K1178" t="s">
        <v>19</v>
      </c>
      <c r="L1178" t="s">
        <v>115</v>
      </c>
      <c r="M1178">
        <f>orders[[#This Row],[Ship Date]]-orders[[#This Row],[Order Date]]</f>
        <v>7</v>
      </c>
      <c r="N1178">
        <f>WEEKNUM(orders[[#This Row],[Order Date]])</f>
        <v>8</v>
      </c>
      <c r="O1178" t="str">
        <f>_xlfn.IFS(orders[[#This Row],[Customer Gender]]="M","Male", orders[[#This Row],[Customer Gender]]="F","Female", orders[[#This Row],[Customer Gender]]="O","Other", TRUE,"Unknown")</f>
        <v>Female</v>
      </c>
    </row>
    <row r="1179" spans="1:15">
      <c r="A1179" t="s">
        <v>1276</v>
      </c>
      <c r="B1179" t="s">
        <v>39</v>
      </c>
      <c r="C1179">
        <v>6</v>
      </c>
      <c r="D1179">
        <v>91.1</v>
      </c>
      <c r="E1179">
        <v>546.59999999999991</v>
      </c>
      <c r="F1179" s="1">
        <v>45704</v>
      </c>
      <c r="G1179" s="1">
        <v>45713</v>
      </c>
      <c r="H1179" t="s">
        <v>27</v>
      </c>
      <c r="I1179" t="s">
        <v>70</v>
      </c>
      <c r="J1179">
        <v>4</v>
      </c>
      <c r="K1179" t="s">
        <v>19</v>
      </c>
      <c r="L1179" t="s">
        <v>115</v>
      </c>
      <c r="M1179">
        <f>orders[[#This Row],[Ship Date]]-orders[[#This Row],[Order Date]]</f>
        <v>9</v>
      </c>
      <c r="N1179">
        <f>WEEKNUM(orders[[#This Row],[Order Date]])</f>
        <v>8</v>
      </c>
      <c r="O1179" t="str">
        <f>_xlfn.IFS(orders[[#This Row],[Customer Gender]]="M","Male", orders[[#This Row],[Customer Gender]]="F","Female", orders[[#This Row],[Customer Gender]]="O","Other", TRUE,"Unknown")</f>
        <v>Female</v>
      </c>
    </row>
    <row r="1180" spans="1:15">
      <c r="A1180" t="s">
        <v>1277</v>
      </c>
      <c r="B1180" t="s">
        <v>26</v>
      </c>
      <c r="C1180">
        <v>5</v>
      </c>
      <c r="D1180">
        <v>94.1</v>
      </c>
      <c r="E1180">
        <v>470.5</v>
      </c>
      <c r="F1180" s="1">
        <v>45704</v>
      </c>
      <c r="G1180" s="1">
        <v>45707</v>
      </c>
      <c r="H1180" t="s">
        <v>17</v>
      </c>
      <c r="I1180" t="s">
        <v>35</v>
      </c>
      <c r="J1180">
        <v>3</v>
      </c>
      <c r="K1180" t="s">
        <v>19</v>
      </c>
      <c r="L1180" t="s">
        <v>115</v>
      </c>
      <c r="M1180">
        <f>orders[[#This Row],[Ship Date]]-orders[[#This Row],[Order Date]]</f>
        <v>3</v>
      </c>
      <c r="N1180">
        <f>WEEKNUM(orders[[#This Row],[Order Date]])</f>
        <v>8</v>
      </c>
      <c r="O1180" t="str">
        <f>_xlfn.IFS(orders[[#This Row],[Customer Gender]]="M","Male", orders[[#This Row],[Customer Gender]]="F","Female", orders[[#This Row],[Customer Gender]]="O","Other", TRUE,"Unknown")</f>
        <v>Unknown</v>
      </c>
    </row>
    <row r="1181" spans="1:15">
      <c r="A1181" t="s">
        <v>1278</v>
      </c>
      <c r="B1181" t="s">
        <v>46</v>
      </c>
      <c r="C1181">
        <v>9</v>
      </c>
      <c r="D1181">
        <v>21.1</v>
      </c>
      <c r="E1181">
        <v>189.9</v>
      </c>
      <c r="F1181" s="1">
        <v>45704</v>
      </c>
      <c r="G1181" s="1">
        <v>45705</v>
      </c>
      <c r="H1181" t="s">
        <v>27</v>
      </c>
      <c r="I1181" t="s">
        <v>70</v>
      </c>
      <c r="J1181">
        <v>5</v>
      </c>
      <c r="K1181" t="s">
        <v>19</v>
      </c>
      <c r="L1181" t="s">
        <v>967</v>
      </c>
      <c r="M1181">
        <f>orders[[#This Row],[Ship Date]]-orders[[#This Row],[Order Date]]</f>
        <v>1</v>
      </c>
      <c r="N1181">
        <f>WEEKNUM(orders[[#This Row],[Order Date]])</f>
        <v>8</v>
      </c>
      <c r="O1181" t="str">
        <f>_xlfn.IFS(orders[[#This Row],[Customer Gender]]="M","Male", orders[[#This Row],[Customer Gender]]="F","Female", orders[[#This Row],[Customer Gender]]="O","Other", TRUE,"Unknown")</f>
        <v>Female</v>
      </c>
    </row>
    <row r="1182" spans="1:15">
      <c r="A1182" t="s">
        <v>1279</v>
      </c>
      <c r="B1182" t="s">
        <v>44</v>
      </c>
      <c r="C1182">
        <v>7</v>
      </c>
      <c r="D1182">
        <v>15.3</v>
      </c>
      <c r="E1182">
        <v>107.10000000000001</v>
      </c>
      <c r="F1182" s="1">
        <v>45704</v>
      </c>
      <c r="G1182" s="1">
        <v>45712</v>
      </c>
      <c r="H1182" t="s">
        <v>27</v>
      </c>
      <c r="I1182" t="s">
        <v>40</v>
      </c>
      <c r="J1182">
        <v>4</v>
      </c>
      <c r="K1182" t="s">
        <v>19</v>
      </c>
      <c r="L1182" t="s">
        <v>24</v>
      </c>
      <c r="M1182">
        <f>orders[[#This Row],[Ship Date]]-orders[[#This Row],[Order Date]]</f>
        <v>8</v>
      </c>
      <c r="N1182">
        <f>WEEKNUM(orders[[#This Row],[Order Date]])</f>
        <v>8</v>
      </c>
      <c r="O1182" t="str">
        <f>_xlfn.IFS(orders[[#This Row],[Customer Gender]]="M","Male", orders[[#This Row],[Customer Gender]]="F","Female", orders[[#This Row],[Customer Gender]]="O","Other", TRUE,"Unknown")</f>
        <v>Female</v>
      </c>
    </row>
    <row r="1183" spans="1:15">
      <c r="A1183" t="s">
        <v>1280</v>
      </c>
      <c r="B1183" t="s">
        <v>123</v>
      </c>
      <c r="C1183">
        <v>4</v>
      </c>
      <c r="D1183">
        <v>21.3</v>
      </c>
      <c r="E1183">
        <v>85.2</v>
      </c>
      <c r="F1183" s="1">
        <v>45704</v>
      </c>
      <c r="G1183" s="1">
        <v>45707</v>
      </c>
      <c r="H1183" t="s">
        <v>23</v>
      </c>
      <c r="I1183" t="s">
        <v>35</v>
      </c>
      <c r="J1183">
        <v>4</v>
      </c>
      <c r="K1183" t="s">
        <v>19</v>
      </c>
      <c r="L1183" t="s">
        <v>33</v>
      </c>
      <c r="M1183">
        <f>orders[[#This Row],[Ship Date]]-orders[[#This Row],[Order Date]]</f>
        <v>3</v>
      </c>
      <c r="N1183">
        <f>WEEKNUM(orders[[#This Row],[Order Date]])</f>
        <v>8</v>
      </c>
      <c r="O1183" t="str">
        <f>_xlfn.IFS(orders[[#This Row],[Customer Gender]]="M","Male", orders[[#This Row],[Customer Gender]]="F","Female", orders[[#This Row],[Customer Gender]]="O","Other", TRUE,"Unknown")</f>
        <v>Male</v>
      </c>
    </row>
    <row r="1184" spans="1:15">
      <c r="A1184" t="s">
        <v>1281</v>
      </c>
      <c r="B1184" t="s">
        <v>16</v>
      </c>
      <c r="C1184">
        <v>2</v>
      </c>
      <c r="D1184">
        <v>23.2</v>
      </c>
      <c r="E1184">
        <v>46.4</v>
      </c>
      <c r="F1184" s="1">
        <v>45704</v>
      </c>
      <c r="G1184" s="1">
        <v>45704</v>
      </c>
      <c r="H1184" t="s">
        <v>17</v>
      </c>
      <c r="I1184" t="s">
        <v>51</v>
      </c>
      <c r="J1184">
        <v>3</v>
      </c>
      <c r="K1184" t="s">
        <v>19</v>
      </c>
      <c r="L1184" t="s">
        <v>33</v>
      </c>
      <c r="M1184">
        <f>orders[[#This Row],[Ship Date]]-orders[[#This Row],[Order Date]]</f>
        <v>0</v>
      </c>
      <c r="N1184">
        <f>WEEKNUM(orders[[#This Row],[Order Date]])</f>
        <v>8</v>
      </c>
      <c r="O1184" t="str">
        <f>_xlfn.IFS(orders[[#This Row],[Customer Gender]]="M","Male", orders[[#This Row],[Customer Gender]]="F","Female", orders[[#This Row],[Customer Gender]]="O","Other", TRUE,"Unknown")</f>
        <v>Unknown</v>
      </c>
    </row>
    <row r="1185" spans="1:15">
      <c r="A1185" t="s">
        <v>1282</v>
      </c>
      <c r="B1185" t="s">
        <v>32</v>
      </c>
      <c r="C1185">
        <v>3</v>
      </c>
      <c r="D1185">
        <v>25.7</v>
      </c>
      <c r="E1185">
        <v>77.099999999999994</v>
      </c>
      <c r="F1185" s="1">
        <v>45704</v>
      </c>
      <c r="G1185" s="1">
        <v>45705</v>
      </c>
      <c r="H1185" t="s">
        <v>23</v>
      </c>
      <c r="I1185" t="s">
        <v>70</v>
      </c>
      <c r="J1185">
        <v>4</v>
      </c>
      <c r="K1185" t="s">
        <v>19</v>
      </c>
      <c r="L1185" t="s">
        <v>33</v>
      </c>
      <c r="M1185">
        <f>orders[[#This Row],[Ship Date]]-orders[[#This Row],[Order Date]]</f>
        <v>1</v>
      </c>
      <c r="N1185">
        <f>WEEKNUM(orders[[#This Row],[Order Date]])</f>
        <v>8</v>
      </c>
      <c r="O1185" t="str">
        <f>_xlfn.IFS(orders[[#This Row],[Customer Gender]]="M","Male", orders[[#This Row],[Customer Gender]]="F","Female", orders[[#This Row],[Customer Gender]]="O","Other", TRUE,"Unknown")</f>
        <v>Male</v>
      </c>
    </row>
    <row r="1186" spans="1:15">
      <c r="A1186" t="s">
        <v>1283</v>
      </c>
      <c r="B1186" t="s">
        <v>16</v>
      </c>
      <c r="C1186">
        <v>9</v>
      </c>
      <c r="D1186">
        <v>31.6</v>
      </c>
      <c r="E1186">
        <v>284.40000000000003</v>
      </c>
      <c r="F1186" s="1">
        <v>45704</v>
      </c>
      <c r="G1186" s="1">
        <v>45706</v>
      </c>
      <c r="H1186" t="s">
        <v>27</v>
      </c>
      <c r="I1186" t="s">
        <v>18</v>
      </c>
      <c r="J1186">
        <v>4</v>
      </c>
      <c r="K1186" t="s">
        <v>19</v>
      </c>
      <c r="L1186" t="s">
        <v>33</v>
      </c>
      <c r="M1186">
        <f>orders[[#This Row],[Ship Date]]-orders[[#This Row],[Order Date]]</f>
        <v>2</v>
      </c>
      <c r="N1186">
        <f>WEEKNUM(orders[[#This Row],[Order Date]])</f>
        <v>8</v>
      </c>
      <c r="O1186" t="str">
        <f>_xlfn.IFS(orders[[#This Row],[Customer Gender]]="M","Male", orders[[#This Row],[Customer Gender]]="F","Female", orders[[#This Row],[Customer Gender]]="O","Other", TRUE,"Unknown")</f>
        <v>Female</v>
      </c>
    </row>
    <row r="1187" spans="1:15">
      <c r="A1187" t="s">
        <v>1284</v>
      </c>
      <c r="B1187" t="s">
        <v>39</v>
      </c>
      <c r="C1187">
        <v>1</v>
      </c>
      <c r="D1187">
        <v>64.2</v>
      </c>
      <c r="E1187">
        <v>64.2</v>
      </c>
      <c r="F1187" s="1">
        <v>45704</v>
      </c>
      <c r="G1187" s="1">
        <v>45709</v>
      </c>
      <c r="H1187" t="s">
        <v>23</v>
      </c>
      <c r="I1187" t="s">
        <v>18</v>
      </c>
      <c r="J1187">
        <v>4</v>
      </c>
      <c r="K1187" t="s">
        <v>19</v>
      </c>
      <c r="L1187" t="s">
        <v>33</v>
      </c>
      <c r="M1187">
        <f>orders[[#This Row],[Ship Date]]-orders[[#This Row],[Order Date]]</f>
        <v>5</v>
      </c>
      <c r="N1187">
        <f>WEEKNUM(orders[[#This Row],[Order Date]])</f>
        <v>8</v>
      </c>
      <c r="O1187" t="str">
        <f>_xlfn.IFS(orders[[#This Row],[Customer Gender]]="M","Male", orders[[#This Row],[Customer Gender]]="F","Female", orders[[#This Row],[Customer Gender]]="O","Other", TRUE,"Unknown")</f>
        <v>Male</v>
      </c>
    </row>
    <row r="1188" spans="1:15">
      <c r="A1188" t="s">
        <v>1285</v>
      </c>
      <c r="B1188" t="s">
        <v>44</v>
      </c>
      <c r="C1188">
        <v>2</v>
      </c>
      <c r="D1188">
        <v>55.8</v>
      </c>
      <c r="E1188">
        <v>111.6</v>
      </c>
      <c r="F1188" s="1">
        <v>45704</v>
      </c>
      <c r="G1188" s="1">
        <v>45706</v>
      </c>
      <c r="H1188" t="s">
        <v>17</v>
      </c>
      <c r="I1188" t="s">
        <v>18</v>
      </c>
      <c r="J1188">
        <v>4</v>
      </c>
      <c r="K1188" t="s">
        <v>19</v>
      </c>
      <c r="L1188" t="s">
        <v>33</v>
      </c>
      <c r="M1188">
        <f>orders[[#This Row],[Ship Date]]-orders[[#This Row],[Order Date]]</f>
        <v>2</v>
      </c>
      <c r="N1188">
        <f>WEEKNUM(orders[[#This Row],[Order Date]])</f>
        <v>8</v>
      </c>
      <c r="O1188" t="str">
        <f>_xlfn.IFS(orders[[#This Row],[Customer Gender]]="M","Male", orders[[#This Row],[Customer Gender]]="F","Female", orders[[#This Row],[Customer Gender]]="O","Other", TRUE,"Unknown")</f>
        <v>Unknown</v>
      </c>
    </row>
    <row r="1189" spans="1:15">
      <c r="A1189" t="s">
        <v>1286</v>
      </c>
      <c r="B1189" t="s">
        <v>44</v>
      </c>
      <c r="C1189">
        <v>2</v>
      </c>
      <c r="D1189">
        <v>28.1</v>
      </c>
      <c r="E1189">
        <v>56.2</v>
      </c>
      <c r="F1189" s="1">
        <v>45704</v>
      </c>
      <c r="G1189" s="1">
        <v>45705</v>
      </c>
      <c r="H1189" t="s">
        <v>27</v>
      </c>
      <c r="I1189" t="s">
        <v>70</v>
      </c>
      <c r="J1189">
        <v>3</v>
      </c>
      <c r="K1189" t="s">
        <v>19</v>
      </c>
      <c r="L1189" t="s">
        <v>33</v>
      </c>
      <c r="M1189">
        <f>orders[[#This Row],[Ship Date]]-orders[[#This Row],[Order Date]]</f>
        <v>1</v>
      </c>
      <c r="N1189">
        <f>WEEKNUM(orders[[#This Row],[Order Date]])</f>
        <v>8</v>
      </c>
      <c r="O1189" t="str">
        <f>_xlfn.IFS(orders[[#This Row],[Customer Gender]]="M","Male", orders[[#This Row],[Customer Gender]]="F","Female", orders[[#This Row],[Customer Gender]]="O","Other", TRUE,"Unknown")</f>
        <v>Female</v>
      </c>
    </row>
    <row r="1190" spans="1:15">
      <c r="A1190" t="s">
        <v>1287</v>
      </c>
      <c r="B1190" t="s">
        <v>16</v>
      </c>
      <c r="C1190">
        <v>2</v>
      </c>
      <c r="D1190">
        <v>11.6</v>
      </c>
      <c r="E1190">
        <v>23.2</v>
      </c>
      <c r="F1190" s="1">
        <v>45704</v>
      </c>
      <c r="G1190" s="1">
        <v>45706</v>
      </c>
      <c r="H1190" t="s">
        <v>27</v>
      </c>
      <c r="I1190" t="s">
        <v>35</v>
      </c>
      <c r="J1190">
        <v>4</v>
      </c>
      <c r="K1190" t="s">
        <v>19</v>
      </c>
      <c r="L1190" t="s">
        <v>186</v>
      </c>
      <c r="M1190">
        <f>orders[[#This Row],[Ship Date]]-orders[[#This Row],[Order Date]]</f>
        <v>2</v>
      </c>
      <c r="N1190">
        <f>WEEKNUM(orders[[#This Row],[Order Date]])</f>
        <v>8</v>
      </c>
      <c r="O1190" t="str">
        <f>_xlfn.IFS(orders[[#This Row],[Customer Gender]]="M","Male", orders[[#This Row],[Customer Gender]]="F","Female", orders[[#This Row],[Customer Gender]]="O","Other", TRUE,"Unknown")</f>
        <v>Female</v>
      </c>
    </row>
    <row r="1191" spans="1:15">
      <c r="A1191" t="s">
        <v>1288</v>
      </c>
      <c r="B1191" t="s">
        <v>37</v>
      </c>
      <c r="C1191">
        <v>3</v>
      </c>
      <c r="D1191">
        <v>50.4</v>
      </c>
      <c r="E1191">
        <v>151.19999999999999</v>
      </c>
      <c r="F1191" s="1">
        <v>45704</v>
      </c>
      <c r="G1191" s="1">
        <v>45705</v>
      </c>
      <c r="H1191" t="s">
        <v>23</v>
      </c>
      <c r="I1191" t="s">
        <v>70</v>
      </c>
      <c r="J1191">
        <v>5</v>
      </c>
      <c r="K1191" t="s">
        <v>19</v>
      </c>
      <c r="L1191" t="s">
        <v>188</v>
      </c>
      <c r="M1191">
        <f>orders[[#This Row],[Ship Date]]-orders[[#This Row],[Order Date]]</f>
        <v>1</v>
      </c>
      <c r="N1191">
        <f>WEEKNUM(orders[[#This Row],[Order Date]])</f>
        <v>8</v>
      </c>
      <c r="O1191" t="str">
        <f>_xlfn.IFS(orders[[#This Row],[Customer Gender]]="M","Male", orders[[#This Row],[Customer Gender]]="F","Female", orders[[#This Row],[Customer Gender]]="O","Other", TRUE,"Unknown")</f>
        <v>Male</v>
      </c>
    </row>
    <row r="1192" spans="1:15">
      <c r="A1192" t="s">
        <v>1289</v>
      </c>
      <c r="B1192" t="s">
        <v>39</v>
      </c>
      <c r="C1192">
        <v>6</v>
      </c>
      <c r="D1192">
        <v>48.3</v>
      </c>
      <c r="E1192">
        <v>289.79999999999995</v>
      </c>
      <c r="F1192" s="1">
        <v>45704</v>
      </c>
      <c r="G1192" s="1">
        <v>45708</v>
      </c>
      <c r="H1192" t="s">
        <v>27</v>
      </c>
      <c r="I1192" t="s">
        <v>18</v>
      </c>
      <c r="J1192">
        <v>4</v>
      </c>
      <c r="K1192" t="s">
        <v>19</v>
      </c>
      <c r="L1192" t="s">
        <v>188</v>
      </c>
      <c r="M1192">
        <f>orders[[#This Row],[Ship Date]]-orders[[#This Row],[Order Date]]</f>
        <v>4</v>
      </c>
      <c r="N1192">
        <f>WEEKNUM(orders[[#This Row],[Order Date]])</f>
        <v>8</v>
      </c>
      <c r="O1192" t="str">
        <f>_xlfn.IFS(orders[[#This Row],[Customer Gender]]="M","Male", orders[[#This Row],[Customer Gender]]="F","Female", orders[[#This Row],[Customer Gender]]="O","Other", TRUE,"Unknown")</f>
        <v>Female</v>
      </c>
    </row>
    <row r="1193" spans="1:15">
      <c r="A1193" t="s">
        <v>1290</v>
      </c>
      <c r="B1193" t="s">
        <v>135</v>
      </c>
      <c r="C1193">
        <v>7</v>
      </c>
      <c r="D1193">
        <v>32.200000000000003</v>
      </c>
      <c r="E1193">
        <v>225.40000000000003</v>
      </c>
      <c r="F1193" s="1">
        <v>45704</v>
      </c>
      <c r="G1193" s="1">
        <v>45706</v>
      </c>
      <c r="H1193" t="s">
        <v>27</v>
      </c>
      <c r="I1193" t="s">
        <v>40</v>
      </c>
      <c r="J1193">
        <v>4</v>
      </c>
      <c r="K1193" t="s">
        <v>19</v>
      </c>
      <c r="L1193" t="s">
        <v>188</v>
      </c>
      <c r="M1193">
        <f>orders[[#This Row],[Ship Date]]-orders[[#This Row],[Order Date]]</f>
        <v>2</v>
      </c>
      <c r="N1193">
        <f>WEEKNUM(orders[[#This Row],[Order Date]])</f>
        <v>8</v>
      </c>
      <c r="O1193" t="str">
        <f>_xlfn.IFS(orders[[#This Row],[Customer Gender]]="M","Male", orders[[#This Row],[Customer Gender]]="F","Female", orders[[#This Row],[Customer Gender]]="O","Other", TRUE,"Unknown")</f>
        <v>Female</v>
      </c>
    </row>
    <row r="1194" spans="1:15">
      <c r="A1194" t="s">
        <v>1291</v>
      </c>
      <c r="B1194" t="s">
        <v>42</v>
      </c>
      <c r="C1194">
        <v>28</v>
      </c>
      <c r="D1194">
        <v>48.5</v>
      </c>
      <c r="E1194">
        <v>1358</v>
      </c>
      <c r="F1194" s="1">
        <v>45704</v>
      </c>
      <c r="G1194" s="1">
        <v>45705</v>
      </c>
      <c r="H1194" t="s">
        <v>23</v>
      </c>
      <c r="I1194" t="s">
        <v>18</v>
      </c>
      <c r="J1194">
        <v>4</v>
      </c>
      <c r="K1194" t="s">
        <v>19</v>
      </c>
      <c r="L1194" t="s">
        <v>52</v>
      </c>
      <c r="M1194">
        <f>orders[[#This Row],[Ship Date]]-orders[[#This Row],[Order Date]]</f>
        <v>1</v>
      </c>
      <c r="N1194">
        <f>WEEKNUM(orders[[#This Row],[Order Date]])</f>
        <v>8</v>
      </c>
      <c r="O1194" t="str">
        <f>_xlfn.IFS(orders[[#This Row],[Customer Gender]]="M","Male", orders[[#This Row],[Customer Gender]]="F","Female", orders[[#This Row],[Customer Gender]]="O","Other", TRUE,"Unknown")</f>
        <v>Male</v>
      </c>
    </row>
    <row r="1195" spans="1:15">
      <c r="A1195" t="s">
        <v>1292</v>
      </c>
      <c r="B1195" t="s">
        <v>26</v>
      </c>
      <c r="C1195">
        <v>5</v>
      </c>
      <c r="D1195">
        <v>62</v>
      </c>
      <c r="E1195">
        <v>310</v>
      </c>
      <c r="F1195" s="1">
        <v>45704</v>
      </c>
      <c r="G1195" s="1">
        <v>45707</v>
      </c>
      <c r="H1195" t="s">
        <v>27</v>
      </c>
      <c r="I1195" t="s">
        <v>35</v>
      </c>
      <c r="J1195">
        <v>4</v>
      </c>
      <c r="K1195" t="s">
        <v>19</v>
      </c>
      <c r="L1195" t="s">
        <v>55</v>
      </c>
      <c r="M1195">
        <f>orders[[#This Row],[Ship Date]]-orders[[#This Row],[Order Date]]</f>
        <v>3</v>
      </c>
      <c r="N1195">
        <f>WEEKNUM(orders[[#This Row],[Order Date]])</f>
        <v>8</v>
      </c>
      <c r="O1195" t="str">
        <f>_xlfn.IFS(orders[[#This Row],[Customer Gender]]="M","Male", orders[[#This Row],[Customer Gender]]="F","Female", orders[[#This Row],[Customer Gender]]="O","Other", TRUE,"Unknown")</f>
        <v>Female</v>
      </c>
    </row>
    <row r="1196" spans="1:15">
      <c r="A1196" t="s">
        <v>1293</v>
      </c>
      <c r="B1196" t="s">
        <v>44</v>
      </c>
      <c r="C1196">
        <v>3</v>
      </c>
      <c r="D1196">
        <v>32.1</v>
      </c>
      <c r="E1196">
        <v>96.300000000000011</v>
      </c>
      <c r="F1196" s="1">
        <v>45705</v>
      </c>
      <c r="G1196" s="1">
        <v>45707</v>
      </c>
      <c r="H1196" t="s">
        <v>23</v>
      </c>
      <c r="I1196" t="s">
        <v>18</v>
      </c>
      <c r="J1196">
        <v>4</v>
      </c>
      <c r="K1196" t="s">
        <v>19</v>
      </c>
      <c r="L1196" t="s">
        <v>55</v>
      </c>
      <c r="M1196">
        <f>orders[[#This Row],[Ship Date]]-orders[[#This Row],[Order Date]]</f>
        <v>2</v>
      </c>
      <c r="N1196">
        <f>WEEKNUM(orders[[#This Row],[Order Date]])</f>
        <v>8</v>
      </c>
      <c r="O1196" t="str">
        <f>_xlfn.IFS(orders[[#This Row],[Customer Gender]]="M","Male", orders[[#This Row],[Customer Gender]]="F","Female", orders[[#This Row],[Customer Gender]]="O","Other", TRUE,"Unknown")</f>
        <v>Male</v>
      </c>
    </row>
    <row r="1197" spans="1:15">
      <c r="A1197" t="s">
        <v>1294</v>
      </c>
      <c r="B1197" t="s">
        <v>69</v>
      </c>
      <c r="C1197">
        <v>3</v>
      </c>
      <c r="D1197">
        <v>106.1</v>
      </c>
      <c r="E1197">
        <v>318.29999999999995</v>
      </c>
      <c r="F1197" s="1">
        <v>45705</v>
      </c>
      <c r="G1197" s="1">
        <v>45707</v>
      </c>
      <c r="H1197" t="s">
        <v>23</v>
      </c>
      <c r="I1197" t="s">
        <v>18</v>
      </c>
      <c r="J1197">
        <v>3</v>
      </c>
      <c r="K1197" t="s">
        <v>19</v>
      </c>
      <c r="L1197" t="s">
        <v>59</v>
      </c>
      <c r="M1197">
        <f>orders[[#This Row],[Ship Date]]-orders[[#This Row],[Order Date]]</f>
        <v>2</v>
      </c>
      <c r="N1197">
        <f>WEEKNUM(orders[[#This Row],[Order Date]])</f>
        <v>8</v>
      </c>
      <c r="O1197" t="str">
        <f>_xlfn.IFS(orders[[#This Row],[Customer Gender]]="M","Male", orders[[#This Row],[Customer Gender]]="F","Female", orders[[#This Row],[Customer Gender]]="O","Other", TRUE,"Unknown")</f>
        <v>Male</v>
      </c>
    </row>
    <row r="1198" spans="1:15">
      <c r="A1198" t="s">
        <v>1295</v>
      </c>
      <c r="B1198" t="s">
        <v>54</v>
      </c>
      <c r="C1198">
        <v>3</v>
      </c>
      <c r="D1198">
        <v>23.5</v>
      </c>
      <c r="E1198">
        <v>70.5</v>
      </c>
      <c r="F1198" s="1">
        <v>45705</v>
      </c>
      <c r="G1198" s="1">
        <v>45708</v>
      </c>
      <c r="H1198" t="s">
        <v>23</v>
      </c>
      <c r="I1198" t="s">
        <v>18</v>
      </c>
      <c r="J1198">
        <v>2</v>
      </c>
      <c r="K1198" t="s">
        <v>19</v>
      </c>
      <c r="L1198" t="s">
        <v>59</v>
      </c>
      <c r="M1198">
        <f>orders[[#This Row],[Ship Date]]-orders[[#This Row],[Order Date]]</f>
        <v>3</v>
      </c>
      <c r="N1198">
        <f>WEEKNUM(orders[[#This Row],[Order Date]])</f>
        <v>8</v>
      </c>
      <c r="O1198" t="str">
        <f>_xlfn.IFS(orders[[#This Row],[Customer Gender]]="M","Male", orders[[#This Row],[Customer Gender]]="F","Female", orders[[#This Row],[Customer Gender]]="O","Other", TRUE,"Unknown")</f>
        <v>Male</v>
      </c>
    </row>
    <row r="1199" spans="1:15">
      <c r="A1199" t="s">
        <v>1296</v>
      </c>
      <c r="B1199" t="s">
        <v>22</v>
      </c>
      <c r="C1199">
        <v>2</v>
      </c>
      <c r="D1199">
        <v>35.6</v>
      </c>
      <c r="E1199">
        <v>71.2</v>
      </c>
      <c r="F1199" s="1">
        <v>45705</v>
      </c>
      <c r="G1199" s="1">
        <v>45710</v>
      </c>
      <c r="H1199" t="s">
        <v>23</v>
      </c>
      <c r="I1199" t="s">
        <v>70</v>
      </c>
      <c r="J1199">
        <v>4</v>
      </c>
      <c r="K1199" t="s">
        <v>19</v>
      </c>
      <c r="L1199" t="s">
        <v>62</v>
      </c>
      <c r="M1199">
        <f>orders[[#This Row],[Ship Date]]-orders[[#This Row],[Order Date]]</f>
        <v>5</v>
      </c>
      <c r="N1199">
        <f>WEEKNUM(orders[[#This Row],[Order Date]])</f>
        <v>8</v>
      </c>
      <c r="O1199" t="str">
        <f>_xlfn.IFS(orders[[#This Row],[Customer Gender]]="M","Male", orders[[#This Row],[Customer Gender]]="F","Female", orders[[#This Row],[Customer Gender]]="O","Other", TRUE,"Unknown")</f>
        <v>Male</v>
      </c>
    </row>
    <row r="1200" spans="1:15">
      <c r="A1200" t="s">
        <v>1297</v>
      </c>
      <c r="B1200" t="s">
        <v>22</v>
      </c>
      <c r="C1200">
        <v>2</v>
      </c>
      <c r="D1200">
        <v>63.5</v>
      </c>
      <c r="E1200">
        <v>127</v>
      </c>
      <c r="F1200" s="1">
        <v>45705</v>
      </c>
      <c r="G1200" s="1">
        <v>45705</v>
      </c>
      <c r="H1200" t="s">
        <v>27</v>
      </c>
      <c r="I1200" t="s">
        <v>35</v>
      </c>
      <c r="J1200">
        <v>5</v>
      </c>
      <c r="K1200" t="s">
        <v>19</v>
      </c>
      <c r="L1200" t="s">
        <v>62</v>
      </c>
      <c r="M1200">
        <f>orders[[#This Row],[Ship Date]]-orders[[#This Row],[Order Date]]</f>
        <v>0</v>
      </c>
      <c r="N1200">
        <f>WEEKNUM(orders[[#This Row],[Order Date]])</f>
        <v>8</v>
      </c>
      <c r="O1200" t="str">
        <f>_xlfn.IFS(orders[[#This Row],[Customer Gender]]="M","Male", orders[[#This Row],[Customer Gender]]="F","Female", orders[[#This Row],[Customer Gender]]="O","Other", TRUE,"Unknown")</f>
        <v>Female</v>
      </c>
    </row>
    <row r="1201" spans="1:15">
      <c r="A1201" t="s">
        <v>1298</v>
      </c>
      <c r="B1201" t="s">
        <v>39</v>
      </c>
      <c r="C1201">
        <v>7</v>
      </c>
      <c r="D1201">
        <v>82.9</v>
      </c>
      <c r="E1201">
        <v>580.30000000000007</v>
      </c>
      <c r="F1201" s="1">
        <v>45705</v>
      </c>
      <c r="G1201" s="1">
        <v>45710</v>
      </c>
      <c r="H1201" t="s">
        <v>27</v>
      </c>
      <c r="I1201" t="s">
        <v>70</v>
      </c>
      <c r="J1201">
        <v>4</v>
      </c>
      <c r="K1201" t="s">
        <v>19</v>
      </c>
      <c r="L1201" t="s">
        <v>72</v>
      </c>
      <c r="M1201">
        <f>orders[[#This Row],[Ship Date]]-orders[[#This Row],[Order Date]]</f>
        <v>5</v>
      </c>
      <c r="N1201">
        <f>WEEKNUM(orders[[#This Row],[Order Date]])</f>
        <v>8</v>
      </c>
      <c r="O1201" t="str">
        <f>_xlfn.IFS(orders[[#This Row],[Customer Gender]]="M","Male", orders[[#This Row],[Customer Gender]]="F","Female", orders[[#This Row],[Customer Gender]]="O","Other", TRUE,"Unknown")</f>
        <v>Female</v>
      </c>
    </row>
    <row r="1202" spans="1:15">
      <c r="A1202" t="s">
        <v>1299</v>
      </c>
      <c r="B1202" t="s">
        <v>39</v>
      </c>
      <c r="C1202">
        <v>2</v>
      </c>
      <c r="D1202">
        <v>83.6</v>
      </c>
      <c r="E1202">
        <v>167.2</v>
      </c>
      <c r="F1202" s="1">
        <v>45705</v>
      </c>
      <c r="G1202" s="1">
        <v>45710</v>
      </c>
      <c r="H1202" t="s">
        <v>27</v>
      </c>
      <c r="I1202" t="s">
        <v>18</v>
      </c>
      <c r="J1202">
        <v>4</v>
      </c>
      <c r="K1202" t="s">
        <v>19</v>
      </c>
      <c r="L1202" t="s">
        <v>77</v>
      </c>
      <c r="M1202">
        <f>orders[[#This Row],[Ship Date]]-orders[[#This Row],[Order Date]]</f>
        <v>5</v>
      </c>
      <c r="N1202">
        <f>WEEKNUM(orders[[#This Row],[Order Date]])</f>
        <v>8</v>
      </c>
      <c r="O1202" t="str">
        <f>_xlfn.IFS(orders[[#This Row],[Customer Gender]]="M","Male", orders[[#This Row],[Customer Gender]]="F","Female", orders[[#This Row],[Customer Gender]]="O","Other", TRUE,"Unknown")</f>
        <v>Female</v>
      </c>
    </row>
    <row r="1203" spans="1:15">
      <c r="A1203" t="s">
        <v>1300</v>
      </c>
      <c r="B1203" t="s">
        <v>32</v>
      </c>
      <c r="C1203">
        <v>2</v>
      </c>
      <c r="D1203">
        <v>29.4</v>
      </c>
      <c r="E1203">
        <v>58.8</v>
      </c>
      <c r="F1203" s="1">
        <v>45705</v>
      </c>
      <c r="G1203" s="1">
        <v>45705</v>
      </c>
      <c r="H1203" t="s">
        <v>27</v>
      </c>
      <c r="I1203" t="s">
        <v>18</v>
      </c>
      <c r="J1203">
        <v>3</v>
      </c>
      <c r="K1203" t="s">
        <v>19</v>
      </c>
      <c r="L1203" t="s">
        <v>268</v>
      </c>
      <c r="M1203">
        <f>orders[[#This Row],[Ship Date]]-orders[[#This Row],[Order Date]]</f>
        <v>0</v>
      </c>
      <c r="N1203">
        <f>WEEKNUM(orders[[#This Row],[Order Date]])</f>
        <v>8</v>
      </c>
      <c r="O1203" t="str">
        <f>_xlfn.IFS(orders[[#This Row],[Customer Gender]]="M","Male", orders[[#This Row],[Customer Gender]]="F","Female", orders[[#This Row],[Customer Gender]]="O","Other", TRUE,"Unknown")</f>
        <v>Female</v>
      </c>
    </row>
    <row r="1204" spans="1:15">
      <c r="A1204" t="s">
        <v>1301</v>
      </c>
      <c r="B1204" t="s">
        <v>26</v>
      </c>
      <c r="C1204">
        <v>3</v>
      </c>
      <c r="D1204">
        <v>107.1</v>
      </c>
      <c r="E1204">
        <v>321.29999999999995</v>
      </c>
      <c r="F1204" s="1">
        <v>45705</v>
      </c>
      <c r="G1204" s="1">
        <v>45709</v>
      </c>
      <c r="H1204" t="s">
        <v>27</v>
      </c>
      <c r="I1204" t="s">
        <v>40</v>
      </c>
      <c r="J1204">
        <v>4</v>
      </c>
      <c r="K1204" t="s">
        <v>19</v>
      </c>
      <c r="L1204" t="s">
        <v>113</v>
      </c>
      <c r="M1204">
        <f>orders[[#This Row],[Ship Date]]-orders[[#This Row],[Order Date]]</f>
        <v>4</v>
      </c>
      <c r="N1204">
        <f>WEEKNUM(orders[[#This Row],[Order Date]])</f>
        <v>8</v>
      </c>
      <c r="O1204" t="str">
        <f>_xlfn.IFS(orders[[#This Row],[Customer Gender]]="M","Male", orders[[#This Row],[Customer Gender]]="F","Female", orders[[#This Row],[Customer Gender]]="O","Other", TRUE,"Unknown")</f>
        <v>Female</v>
      </c>
    </row>
    <row r="1205" spans="1:15">
      <c r="A1205" t="s">
        <v>1302</v>
      </c>
      <c r="B1205" t="s">
        <v>26</v>
      </c>
      <c r="C1205">
        <v>1</v>
      </c>
      <c r="D1205">
        <v>62.7</v>
      </c>
      <c r="E1205">
        <v>62.7</v>
      </c>
      <c r="F1205" s="1">
        <v>45705</v>
      </c>
      <c r="G1205" s="1">
        <v>45709</v>
      </c>
      <c r="H1205" t="s">
        <v>23</v>
      </c>
      <c r="I1205" t="s">
        <v>35</v>
      </c>
      <c r="J1205">
        <v>4</v>
      </c>
      <c r="K1205" t="s">
        <v>19</v>
      </c>
      <c r="L1205" t="s">
        <v>115</v>
      </c>
      <c r="M1205">
        <f>orders[[#This Row],[Ship Date]]-orders[[#This Row],[Order Date]]</f>
        <v>4</v>
      </c>
      <c r="N1205">
        <f>WEEKNUM(orders[[#This Row],[Order Date]])</f>
        <v>8</v>
      </c>
      <c r="O1205" t="str">
        <f>_xlfn.IFS(orders[[#This Row],[Customer Gender]]="M","Male", orders[[#This Row],[Customer Gender]]="F","Female", orders[[#This Row],[Customer Gender]]="O","Other", TRUE,"Unknown")</f>
        <v>Male</v>
      </c>
    </row>
    <row r="1206" spans="1:15">
      <c r="A1206" t="s">
        <v>1303</v>
      </c>
      <c r="B1206" t="s">
        <v>67</v>
      </c>
      <c r="C1206">
        <v>1</v>
      </c>
      <c r="D1206">
        <v>41.6</v>
      </c>
      <c r="E1206">
        <v>41.6</v>
      </c>
      <c r="F1206" s="1">
        <v>45705</v>
      </c>
      <c r="G1206" s="1">
        <v>45706</v>
      </c>
      <c r="H1206" t="s">
        <v>23</v>
      </c>
      <c r="I1206" t="s">
        <v>18</v>
      </c>
      <c r="J1206">
        <v>3</v>
      </c>
      <c r="K1206" t="s">
        <v>19</v>
      </c>
      <c r="L1206" t="s">
        <v>24</v>
      </c>
      <c r="M1206">
        <f>orders[[#This Row],[Ship Date]]-orders[[#This Row],[Order Date]]</f>
        <v>1</v>
      </c>
      <c r="N1206">
        <f>WEEKNUM(orders[[#This Row],[Order Date]])</f>
        <v>8</v>
      </c>
      <c r="O1206" t="str">
        <f>_xlfn.IFS(orders[[#This Row],[Customer Gender]]="M","Male", orders[[#This Row],[Customer Gender]]="F","Female", orders[[#This Row],[Customer Gender]]="O","Other", TRUE,"Unknown")</f>
        <v>Male</v>
      </c>
    </row>
    <row r="1207" spans="1:15">
      <c r="A1207" t="s">
        <v>1304</v>
      </c>
      <c r="B1207" t="s">
        <v>39</v>
      </c>
      <c r="C1207">
        <v>1</v>
      </c>
      <c r="D1207">
        <v>44.2</v>
      </c>
      <c r="E1207">
        <v>44.2</v>
      </c>
      <c r="F1207" s="1">
        <v>45705</v>
      </c>
      <c r="G1207" s="1">
        <v>45706</v>
      </c>
      <c r="H1207" t="s">
        <v>89</v>
      </c>
      <c r="I1207" t="s">
        <v>18</v>
      </c>
      <c r="J1207">
        <v>3</v>
      </c>
      <c r="K1207" t="s">
        <v>19</v>
      </c>
      <c r="L1207" t="s">
        <v>24</v>
      </c>
      <c r="M1207">
        <f>orders[[#This Row],[Ship Date]]-orders[[#This Row],[Order Date]]</f>
        <v>1</v>
      </c>
      <c r="N1207">
        <f>WEEKNUM(orders[[#This Row],[Order Date]])</f>
        <v>8</v>
      </c>
      <c r="O1207" t="str">
        <f>_xlfn.IFS(orders[[#This Row],[Customer Gender]]="M","Male", orders[[#This Row],[Customer Gender]]="F","Female", orders[[#This Row],[Customer Gender]]="O","Other", TRUE,"Unknown")</f>
        <v>Other</v>
      </c>
    </row>
    <row r="1208" spans="1:15">
      <c r="A1208" t="s">
        <v>1305</v>
      </c>
      <c r="B1208" t="s">
        <v>32</v>
      </c>
      <c r="C1208">
        <v>6</v>
      </c>
      <c r="D1208">
        <v>40.4</v>
      </c>
      <c r="E1208">
        <v>242.39999999999998</v>
      </c>
      <c r="F1208" s="1">
        <v>45705</v>
      </c>
      <c r="G1208" s="1">
        <v>45718</v>
      </c>
      <c r="H1208" t="s">
        <v>27</v>
      </c>
      <c r="I1208" t="s">
        <v>40</v>
      </c>
      <c r="J1208">
        <v>4</v>
      </c>
      <c r="K1208" t="s">
        <v>19</v>
      </c>
      <c r="L1208" t="s">
        <v>147</v>
      </c>
      <c r="M1208">
        <f>orders[[#This Row],[Ship Date]]-orders[[#This Row],[Order Date]]</f>
        <v>13</v>
      </c>
      <c r="N1208">
        <f>WEEKNUM(orders[[#This Row],[Order Date]])</f>
        <v>8</v>
      </c>
      <c r="O1208" t="str">
        <f>_xlfn.IFS(orders[[#This Row],[Customer Gender]]="M","Male", orders[[#This Row],[Customer Gender]]="F","Female", orders[[#This Row],[Customer Gender]]="O","Other", TRUE,"Unknown")</f>
        <v>Female</v>
      </c>
    </row>
    <row r="1209" spans="1:15">
      <c r="A1209" t="s">
        <v>1306</v>
      </c>
      <c r="B1209" t="s">
        <v>123</v>
      </c>
      <c r="C1209">
        <v>6</v>
      </c>
      <c r="D1209">
        <v>59.6</v>
      </c>
      <c r="E1209">
        <v>357.6</v>
      </c>
      <c r="F1209" s="1">
        <v>45705</v>
      </c>
      <c r="G1209" s="1">
        <v>45706</v>
      </c>
      <c r="H1209" t="s">
        <v>27</v>
      </c>
      <c r="I1209" t="s">
        <v>70</v>
      </c>
      <c r="J1209">
        <v>4</v>
      </c>
      <c r="K1209" t="s">
        <v>19</v>
      </c>
      <c r="L1209" t="s">
        <v>334</v>
      </c>
      <c r="M1209">
        <f>orders[[#This Row],[Ship Date]]-orders[[#This Row],[Order Date]]</f>
        <v>1</v>
      </c>
      <c r="N1209">
        <f>WEEKNUM(orders[[#This Row],[Order Date]])</f>
        <v>8</v>
      </c>
      <c r="O1209" t="str">
        <f>_xlfn.IFS(orders[[#This Row],[Customer Gender]]="M","Male", orders[[#This Row],[Customer Gender]]="F","Female", orders[[#This Row],[Customer Gender]]="O","Other", TRUE,"Unknown")</f>
        <v>Female</v>
      </c>
    </row>
    <row r="1210" spans="1:15">
      <c r="A1210" t="s">
        <v>1307</v>
      </c>
      <c r="B1210" t="s">
        <v>135</v>
      </c>
      <c r="C1210">
        <v>12</v>
      </c>
      <c r="D1210">
        <v>63.8</v>
      </c>
      <c r="E1210">
        <v>765.59999999999991</v>
      </c>
      <c r="F1210" s="1">
        <v>45705</v>
      </c>
      <c r="G1210" s="1">
        <v>45706</v>
      </c>
      <c r="H1210" t="s">
        <v>23</v>
      </c>
      <c r="I1210" t="s">
        <v>35</v>
      </c>
      <c r="J1210">
        <v>4</v>
      </c>
      <c r="K1210" t="s">
        <v>19</v>
      </c>
      <c r="L1210" t="s">
        <v>33</v>
      </c>
      <c r="M1210">
        <f>orders[[#This Row],[Ship Date]]-orders[[#This Row],[Order Date]]</f>
        <v>1</v>
      </c>
      <c r="N1210">
        <f>WEEKNUM(orders[[#This Row],[Order Date]])</f>
        <v>8</v>
      </c>
      <c r="O1210" t="str">
        <f>_xlfn.IFS(orders[[#This Row],[Customer Gender]]="M","Male", orders[[#This Row],[Customer Gender]]="F","Female", orders[[#This Row],[Customer Gender]]="O","Other", TRUE,"Unknown")</f>
        <v>Male</v>
      </c>
    </row>
    <row r="1211" spans="1:15">
      <c r="A1211" t="s">
        <v>1308</v>
      </c>
      <c r="B1211" t="s">
        <v>46</v>
      </c>
      <c r="C1211">
        <v>6</v>
      </c>
      <c r="D1211">
        <v>30.8</v>
      </c>
      <c r="E1211">
        <v>184.8</v>
      </c>
      <c r="F1211" s="1">
        <v>45705</v>
      </c>
      <c r="G1211" s="1">
        <v>45707</v>
      </c>
      <c r="H1211" t="s">
        <v>23</v>
      </c>
      <c r="I1211" t="s">
        <v>70</v>
      </c>
      <c r="J1211">
        <v>4</v>
      </c>
      <c r="K1211" t="s">
        <v>19</v>
      </c>
      <c r="L1211" t="s">
        <v>33</v>
      </c>
      <c r="M1211">
        <f>orders[[#This Row],[Ship Date]]-orders[[#This Row],[Order Date]]</f>
        <v>2</v>
      </c>
      <c r="N1211">
        <f>WEEKNUM(orders[[#This Row],[Order Date]])</f>
        <v>8</v>
      </c>
      <c r="O1211" t="str">
        <f>_xlfn.IFS(orders[[#This Row],[Customer Gender]]="M","Male", orders[[#This Row],[Customer Gender]]="F","Female", orders[[#This Row],[Customer Gender]]="O","Other", TRUE,"Unknown")</f>
        <v>Male</v>
      </c>
    </row>
    <row r="1212" spans="1:15">
      <c r="A1212" t="s">
        <v>1309</v>
      </c>
      <c r="B1212" t="s">
        <v>22</v>
      </c>
      <c r="C1212">
        <v>2</v>
      </c>
      <c r="D1212">
        <v>41.5</v>
      </c>
      <c r="E1212">
        <v>83</v>
      </c>
      <c r="F1212" s="1">
        <v>45705</v>
      </c>
      <c r="G1212" s="1">
        <v>45708</v>
      </c>
      <c r="H1212" t="s">
        <v>89</v>
      </c>
      <c r="I1212" t="s">
        <v>18</v>
      </c>
      <c r="J1212">
        <v>4</v>
      </c>
      <c r="K1212" t="s">
        <v>19</v>
      </c>
      <c r="L1212" t="s">
        <v>33</v>
      </c>
      <c r="M1212">
        <f>orders[[#This Row],[Ship Date]]-orders[[#This Row],[Order Date]]</f>
        <v>3</v>
      </c>
      <c r="N1212">
        <f>WEEKNUM(orders[[#This Row],[Order Date]])</f>
        <v>8</v>
      </c>
      <c r="O1212" t="str">
        <f>_xlfn.IFS(orders[[#This Row],[Customer Gender]]="M","Male", orders[[#This Row],[Customer Gender]]="F","Female", orders[[#This Row],[Customer Gender]]="O","Other", TRUE,"Unknown")</f>
        <v>Other</v>
      </c>
    </row>
    <row r="1213" spans="1:15">
      <c r="A1213" t="s">
        <v>1310</v>
      </c>
      <c r="B1213" t="s">
        <v>54</v>
      </c>
      <c r="C1213">
        <v>4</v>
      </c>
      <c r="D1213">
        <v>44.7</v>
      </c>
      <c r="E1213">
        <v>178.8</v>
      </c>
      <c r="F1213" s="1">
        <v>45705</v>
      </c>
      <c r="G1213" s="1">
        <v>45707</v>
      </c>
      <c r="H1213" t="s">
        <v>27</v>
      </c>
      <c r="I1213" t="s">
        <v>40</v>
      </c>
      <c r="J1213">
        <v>3</v>
      </c>
      <c r="K1213" t="s">
        <v>19</v>
      </c>
      <c r="L1213" t="s">
        <v>33</v>
      </c>
      <c r="M1213">
        <f>orders[[#This Row],[Ship Date]]-orders[[#This Row],[Order Date]]</f>
        <v>2</v>
      </c>
      <c r="N1213">
        <f>WEEKNUM(orders[[#This Row],[Order Date]])</f>
        <v>8</v>
      </c>
      <c r="O1213" t="str">
        <f>_xlfn.IFS(orders[[#This Row],[Customer Gender]]="M","Male", orders[[#This Row],[Customer Gender]]="F","Female", orders[[#This Row],[Customer Gender]]="O","Other", TRUE,"Unknown")</f>
        <v>Female</v>
      </c>
    </row>
    <row r="1214" spans="1:15">
      <c r="A1214" t="s">
        <v>1311</v>
      </c>
      <c r="B1214" t="s">
        <v>69</v>
      </c>
      <c r="C1214">
        <v>2</v>
      </c>
      <c r="D1214">
        <v>64.099999999999994</v>
      </c>
      <c r="E1214">
        <v>128.19999999999999</v>
      </c>
      <c r="F1214" s="1">
        <v>45705</v>
      </c>
      <c r="G1214" s="1">
        <v>45709</v>
      </c>
      <c r="H1214" t="s">
        <v>27</v>
      </c>
      <c r="I1214" t="s">
        <v>35</v>
      </c>
      <c r="J1214">
        <v>2</v>
      </c>
      <c r="K1214" t="s">
        <v>19</v>
      </c>
      <c r="L1214" t="s">
        <v>33</v>
      </c>
      <c r="M1214">
        <f>orders[[#This Row],[Ship Date]]-orders[[#This Row],[Order Date]]</f>
        <v>4</v>
      </c>
      <c r="N1214">
        <f>WEEKNUM(orders[[#This Row],[Order Date]])</f>
        <v>8</v>
      </c>
      <c r="O1214" t="str">
        <f>_xlfn.IFS(orders[[#This Row],[Customer Gender]]="M","Male", orders[[#This Row],[Customer Gender]]="F","Female", orders[[#This Row],[Customer Gender]]="O","Other", TRUE,"Unknown")</f>
        <v>Female</v>
      </c>
    </row>
    <row r="1215" spans="1:15">
      <c r="A1215" t="s">
        <v>1312</v>
      </c>
      <c r="B1215" t="s">
        <v>44</v>
      </c>
      <c r="C1215">
        <v>1</v>
      </c>
      <c r="D1215">
        <v>15.9</v>
      </c>
      <c r="E1215">
        <v>15.9</v>
      </c>
      <c r="F1215" s="1">
        <v>45705</v>
      </c>
      <c r="G1215" s="1">
        <v>45708</v>
      </c>
      <c r="H1215" t="s">
        <v>17</v>
      </c>
      <c r="I1215" t="s">
        <v>35</v>
      </c>
      <c r="J1215">
        <v>4</v>
      </c>
      <c r="K1215" t="s">
        <v>19</v>
      </c>
      <c r="L1215" t="s">
        <v>33</v>
      </c>
      <c r="M1215">
        <f>orders[[#This Row],[Ship Date]]-orders[[#This Row],[Order Date]]</f>
        <v>3</v>
      </c>
      <c r="N1215">
        <f>WEEKNUM(orders[[#This Row],[Order Date]])</f>
        <v>8</v>
      </c>
      <c r="O1215" t="str">
        <f>_xlfn.IFS(orders[[#This Row],[Customer Gender]]="M","Male", orders[[#This Row],[Customer Gender]]="F","Female", orders[[#This Row],[Customer Gender]]="O","Other", TRUE,"Unknown")</f>
        <v>Unknown</v>
      </c>
    </row>
    <row r="1216" spans="1:15">
      <c r="A1216" t="s">
        <v>1313</v>
      </c>
      <c r="B1216" t="s">
        <v>39</v>
      </c>
      <c r="C1216">
        <v>2</v>
      </c>
      <c r="D1216">
        <v>78.7</v>
      </c>
      <c r="E1216">
        <v>157.4</v>
      </c>
      <c r="F1216" s="1">
        <v>45705</v>
      </c>
      <c r="G1216" s="1">
        <v>45705</v>
      </c>
      <c r="H1216" t="s">
        <v>27</v>
      </c>
      <c r="I1216" t="s">
        <v>40</v>
      </c>
      <c r="J1216">
        <v>3</v>
      </c>
      <c r="K1216" t="s">
        <v>19</v>
      </c>
      <c r="L1216" t="s">
        <v>33</v>
      </c>
      <c r="M1216">
        <f>orders[[#This Row],[Ship Date]]-orders[[#This Row],[Order Date]]</f>
        <v>0</v>
      </c>
      <c r="N1216">
        <f>WEEKNUM(orders[[#This Row],[Order Date]])</f>
        <v>8</v>
      </c>
      <c r="O1216" t="str">
        <f>_xlfn.IFS(orders[[#This Row],[Customer Gender]]="M","Male", orders[[#This Row],[Customer Gender]]="F","Female", orders[[#This Row],[Customer Gender]]="O","Other", TRUE,"Unknown")</f>
        <v>Female</v>
      </c>
    </row>
    <row r="1217" spans="1:15">
      <c r="A1217" t="s">
        <v>1314</v>
      </c>
      <c r="B1217" t="s">
        <v>37</v>
      </c>
      <c r="C1217">
        <v>12</v>
      </c>
      <c r="D1217">
        <v>29.6</v>
      </c>
      <c r="E1217">
        <v>355.20000000000005</v>
      </c>
      <c r="F1217" s="1">
        <v>45705</v>
      </c>
      <c r="G1217" s="1">
        <v>45709</v>
      </c>
      <c r="H1217" t="s">
        <v>23</v>
      </c>
      <c r="I1217" t="s">
        <v>40</v>
      </c>
      <c r="J1217">
        <v>2</v>
      </c>
      <c r="K1217" t="s">
        <v>19</v>
      </c>
      <c r="L1217" t="s">
        <v>33</v>
      </c>
      <c r="M1217">
        <f>orders[[#This Row],[Ship Date]]-orders[[#This Row],[Order Date]]</f>
        <v>4</v>
      </c>
      <c r="N1217">
        <f>WEEKNUM(orders[[#This Row],[Order Date]])</f>
        <v>8</v>
      </c>
      <c r="O1217" t="str">
        <f>_xlfn.IFS(orders[[#This Row],[Customer Gender]]="M","Male", orders[[#This Row],[Customer Gender]]="F","Female", orders[[#This Row],[Customer Gender]]="O","Other", TRUE,"Unknown")</f>
        <v>Male</v>
      </c>
    </row>
    <row r="1218" spans="1:15">
      <c r="A1218" t="s">
        <v>1315</v>
      </c>
      <c r="B1218" t="s">
        <v>44</v>
      </c>
      <c r="C1218">
        <v>4</v>
      </c>
      <c r="D1218">
        <v>21.5</v>
      </c>
      <c r="E1218">
        <v>86</v>
      </c>
      <c r="F1218" s="1">
        <v>45705</v>
      </c>
      <c r="G1218" s="1">
        <v>45708</v>
      </c>
      <c r="H1218" t="s">
        <v>23</v>
      </c>
      <c r="I1218" t="s">
        <v>35</v>
      </c>
      <c r="J1218">
        <v>4</v>
      </c>
      <c r="K1218" t="s">
        <v>19</v>
      </c>
      <c r="L1218" t="s">
        <v>33</v>
      </c>
      <c r="M1218">
        <f>orders[[#This Row],[Ship Date]]-orders[[#This Row],[Order Date]]</f>
        <v>3</v>
      </c>
      <c r="N1218">
        <f>WEEKNUM(orders[[#This Row],[Order Date]])</f>
        <v>8</v>
      </c>
      <c r="O1218" t="str">
        <f>_xlfn.IFS(orders[[#This Row],[Customer Gender]]="M","Male", orders[[#This Row],[Customer Gender]]="F","Female", orders[[#This Row],[Customer Gender]]="O","Other", TRUE,"Unknown")</f>
        <v>Male</v>
      </c>
    </row>
    <row r="1219" spans="1:15">
      <c r="A1219" t="s">
        <v>1316</v>
      </c>
      <c r="B1219" t="s">
        <v>46</v>
      </c>
      <c r="C1219">
        <v>3</v>
      </c>
      <c r="D1219">
        <v>74.900000000000006</v>
      </c>
      <c r="E1219">
        <v>224.70000000000002</v>
      </c>
      <c r="F1219" s="1">
        <v>45705</v>
      </c>
      <c r="G1219" s="1">
        <v>45714</v>
      </c>
      <c r="H1219" t="s">
        <v>23</v>
      </c>
      <c r="I1219" t="s">
        <v>51</v>
      </c>
      <c r="J1219">
        <v>3</v>
      </c>
      <c r="K1219" t="s">
        <v>19</v>
      </c>
      <c r="L1219" t="s">
        <v>33</v>
      </c>
      <c r="M1219">
        <f>orders[[#This Row],[Ship Date]]-orders[[#This Row],[Order Date]]</f>
        <v>9</v>
      </c>
      <c r="N1219">
        <f>WEEKNUM(orders[[#This Row],[Order Date]])</f>
        <v>8</v>
      </c>
      <c r="O1219" t="str">
        <f>_xlfn.IFS(orders[[#This Row],[Customer Gender]]="M","Male", orders[[#This Row],[Customer Gender]]="F","Female", orders[[#This Row],[Customer Gender]]="O","Other", TRUE,"Unknown")</f>
        <v>Male</v>
      </c>
    </row>
    <row r="1220" spans="1:15">
      <c r="A1220" t="s">
        <v>1317</v>
      </c>
      <c r="B1220" t="s">
        <v>54</v>
      </c>
      <c r="C1220">
        <v>6</v>
      </c>
      <c r="D1220">
        <v>45</v>
      </c>
      <c r="E1220">
        <v>270</v>
      </c>
      <c r="F1220" s="1">
        <v>45705</v>
      </c>
      <c r="G1220" s="1">
        <v>45710</v>
      </c>
      <c r="H1220" t="s">
        <v>27</v>
      </c>
      <c r="I1220" t="s">
        <v>40</v>
      </c>
      <c r="J1220">
        <v>4</v>
      </c>
      <c r="K1220" t="s">
        <v>19</v>
      </c>
      <c r="L1220" t="s">
        <v>33</v>
      </c>
      <c r="M1220">
        <f>orders[[#This Row],[Ship Date]]-orders[[#This Row],[Order Date]]</f>
        <v>5</v>
      </c>
      <c r="N1220">
        <f>WEEKNUM(orders[[#This Row],[Order Date]])</f>
        <v>8</v>
      </c>
      <c r="O1220" t="str">
        <f>_xlfn.IFS(orders[[#This Row],[Customer Gender]]="M","Male", orders[[#This Row],[Customer Gender]]="F","Female", orders[[#This Row],[Customer Gender]]="O","Other", TRUE,"Unknown")</f>
        <v>Female</v>
      </c>
    </row>
    <row r="1221" spans="1:15">
      <c r="A1221" t="s">
        <v>1318</v>
      </c>
      <c r="B1221" t="s">
        <v>42</v>
      </c>
      <c r="C1221">
        <v>34</v>
      </c>
      <c r="D1221">
        <v>37.9</v>
      </c>
      <c r="E1221">
        <v>1288.5999999999999</v>
      </c>
      <c r="F1221" s="1">
        <v>45705</v>
      </c>
      <c r="G1221" s="1">
        <v>45706</v>
      </c>
      <c r="H1221" t="s">
        <v>23</v>
      </c>
      <c r="I1221" t="s">
        <v>18</v>
      </c>
      <c r="J1221">
        <v>4</v>
      </c>
      <c r="K1221" t="s">
        <v>19</v>
      </c>
      <c r="L1221" t="s">
        <v>33</v>
      </c>
      <c r="M1221">
        <f>orders[[#This Row],[Ship Date]]-orders[[#This Row],[Order Date]]</f>
        <v>1</v>
      </c>
      <c r="N1221">
        <f>WEEKNUM(orders[[#This Row],[Order Date]])</f>
        <v>8</v>
      </c>
      <c r="O1221" t="str">
        <f>_xlfn.IFS(orders[[#This Row],[Customer Gender]]="M","Male", orders[[#This Row],[Customer Gender]]="F","Female", orders[[#This Row],[Customer Gender]]="O","Other", TRUE,"Unknown")</f>
        <v>Male</v>
      </c>
    </row>
    <row r="1222" spans="1:15">
      <c r="A1222" t="s">
        <v>1319</v>
      </c>
      <c r="B1222" t="s">
        <v>39</v>
      </c>
      <c r="C1222">
        <v>3</v>
      </c>
      <c r="D1222">
        <v>56.6</v>
      </c>
      <c r="E1222">
        <v>169.8</v>
      </c>
      <c r="F1222" s="1">
        <v>45705</v>
      </c>
      <c r="G1222" s="1">
        <v>45706</v>
      </c>
      <c r="H1222" t="s">
        <v>23</v>
      </c>
      <c r="I1222" t="s">
        <v>51</v>
      </c>
      <c r="J1222">
        <v>4</v>
      </c>
      <c r="K1222" t="s">
        <v>19</v>
      </c>
      <c r="L1222" t="s">
        <v>33</v>
      </c>
      <c r="M1222">
        <f>orders[[#This Row],[Ship Date]]-orders[[#This Row],[Order Date]]</f>
        <v>1</v>
      </c>
      <c r="N1222">
        <f>WEEKNUM(orders[[#This Row],[Order Date]])</f>
        <v>8</v>
      </c>
      <c r="O1222" t="str">
        <f>_xlfn.IFS(orders[[#This Row],[Customer Gender]]="M","Male", orders[[#This Row],[Customer Gender]]="F","Female", orders[[#This Row],[Customer Gender]]="O","Other", TRUE,"Unknown")</f>
        <v>Male</v>
      </c>
    </row>
    <row r="1223" spans="1:15">
      <c r="A1223" t="s">
        <v>1320</v>
      </c>
      <c r="B1223" t="s">
        <v>30</v>
      </c>
      <c r="C1223">
        <v>13</v>
      </c>
      <c r="D1223">
        <v>84.5</v>
      </c>
      <c r="E1223">
        <v>1098.5</v>
      </c>
      <c r="F1223" s="1">
        <v>45705</v>
      </c>
      <c r="G1223" s="1">
        <v>45708</v>
      </c>
      <c r="H1223" t="s">
        <v>27</v>
      </c>
      <c r="I1223" t="s">
        <v>35</v>
      </c>
      <c r="J1223">
        <v>2</v>
      </c>
      <c r="K1223" t="s">
        <v>19</v>
      </c>
      <c r="L1223" t="s">
        <v>33</v>
      </c>
      <c r="M1223">
        <f>orders[[#This Row],[Ship Date]]-orders[[#This Row],[Order Date]]</f>
        <v>3</v>
      </c>
      <c r="N1223">
        <f>WEEKNUM(orders[[#This Row],[Order Date]])</f>
        <v>8</v>
      </c>
      <c r="O1223" t="str">
        <f>_xlfn.IFS(orders[[#This Row],[Customer Gender]]="M","Male", orders[[#This Row],[Customer Gender]]="F","Female", orders[[#This Row],[Customer Gender]]="O","Other", TRUE,"Unknown")</f>
        <v>Female</v>
      </c>
    </row>
    <row r="1224" spans="1:15">
      <c r="A1224" t="s">
        <v>1321</v>
      </c>
      <c r="B1224" t="s">
        <v>26</v>
      </c>
      <c r="C1224">
        <v>5</v>
      </c>
      <c r="D1224">
        <v>105.4</v>
      </c>
      <c r="E1224">
        <v>527</v>
      </c>
      <c r="F1224" s="1">
        <v>45705</v>
      </c>
      <c r="G1224" s="1">
        <v>45707</v>
      </c>
      <c r="H1224" t="s">
        <v>27</v>
      </c>
      <c r="I1224" t="s">
        <v>35</v>
      </c>
      <c r="J1224">
        <v>3</v>
      </c>
      <c r="K1224" t="s">
        <v>19</v>
      </c>
      <c r="L1224" t="s">
        <v>33</v>
      </c>
      <c r="M1224">
        <f>orders[[#This Row],[Ship Date]]-orders[[#This Row],[Order Date]]</f>
        <v>2</v>
      </c>
      <c r="N1224">
        <f>WEEKNUM(orders[[#This Row],[Order Date]])</f>
        <v>8</v>
      </c>
      <c r="O1224" t="str">
        <f>_xlfn.IFS(orders[[#This Row],[Customer Gender]]="M","Male", orders[[#This Row],[Customer Gender]]="F","Female", orders[[#This Row],[Customer Gender]]="O","Other", TRUE,"Unknown")</f>
        <v>Female</v>
      </c>
    </row>
    <row r="1225" spans="1:15">
      <c r="A1225" t="s">
        <v>1322</v>
      </c>
      <c r="B1225" t="s">
        <v>146</v>
      </c>
      <c r="C1225">
        <v>7</v>
      </c>
      <c r="D1225">
        <v>39.4</v>
      </c>
      <c r="E1225">
        <v>275.8</v>
      </c>
      <c r="F1225" s="1">
        <v>45706</v>
      </c>
      <c r="G1225" s="1">
        <v>45706</v>
      </c>
      <c r="H1225" t="s">
        <v>23</v>
      </c>
      <c r="I1225" t="s">
        <v>35</v>
      </c>
      <c r="J1225">
        <v>4</v>
      </c>
      <c r="K1225" t="s">
        <v>19</v>
      </c>
      <c r="L1225" t="s">
        <v>364</v>
      </c>
      <c r="M1225">
        <f>orders[[#This Row],[Ship Date]]-orders[[#This Row],[Order Date]]</f>
        <v>0</v>
      </c>
      <c r="N1225">
        <f>WEEKNUM(orders[[#This Row],[Order Date]])</f>
        <v>8</v>
      </c>
      <c r="O1225" t="str">
        <f>_xlfn.IFS(orders[[#This Row],[Customer Gender]]="M","Male", orders[[#This Row],[Customer Gender]]="F","Female", orders[[#This Row],[Customer Gender]]="O","Other", TRUE,"Unknown")</f>
        <v>Male</v>
      </c>
    </row>
    <row r="1226" spans="1:15">
      <c r="A1226" t="s">
        <v>1323</v>
      </c>
      <c r="B1226" t="s">
        <v>171</v>
      </c>
      <c r="C1226">
        <v>3</v>
      </c>
      <c r="D1226">
        <v>38</v>
      </c>
      <c r="E1226">
        <v>114</v>
      </c>
      <c r="F1226" s="1">
        <v>45706</v>
      </c>
      <c r="G1226" s="1">
        <v>45709</v>
      </c>
      <c r="H1226" t="s">
        <v>23</v>
      </c>
      <c r="I1226" t="s">
        <v>70</v>
      </c>
      <c r="J1226">
        <v>3</v>
      </c>
      <c r="K1226" t="s">
        <v>19</v>
      </c>
      <c r="L1226" t="s">
        <v>55</v>
      </c>
      <c r="M1226">
        <f>orders[[#This Row],[Ship Date]]-orders[[#This Row],[Order Date]]</f>
        <v>3</v>
      </c>
      <c r="N1226">
        <f>WEEKNUM(orders[[#This Row],[Order Date]])</f>
        <v>8</v>
      </c>
      <c r="O1226" t="str">
        <f>_xlfn.IFS(orders[[#This Row],[Customer Gender]]="M","Male", orders[[#This Row],[Customer Gender]]="F","Female", orders[[#This Row],[Customer Gender]]="O","Other", TRUE,"Unknown")</f>
        <v>Male</v>
      </c>
    </row>
    <row r="1227" spans="1:15">
      <c r="A1227" t="s">
        <v>1324</v>
      </c>
      <c r="B1227" t="s">
        <v>135</v>
      </c>
      <c r="C1227">
        <v>4</v>
      </c>
      <c r="D1227">
        <v>42.5</v>
      </c>
      <c r="E1227">
        <v>170</v>
      </c>
      <c r="F1227" s="1">
        <v>45706</v>
      </c>
      <c r="G1227" s="1">
        <v>45708</v>
      </c>
      <c r="H1227" t="s">
        <v>17</v>
      </c>
      <c r="I1227" t="s">
        <v>18</v>
      </c>
      <c r="J1227">
        <v>4</v>
      </c>
      <c r="K1227" t="s">
        <v>19</v>
      </c>
      <c r="L1227" t="s">
        <v>55</v>
      </c>
      <c r="M1227">
        <f>orders[[#This Row],[Ship Date]]-orders[[#This Row],[Order Date]]</f>
        <v>2</v>
      </c>
      <c r="N1227">
        <f>WEEKNUM(orders[[#This Row],[Order Date]])</f>
        <v>8</v>
      </c>
      <c r="O1227" t="str">
        <f>_xlfn.IFS(orders[[#This Row],[Customer Gender]]="M","Male", orders[[#This Row],[Customer Gender]]="F","Female", orders[[#This Row],[Customer Gender]]="O","Other", TRUE,"Unknown")</f>
        <v>Unknown</v>
      </c>
    </row>
    <row r="1228" spans="1:15">
      <c r="A1228" t="s">
        <v>1325</v>
      </c>
      <c r="B1228" t="s">
        <v>123</v>
      </c>
      <c r="C1228">
        <v>1</v>
      </c>
      <c r="D1228">
        <v>62.3</v>
      </c>
      <c r="E1228">
        <v>62.3</v>
      </c>
      <c r="F1228" s="1">
        <v>45706</v>
      </c>
      <c r="G1228" s="1">
        <v>45715</v>
      </c>
      <c r="H1228" t="s">
        <v>23</v>
      </c>
      <c r="I1228" t="s">
        <v>18</v>
      </c>
      <c r="J1228">
        <v>5</v>
      </c>
      <c r="K1228" t="s">
        <v>19</v>
      </c>
      <c r="L1228" t="s">
        <v>55</v>
      </c>
      <c r="M1228">
        <f>orders[[#This Row],[Ship Date]]-orders[[#This Row],[Order Date]]</f>
        <v>9</v>
      </c>
      <c r="N1228">
        <f>WEEKNUM(orders[[#This Row],[Order Date]])</f>
        <v>8</v>
      </c>
      <c r="O1228" t="str">
        <f>_xlfn.IFS(orders[[#This Row],[Customer Gender]]="M","Male", orders[[#This Row],[Customer Gender]]="F","Female", orders[[#This Row],[Customer Gender]]="O","Other", TRUE,"Unknown")</f>
        <v>Male</v>
      </c>
    </row>
    <row r="1229" spans="1:15">
      <c r="A1229" t="s">
        <v>1326</v>
      </c>
      <c r="B1229" t="s">
        <v>39</v>
      </c>
      <c r="C1229">
        <v>5</v>
      </c>
      <c r="D1229">
        <v>49.1</v>
      </c>
      <c r="E1229">
        <v>245.5</v>
      </c>
      <c r="F1229" s="1">
        <v>45706</v>
      </c>
      <c r="G1229" s="1">
        <v>45708</v>
      </c>
      <c r="H1229" t="s">
        <v>27</v>
      </c>
      <c r="I1229" t="s">
        <v>35</v>
      </c>
      <c r="J1229">
        <v>5</v>
      </c>
      <c r="K1229" t="s">
        <v>19</v>
      </c>
      <c r="L1229" t="s">
        <v>59</v>
      </c>
      <c r="M1229">
        <f>orders[[#This Row],[Ship Date]]-orders[[#This Row],[Order Date]]</f>
        <v>2</v>
      </c>
      <c r="N1229">
        <f>WEEKNUM(orders[[#This Row],[Order Date]])</f>
        <v>8</v>
      </c>
      <c r="O1229" t="str">
        <f>_xlfn.IFS(orders[[#This Row],[Customer Gender]]="M","Male", orders[[#This Row],[Customer Gender]]="F","Female", orders[[#This Row],[Customer Gender]]="O","Other", TRUE,"Unknown")</f>
        <v>Female</v>
      </c>
    </row>
    <row r="1230" spans="1:15">
      <c r="A1230" t="s">
        <v>1327</v>
      </c>
      <c r="B1230" t="s">
        <v>30</v>
      </c>
      <c r="C1230">
        <v>2</v>
      </c>
      <c r="D1230">
        <v>30.5</v>
      </c>
      <c r="E1230">
        <v>61</v>
      </c>
      <c r="F1230" s="1">
        <v>45706</v>
      </c>
      <c r="G1230" s="1">
        <v>45709</v>
      </c>
      <c r="H1230" t="s">
        <v>23</v>
      </c>
      <c r="I1230" t="s">
        <v>18</v>
      </c>
      <c r="J1230">
        <v>5</v>
      </c>
      <c r="K1230" t="s">
        <v>19</v>
      </c>
      <c r="L1230" t="s">
        <v>62</v>
      </c>
      <c r="M1230">
        <f>orders[[#This Row],[Ship Date]]-orders[[#This Row],[Order Date]]</f>
        <v>3</v>
      </c>
      <c r="N1230">
        <f>WEEKNUM(orders[[#This Row],[Order Date]])</f>
        <v>8</v>
      </c>
      <c r="O1230" t="str">
        <f>_xlfn.IFS(orders[[#This Row],[Customer Gender]]="M","Male", orders[[#This Row],[Customer Gender]]="F","Female", orders[[#This Row],[Customer Gender]]="O","Other", TRUE,"Unknown")</f>
        <v>Male</v>
      </c>
    </row>
    <row r="1231" spans="1:15">
      <c r="A1231" t="s">
        <v>1328</v>
      </c>
      <c r="B1231" t="s">
        <v>26</v>
      </c>
      <c r="C1231">
        <v>2</v>
      </c>
      <c r="D1231">
        <v>154.80000000000001</v>
      </c>
      <c r="E1231">
        <v>309.60000000000002</v>
      </c>
      <c r="F1231" s="1">
        <v>45706</v>
      </c>
      <c r="G1231" s="1">
        <v>45709</v>
      </c>
      <c r="H1231" t="s">
        <v>27</v>
      </c>
      <c r="I1231" t="s">
        <v>35</v>
      </c>
      <c r="J1231">
        <v>2</v>
      </c>
      <c r="K1231" t="s">
        <v>19</v>
      </c>
      <c r="L1231" t="s">
        <v>62</v>
      </c>
      <c r="M1231">
        <f>orders[[#This Row],[Ship Date]]-orders[[#This Row],[Order Date]]</f>
        <v>3</v>
      </c>
      <c r="N1231">
        <f>WEEKNUM(orders[[#This Row],[Order Date]])</f>
        <v>8</v>
      </c>
      <c r="O1231" t="str">
        <f>_xlfn.IFS(orders[[#This Row],[Customer Gender]]="M","Male", orders[[#This Row],[Customer Gender]]="F","Female", orders[[#This Row],[Customer Gender]]="O","Other", TRUE,"Unknown")</f>
        <v>Female</v>
      </c>
    </row>
    <row r="1232" spans="1:15">
      <c r="A1232" t="s">
        <v>1329</v>
      </c>
      <c r="B1232" t="s">
        <v>39</v>
      </c>
      <c r="C1232">
        <v>1</v>
      </c>
      <c r="D1232">
        <v>45</v>
      </c>
      <c r="E1232">
        <v>45</v>
      </c>
      <c r="F1232" s="1">
        <v>45706</v>
      </c>
      <c r="G1232" s="1">
        <v>45710</v>
      </c>
      <c r="H1232" t="s">
        <v>23</v>
      </c>
      <c r="I1232" t="s">
        <v>51</v>
      </c>
      <c r="J1232">
        <v>3</v>
      </c>
      <c r="K1232" t="s">
        <v>19</v>
      </c>
      <c r="L1232" t="s">
        <v>62</v>
      </c>
      <c r="M1232">
        <f>orders[[#This Row],[Ship Date]]-orders[[#This Row],[Order Date]]</f>
        <v>4</v>
      </c>
      <c r="N1232">
        <f>WEEKNUM(orders[[#This Row],[Order Date]])</f>
        <v>8</v>
      </c>
      <c r="O1232" t="str">
        <f>_xlfn.IFS(orders[[#This Row],[Customer Gender]]="M","Male", orders[[#This Row],[Customer Gender]]="F","Female", orders[[#This Row],[Customer Gender]]="O","Other", TRUE,"Unknown")</f>
        <v>Male</v>
      </c>
    </row>
    <row r="1233" spans="1:15">
      <c r="A1233" t="s">
        <v>1330</v>
      </c>
      <c r="B1233" t="s">
        <v>16</v>
      </c>
      <c r="C1233">
        <v>7</v>
      </c>
      <c r="D1233">
        <v>15.3</v>
      </c>
      <c r="E1233">
        <v>107.10000000000001</v>
      </c>
      <c r="F1233" s="1">
        <v>45706</v>
      </c>
      <c r="G1233" s="1">
        <v>45707</v>
      </c>
      <c r="H1233" t="s">
        <v>23</v>
      </c>
      <c r="I1233" t="s">
        <v>18</v>
      </c>
      <c r="J1233">
        <v>5</v>
      </c>
      <c r="K1233" t="s">
        <v>19</v>
      </c>
      <c r="L1233" t="s">
        <v>62</v>
      </c>
      <c r="M1233">
        <f>orders[[#This Row],[Ship Date]]-orders[[#This Row],[Order Date]]</f>
        <v>1</v>
      </c>
      <c r="N1233">
        <f>WEEKNUM(orders[[#This Row],[Order Date]])</f>
        <v>8</v>
      </c>
      <c r="O1233" t="str">
        <f>_xlfn.IFS(orders[[#This Row],[Customer Gender]]="M","Male", orders[[#This Row],[Customer Gender]]="F","Female", orders[[#This Row],[Customer Gender]]="O","Other", TRUE,"Unknown")</f>
        <v>Male</v>
      </c>
    </row>
    <row r="1234" spans="1:15">
      <c r="A1234" t="s">
        <v>1331</v>
      </c>
      <c r="B1234" t="s">
        <v>26</v>
      </c>
      <c r="C1234">
        <v>11</v>
      </c>
      <c r="D1234">
        <v>88.6</v>
      </c>
      <c r="E1234">
        <v>974.59999999999991</v>
      </c>
      <c r="F1234" s="1">
        <v>45706</v>
      </c>
      <c r="G1234" s="1">
        <v>45709</v>
      </c>
      <c r="H1234" t="s">
        <v>27</v>
      </c>
      <c r="I1234" t="s">
        <v>18</v>
      </c>
      <c r="J1234">
        <v>2</v>
      </c>
      <c r="K1234" t="s">
        <v>19</v>
      </c>
      <c r="L1234" t="s">
        <v>103</v>
      </c>
      <c r="M1234">
        <f>orders[[#This Row],[Ship Date]]-orders[[#This Row],[Order Date]]</f>
        <v>3</v>
      </c>
      <c r="N1234">
        <f>WEEKNUM(orders[[#This Row],[Order Date]])</f>
        <v>8</v>
      </c>
      <c r="O1234" t="str">
        <f>_xlfn.IFS(orders[[#This Row],[Customer Gender]]="M","Male", orders[[#This Row],[Customer Gender]]="F","Female", orders[[#This Row],[Customer Gender]]="O","Other", TRUE,"Unknown")</f>
        <v>Female</v>
      </c>
    </row>
    <row r="1235" spans="1:15">
      <c r="A1235" t="s">
        <v>1332</v>
      </c>
      <c r="B1235" t="s">
        <v>46</v>
      </c>
      <c r="C1235">
        <v>2</v>
      </c>
      <c r="D1235">
        <v>49.7</v>
      </c>
      <c r="E1235">
        <v>99.4</v>
      </c>
      <c r="F1235" s="1">
        <v>45706</v>
      </c>
      <c r="G1235" s="1">
        <v>45708</v>
      </c>
      <c r="H1235" t="s">
        <v>89</v>
      </c>
      <c r="I1235" t="s">
        <v>70</v>
      </c>
      <c r="J1235">
        <v>4</v>
      </c>
      <c r="K1235" t="s">
        <v>19</v>
      </c>
      <c r="L1235" t="s">
        <v>74</v>
      </c>
      <c r="M1235">
        <f>orders[[#This Row],[Ship Date]]-orders[[#This Row],[Order Date]]</f>
        <v>2</v>
      </c>
      <c r="N1235">
        <f>WEEKNUM(orders[[#This Row],[Order Date]])</f>
        <v>8</v>
      </c>
      <c r="O1235" t="str">
        <f>_xlfn.IFS(orders[[#This Row],[Customer Gender]]="M","Male", orders[[#This Row],[Customer Gender]]="F","Female", orders[[#This Row],[Customer Gender]]="O","Other", TRUE,"Unknown")</f>
        <v>Other</v>
      </c>
    </row>
    <row r="1236" spans="1:15">
      <c r="A1236" t="s">
        <v>1333</v>
      </c>
      <c r="B1236" t="s">
        <v>54</v>
      </c>
      <c r="C1236">
        <v>1</v>
      </c>
      <c r="D1236">
        <v>29</v>
      </c>
      <c r="E1236">
        <v>29</v>
      </c>
      <c r="F1236" s="1">
        <v>45706</v>
      </c>
      <c r="G1236" s="1">
        <v>45707</v>
      </c>
      <c r="H1236" t="s">
        <v>23</v>
      </c>
      <c r="I1236" t="s">
        <v>18</v>
      </c>
      <c r="J1236">
        <v>4</v>
      </c>
      <c r="K1236" t="s">
        <v>19</v>
      </c>
      <c r="L1236" t="s">
        <v>77</v>
      </c>
      <c r="M1236">
        <f>orders[[#This Row],[Ship Date]]-orders[[#This Row],[Order Date]]</f>
        <v>1</v>
      </c>
      <c r="N1236">
        <f>WEEKNUM(orders[[#This Row],[Order Date]])</f>
        <v>8</v>
      </c>
      <c r="O1236" t="str">
        <f>_xlfn.IFS(orders[[#This Row],[Customer Gender]]="M","Male", orders[[#This Row],[Customer Gender]]="F","Female", orders[[#This Row],[Customer Gender]]="O","Other", TRUE,"Unknown")</f>
        <v>Male</v>
      </c>
    </row>
    <row r="1237" spans="1:15">
      <c r="A1237" t="s">
        <v>1334</v>
      </c>
      <c r="B1237" t="s">
        <v>22</v>
      </c>
      <c r="C1237">
        <v>1</v>
      </c>
      <c r="D1237">
        <v>60.7</v>
      </c>
      <c r="E1237">
        <v>60.7</v>
      </c>
      <c r="F1237" s="1">
        <v>45706</v>
      </c>
      <c r="G1237" s="1">
        <v>45707</v>
      </c>
      <c r="H1237" t="s">
        <v>89</v>
      </c>
      <c r="I1237" t="s">
        <v>18</v>
      </c>
      <c r="J1237">
        <v>3</v>
      </c>
      <c r="K1237" t="s">
        <v>19</v>
      </c>
      <c r="L1237" t="s">
        <v>77</v>
      </c>
      <c r="M1237">
        <f>orders[[#This Row],[Ship Date]]-orders[[#This Row],[Order Date]]</f>
        <v>1</v>
      </c>
      <c r="N1237">
        <f>WEEKNUM(orders[[#This Row],[Order Date]])</f>
        <v>8</v>
      </c>
      <c r="O1237" t="str">
        <f>_xlfn.IFS(orders[[#This Row],[Customer Gender]]="M","Male", orders[[#This Row],[Customer Gender]]="F","Female", orders[[#This Row],[Customer Gender]]="O","Other", TRUE,"Unknown")</f>
        <v>Other</v>
      </c>
    </row>
    <row r="1238" spans="1:15">
      <c r="A1238" t="s">
        <v>1335</v>
      </c>
      <c r="B1238" t="s">
        <v>135</v>
      </c>
      <c r="C1238">
        <v>4</v>
      </c>
      <c r="D1238">
        <v>87.4</v>
      </c>
      <c r="E1238">
        <v>349.6</v>
      </c>
      <c r="F1238" s="1">
        <v>45706</v>
      </c>
      <c r="G1238" s="1">
        <v>45708</v>
      </c>
      <c r="H1238" t="s">
        <v>17</v>
      </c>
      <c r="I1238" t="s">
        <v>18</v>
      </c>
      <c r="J1238">
        <v>4</v>
      </c>
      <c r="K1238" t="s">
        <v>19</v>
      </c>
      <c r="L1238" t="s">
        <v>77</v>
      </c>
      <c r="M1238">
        <f>orders[[#This Row],[Ship Date]]-orders[[#This Row],[Order Date]]</f>
        <v>2</v>
      </c>
      <c r="N1238">
        <f>WEEKNUM(orders[[#This Row],[Order Date]])</f>
        <v>8</v>
      </c>
      <c r="O1238" t="str">
        <f>_xlfn.IFS(orders[[#This Row],[Customer Gender]]="M","Male", orders[[#This Row],[Customer Gender]]="F","Female", orders[[#This Row],[Customer Gender]]="O","Other", TRUE,"Unknown")</f>
        <v>Unknown</v>
      </c>
    </row>
    <row r="1239" spans="1:15">
      <c r="A1239" t="s">
        <v>1336</v>
      </c>
      <c r="B1239" t="s">
        <v>32</v>
      </c>
      <c r="C1239">
        <v>7</v>
      </c>
      <c r="D1239">
        <v>44.5</v>
      </c>
      <c r="E1239">
        <v>311.5</v>
      </c>
      <c r="F1239" s="1">
        <v>45706</v>
      </c>
      <c r="G1239" s="1">
        <v>45710</v>
      </c>
      <c r="H1239" t="s">
        <v>27</v>
      </c>
      <c r="I1239" t="s">
        <v>40</v>
      </c>
      <c r="J1239">
        <v>5</v>
      </c>
      <c r="K1239" t="s">
        <v>19</v>
      </c>
      <c r="L1239" t="s">
        <v>110</v>
      </c>
      <c r="M1239">
        <f>orders[[#This Row],[Ship Date]]-orders[[#This Row],[Order Date]]</f>
        <v>4</v>
      </c>
      <c r="N1239">
        <f>WEEKNUM(orders[[#This Row],[Order Date]])</f>
        <v>8</v>
      </c>
      <c r="O1239" t="str">
        <f>_xlfn.IFS(orders[[#This Row],[Customer Gender]]="M","Male", orders[[#This Row],[Customer Gender]]="F","Female", orders[[#This Row],[Customer Gender]]="O","Other", TRUE,"Unknown")</f>
        <v>Female</v>
      </c>
    </row>
    <row r="1240" spans="1:15">
      <c r="A1240" t="s">
        <v>1337</v>
      </c>
      <c r="B1240" t="s">
        <v>26</v>
      </c>
      <c r="C1240">
        <v>1</v>
      </c>
      <c r="D1240">
        <v>141</v>
      </c>
      <c r="E1240">
        <v>141</v>
      </c>
      <c r="F1240" s="1">
        <v>45706</v>
      </c>
      <c r="G1240" s="1">
        <v>45707</v>
      </c>
      <c r="H1240" t="s">
        <v>23</v>
      </c>
      <c r="I1240" t="s">
        <v>70</v>
      </c>
      <c r="J1240">
        <v>5</v>
      </c>
      <c r="K1240" t="s">
        <v>19</v>
      </c>
      <c r="L1240" t="s">
        <v>110</v>
      </c>
      <c r="M1240">
        <f>orders[[#This Row],[Ship Date]]-orders[[#This Row],[Order Date]]</f>
        <v>1</v>
      </c>
      <c r="N1240">
        <f>WEEKNUM(orders[[#This Row],[Order Date]])</f>
        <v>8</v>
      </c>
      <c r="O1240" t="str">
        <f>_xlfn.IFS(orders[[#This Row],[Customer Gender]]="M","Male", orders[[#This Row],[Customer Gender]]="F","Female", orders[[#This Row],[Customer Gender]]="O","Other", TRUE,"Unknown")</f>
        <v>Male</v>
      </c>
    </row>
    <row r="1241" spans="1:15">
      <c r="A1241" t="s">
        <v>1338</v>
      </c>
      <c r="B1241" t="s">
        <v>16</v>
      </c>
      <c r="C1241">
        <v>3</v>
      </c>
      <c r="D1241">
        <v>16.7</v>
      </c>
      <c r="E1241">
        <v>50.099999999999994</v>
      </c>
      <c r="F1241" s="1">
        <v>45706</v>
      </c>
      <c r="G1241" s="1">
        <v>45714</v>
      </c>
      <c r="H1241" t="s">
        <v>27</v>
      </c>
      <c r="I1241" t="s">
        <v>18</v>
      </c>
      <c r="J1241">
        <v>4</v>
      </c>
      <c r="K1241" t="s">
        <v>19</v>
      </c>
      <c r="L1241" t="s">
        <v>113</v>
      </c>
      <c r="M1241">
        <f>orders[[#This Row],[Ship Date]]-orders[[#This Row],[Order Date]]</f>
        <v>8</v>
      </c>
      <c r="N1241">
        <f>WEEKNUM(orders[[#This Row],[Order Date]])</f>
        <v>8</v>
      </c>
      <c r="O1241" t="str">
        <f>_xlfn.IFS(orders[[#This Row],[Customer Gender]]="M","Male", orders[[#This Row],[Customer Gender]]="F","Female", orders[[#This Row],[Customer Gender]]="O","Other", TRUE,"Unknown")</f>
        <v>Female</v>
      </c>
    </row>
    <row r="1242" spans="1:15">
      <c r="A1242" t="s">
        <v>1339</v>
      </c>
      <c r="B1242" t="s">
        <v>22</v>
      </c>
      <c r="C1242">
        <v>2</v>
      </c>
      <c r="D1242">
        <v>77.5</v>
      </c>
      <c r="E1242">
        <v>155</v>
      </c>
      <c r="F1242" s="1">
        <v>45706</v>
      </c>
      <c r="G1242" s="1">
        <v>45707</v>
      </c>
      <c r="H1242" t="s">
        <v>17</v>
      </c>
      <c r="I1242" t="s">
        <v>40</v>
      </c>
      <c r="J1242">
        <v>5</v>
      </c>
      <c r="K1242" t="s">
        <v>19</v>
      </c>
      <c r="L1242" t="s">
        <v>82</v>
      </c>
      <c r="M1242">
        <f>orders[[#This Row],[Ship Date]]-orders[[#This Row],[Order Date]]</f>
        <v>1</v>
      </c>
      <c r="N1242">
        <f>WEEKNUM(orders[[#This Row],[Order Date]])</f>
        <v>8</v>
      </c>
      <c r="O1242" t="str">
        <f>_xlfn.IFS(orders[[#This Row],[Customer Gender]]="M","Male", orders[[#This Row],[Customer Gender]]="F","Female", orders[[#This Row],[Customer Gender]]="O","Other", TRUE,"Unknown")</f>
        <v>Unknown</v>
      </c>
    </row>
    <row r="1243" spans="1:15">
      <c r="A1243" t="s">
        <v>1340</v>
      </c>
      <c r="B1243" t="s">
        <v>26</v>
      </c>
      <c r="C1243">
        <v>2</v>
      </c>
      <c r="D1243">
        <v>163</v>
      </c>
      <c r="E1243">
        <v>326</v>
      </c>
      <c r="F1243" s="1">
        <v>45706</v>
      </c>
      <c r="G1243" s="1">
        <v>45712</v>
      </c>
      <c r="H1243" t="s">
        <v>27</v>
      </c>
      <c r="I1243" t="s">
        <v>70</v>
      </c>
      <c r="J1243">
        <v>4</v>
      </c>
      <c r="K1243" t="s">
        <v>19</v>
      </c>
      <c r="L1243" t="s">
        <v>115</v>
      </c>
      <c r="M1243">
        <f>orders[[#This Row],[Ship Date]]-orders[[#This Row],[Order Date]]</f>
        <v>6</v>
      </c>
      <c r="N1243">
        <f>WEEKNUM(orders[[#This Row],[Order Date]])</f>
        <v>8</v>
      </c>
      <c r="O1243" t="str">
        <f>_xlfn.IFS(orders[[#This Row],[Customer Gender]]="M","Male", orders[[#This Row],[Customer Gender]]="F","Female", orders[[#This Row],[Customer Gender]]="O","Other", TRUE,"Unknown")</f>
        <v>Female</v>
      </c>
    </row>
    <row r="1244" spans="1:15">
      <c r="A1244" t="s">
        <v>1341</v>
      </c>
      <c r="B1244" t="s">
        <v>32</v>
      </c>
      <c r="C1244">
        <v>9</v>
      </c>
      <c r="D1244">
        <v>21.4</v>
      </c>
      <c r="E1244">
        <v>192.6</v>
      </c>
      <c r="F1244" s="1">
        <v>45706</v>
      </c>
      <c r="G1244" s="1">
        <v>45709</v>
      </c>
      <c r="H1244" t="s">
        <v>27</v>
      </c>
      <c r="I1244" t="s">
        <v>18</v>
      </c>
      <c r="J1244">
        <v>4</v>
      </c>
      <c r="K1244" t="s">
        <v>19</v>
      </c>
      <c r="L1244" t="s">
        <v>967</v>
      </c>
      <c r="M1244">
        <f>orders[[#This Row],[Ship Date]]-orders[[#This Row],[Order Date]]</f>
        <v>3</v>
      </c>
      <c r="N1244">
        <f>WEEKNUM(orders[[#This Row],[Order Date]])</f>
        <v>8</v>
      </c>
      <c r="O1244" t="str">
        <f>_xlfn.IFS(orders[[#This Row],[Customer Gender]]="M","Male", orders[[#This Row],[Customer Gender]]="F","Female", orders[[#This Row],[Customer Gender]]="O","Other", TRUE,"Unknown")</f>
        <v>Female</v>
      </c>
    </row>
    <row r="1245" spans="1:15">
      <c r="A1245" t="s">
        <v>1342</v>
      </c>
      <c r="B1245" t="s">
        <v>54</v>
      </c>
      <c r="C1245">
        <v>11</v>
      </c>
      <c r="D1245">
        <v>31</v>
      </c>
      <c r="E1245">
        <v>341</v>
      </c>
      <c r="F1245" s="1">
        <v>45706</v>
      </c>
      <c r="G1245" s="1">
        <v>45708</v>
      </c>
      <c r="H1245" t="s">
        <v>27</v>
      </c>
      <c r="I1245" t="s">
        <v>51</v>
      </c>
      <c r="J1245">
        <v>5</v>
      </c>
      <c r="K1245" t="s">
        <v>19</v>
      </c>
      <c r="L1245" t="s">
        <v>24</v>
      </c>
      <c r="M1245">
        <f>orders[[#This Row],[Ship Date]]-orders[[#This Row],[Order Date]]</f>
        <v>2</v>
      </c>
      <c r="N1245">
        <f>WEEKNUM(orders[[#This Row],[Order Date]])</f>
        <v>8</v>
      </c>
      <c r="O1245" t="str">
        <f>_xlfn.IFS(orders[[#This Row],[Customer Gender]]="M","Male", orders[[#This Row],[Customer Gender]]="F","Female", orders[[#This Row],[Customer Gender]]="O","Other", TRUE,"Unknown")</f>
        <v>Female</v>
      </c>
    </row>
    <row r="1246" spans="1:15">
      <c r="A1246" t="s">
        <v>1343</v>
      </c>
      <c r="B1246" t="s">
        <v>42</v>
      </c>
      <c r="C1246">
        <v>2</v>
      </c>
      <c r="D1246">
        <v>34.299999999999997</v>
      </c>
      <c r="E1246">
        <v>68.599999999999994</v>
      </c>
      <c r="F1246" s="1">
        <v>45706</v>
      </c>
      <c r="G1246" s="1">
        <v>45708</v>
      </c>
      <c r="H1246" t="s">
        <v>27</v>
      </c>
      <c r="I1246" t="s">
        <v>18</v>
      </c>
      <c r="J1246">
        <v>1</v>
      </c>
      <c r="K1246" t="s">
        <v>19</v>
      </c>
      <c r="L1246" t="s">
        <v>24</v>
      </c>
      <c r="M1246">
        <f>orders[[#This Row],[Ship Date]]-orders[[#This Row],[Order Date]]</f>
        <v>2</v>
      </c>
      <c r="N1246">
        <f>WEEKNUM(orders[[#This Row],[Order Date]])</f>
        <v>8</v>
      </c>
      <c r="O1246" t="str">
        <f>_xlfn.IFS(orders[[#This Row],[Customer Gender]]="M","Male", orders[[#This Row],[Customer Gender]]="F","Female", orders[[#This Row],[Customer Gender]]="O","Other", TRUE,"Unknown")</f>
        <v>Female</v>
      </c>
    </row>
    <row r="1247" spans="1:15">
      <c r="A1247" t="s">
        <v>1344</v>
      </c>
      <c r="B1247" t="s">
        <v>135</v>
      </c>
      <c r="C1247">
        <v>5</v>
      </c>
      <c r="D1247">
        <v>48.2</v>
      </c>
      <c r="E1247">
        <v>241</v>
      </c>
      <c r="F1247" s="1">
        <v>45706</v>
      </c>
      <c r="G1247" s="1">
        <v>45707</v>
      </c>
      <c r="H1247" t="s">
        <v>23</v>
      </c>
      <c r="I1247" t="s">
        <v>35</v>
      </c>
      <c r="J1247">
        <v>3</v>
      </c>
      <c r="K1247" t="s">
        <v>19</v>
      </c>
      <c r="L1247" t="s">
        <v>28</v>
      </c>
      <c r="M1247">
        <f>orders[[#This Row],[Ship Date]]-orders[[#This Row],[Order Date]]</f>
        <v>1</v>
      </c>
      <c r="N1247">
        <f>WEEKNUM(orders[[#This Row],[Order Date]])</f>
        <v>8</v>
      </c>
      <c r="O1247" t="str">
        <f>_xlfn.IFS(orders[[#This Row],[Customer Gender]]="M","Male", orders[[#This Row],[Customer Gender]]="F","Female", orders[[#This Row],[Customer Gender]]="O","Other", TRUE,"Unknown")</f>
        <v>Male</v>
      </c>
    </row>
    <row r="1248" spans="1:15">
      <c r="A1248" t="s">
        <v>1345</v>
      </c>
      <c r="B1248" t="s">
        <v>54</v>
      </c>
      <c r="C1248">
        <v>1</v>
      </c>
      <c r="D1248">
        <v>51.4</v>
      </c>
      <c r="E1248">
        <v>51.4</v>
      </c>
      <c r="F1248" s="1">
        <v>45706</v>
      </c>
      <c r="G1248" s="1">
        <v>45707</v>
      </c>
      <c r="H1248" t="s">
        <v>23</v>
      </c>
      <c r="I1248" t="s">
        <v>18</v>
      </c>
      <c r="J1248">
        <v>4</v>
      </c>
      <c r="K1248" t="s">
        <v>19</v>
      </c>
      <c r="L1248" t="s">
        <v>33</v>
      </c>
      <c r="M1248">
        <f>orders[[#This Row],[Ship Date]]-orders[[#This Row],[Order Date]]</f>
        <v>1</v>
      </c>
      <c r="N1248">
        <f>WEEKNUM(orders[[#This Row],[Order Date]])</f>
        <v>8</v>
      </c>
      <c r="O1248" t="str">
        <f>_xlfn.IFS(orders[[#This Row],[Customer Gender]]="M","Male", orders[[#This Row],[Customer Gender]]="F","Female", orders[[#This Row],[Customer Gender]]="O","Other", TRUE,"Unknown")</f>
        <v>Male</v>
      </c>
    </row>
    <row r="1249" spans="1:15">
      <c r="A1249" t="s">
        <v>1346</v>
      </c>
      <c r="B1249" t="s">
        <v>26</v>
      </c>
      <c r="C1249">
        <v>5</v>
      </c>
      <c r="D1249">
        <v>117.2</v>
      </c>
      <c r="E1249">
        <v>586</v>
      </c>
      <c r="F1249" s="1">
        <v>45706</v>
      </c>
      <c r="G1249" s="1">
        <v>45709</v>
      </c>
      <c r="H1249" t="s">
        <v>27</v>
      </c>
      <c r="I1249" t="s">
        <v>70</v>
      </c>
      <c r="J1249">
        <v>2</v>
      </c>
      <c r="K1249" t="s">
        <v>19</v>
      </c>
      <c r="L1249" t="s">
        <v>33</v>
      </c>
      <c r="M1249">
        <f>orders[[#This Row],[Ship Date]]-orders[[#This Row],[Order Date]]</f>
        <v>3</v>
      </c>
      <c r="N1249">
        <f>WEEKNUM(orders[[#This Row],[Order Date]])</f>
        <v>8</v>
      </c>
      <c r="O1249" t="str">
        <f>_xlfn.IFS(orders[[#This Row],[Customer Gender]]="M","Male", orders[[#This Row],[Customer Gender]]="F","Female", orders[[#This Row],[Customer Gender]]="O","Other", TRUE,"Unknown")</f>
        <v>Female</v>
      </c>
    </row>
    <row r="1250" spans="1:15">
      <c r="A1250" t="s">
        <v>1347</v>
      </c>
      <c r="B1250" t="s">
        <v>44</v>
      </c>
      <c r="C1250">
        <v>1</v>
      </c>
      <c r="D1250">
        <v>38.1</v>
      </c>
      <c r="E1250">
        <v>38.1</v>
      </c>
      <c r="F1250" s="1">
        <v>45706</v>
      </c>
      <c r="G1250" s="1">
        <v>45706</v>
      </c>
      <c r="H1250" t="s">
        <v>23</v>
      </c>
      <c r="I1250" t="s">
        <v>70</v>
      </c>
      <c r="J1250">
        <v>3</v>
      </c>
      <c r="K1250" t="s">
        <v>19</v>
      </c>
      <c r="L1250" t="s">
        <v>33</v>
      </c>
      <c r="M1250">
        <f>orders[[#This Row],[Ship Date]]-orders[[#This Row],[Order Date]]</f>
        <v>0</v>
      </c>
      <c r="N1250">
        <f>WEEKNUM(orders[[#This Row],[Order Date]])</f>
        <v>8</v>
      </c>
      <c r="O1250" t="str">
        <f>_xlfn.IFS(orders[[#This Row],[Customer Gender]]="M","Male", orders[[#This Row],[Customer Gender]]="F","Female", orders[[#This Row],[Customer Gender]]="O","Other", TRUE,"Unknown")</f>
        <v>Male</v>
      </c>
    </row>
    <row r="1251" spans="1:15">
      <c r="A1251" t="s">
        <v>1348</v>
      </c>
      <c r="B1251" t="s">
        <v>16</v>
      </c>
      <c r="C1251">
        <v>2</v>
      </c>
      <c r="D1251">
        <v>44.1</v>
      </c>
      <c r="E1251">
        <v>88.2</v>
      </c>
      <c r="F1251" s="1">
        <v>45706</v>
      </c>
      <c r="G1251" s="1">
        <v>45708</v>
      </c>
      <c r="H1251" t="s">
        <v>27</v>
      </c>
      <c r="I1251" t="s">
        <v>40</v>
      </c>
      <c r="J1251">
        <v>4</v>
      </c>
      <c r="K1251" t="s">
        <v>19</v>
      </c>
      <c r="L1251" t="s">
        <v>33</v>
      </c>
      <c r="M1251">
        <f>orders[[#This Row],[Ship Date]]-orders[[#This Row],[Order Date]]</f>
        <v>2</v>
      </c>
      <c r="N1251">
        <f>WEEKNUM(orders[[#This Row],[Order Date]])</f>
        <v>8</v>
      </c>
      <c r="O1251" t="str">
        <f>_xlfn.IFS(orders[[#This Row],[Customer Gender]]="M","Male", orders[[#This Row],[Customer Gender]]="F","Female", orders[[#This Row],[Customer Gender]]="O","Other", TRUE,"Unknown")</f>
        <v>Female</v>
      </c>
    </row>
    <row r="1252" spans="1:15">
      <c r="A1252" t="s">
        <v>1349</v>
      </c>
      <c r="B1252" t="s">
        <v>123</v>
      </c>
      <c r="C1252">
        <v>4</v>
      </c>
      <c r="D1252">
        <v>80.5</v>
      </c>
      <c r="E1252">
        <v>322</v>
      </c>
      <c r="F1252" s="1">
        <v>45706</v>
      </c>
      <c r="G1252" s="1">
        <v>45711</v>
      </c>
      <c r="H1252" t="s">
        <v>23</v>
      </c>
      <c r="I1252" t="s">
        <v>18</v>
      </c>
      <c r="J1252">
        <v>4</v>
      </c>
      <c r="K1252" t="s">
        <v>19</v>
      </c>
      <c r="L1252" t="s">
        <v>33</v>
      </c>
      <c r="M1252">
        <f>orders[[#This Row],[Ship Date]]-orders[[#This Row],[Order Date]]</f>
        <v>5</v>
      </c>
      <c r="N1252">
        <f>WEEKNUM(orders[[#This Row],[Order Date]])</f>
        <v>8</v>
      </c>
      <c r="O1252" t="str">
        <f>_xlfn.IFS(orders[[#This Row],[Customer Gender]]="M","Male", orders[[#This Row],[Customer Gender]]="F","Female", orders[[#This Row],[Customer Gender]]="O","Other", TRUE,"Unknown")</f>
        <v>Male</v>
      </c>
    </row>
    <row r="1253" spans="1:15">
      <c r="A1253" t="s">
        <v>1350</v>
      </c>
      <c r="B1253" t="s">
        <v>146</v>
      </c>
      <c r="C1253">
        <v>4</v>
      </c>
      <c r="D1253">
        <v>33.6</v>
      </c>
      <c r="E1253">
        <v>134.4</v>
      </c>
      <c r="F1253" s="1">
        <v>45706</v>
      </c>
      <c r="G1253" s="1">
        <v>45711</v>
      </c>
      <c r="H1253" t="s">
        <v>17</v>
      </c>
      <c r="I1253" t="s">
        <v>18</v>
      </c>
      <c r="J1253">
        <v>5</v>
      </c>
      <c r="K1253" t="s">
        <v>19</v>
      </c>
      <c r="L1253" t="s">
        <v>33</v>
      </c>
      <c r="M1253">
        <f>orders[[#This Row],[Ship Date]]-orders[[#This Row],[Order Date]]</f>
        <v>5</v>
      </c>
      <c r="N1253">
        <f>WEEKNUM(orders[[#This Row],[Order Date]])</f>
        <v>8</v>
      </c>
      <c r="O1253" t="str">
        <f>_xlfn.IFS(orders[[#This Row],[Customer Gender]]="M","Male", orders[[#This Row],[Customer Gender]]="F","Female", orders[[#This Row],[Customer Gender]]="O","Other", TRUE,"Unknown")</f>
        <v>Unknown</v>
      </c>
    </row>
    <row r="1254" spans="1:15">
      <c r="A1254" t="s">
        <v>1351</v>
      </c>
      <c r="B1254" t="s">
        <v>46</v>
      </c>
      <c r="C1254">
        <v>9</v>
      </c>
      <c r="D1254">
        <v>41.8</v>
      </c>
      <c r="E1254">
        <v>376.2</v>
      </c>
      <c r="F1254" s="1">
        <v>45706</v>
      </c>
      <c r="G1254" s="1">
        <v>45707</v>
      </c>
      <c r="H1254" t="s">
        <v>27</v>
      </c>
      <c r="I1254" t="s">
        <v>18</v>
      </c>
      <c r="J1254">
        <v>3</v>
      </c>
      <c r="K1254" t="s">
        <v>19</v>
      </c>
      <c r="L1254" t="s">
        <v>33</v>
      </c>
      <c r="M1254">
        <f>orders[[#This Row],[Ship Date]]-orders[[#This Row],[Order Date]]</f>
        <v>1</v>
      </c>
      <c r="N1254">
        <f>WEEKNUM(orders[[#This Row],[Order Date]])</f>
        <v>8</v>
      </c>
      <c r="O1254" t="str">
        <f>_xlfn.IFS(orders[[#This Row],[Customer Gender]]="M","Male", orders[[#This Row],[Customer Gender]]="F","Female", orders[[#This Row],[Customer Gender]]="O","Other", TRUE,"Unknown")</f>
        <v>Female</v>
      </c>
    </row>
    <row r="1255" spans="1:15">
      <c r="A1255" t="s">
        <v>1352</v>
      </c>
      <c r="B1255" t="s">
        <v>22</v>
      </c>
      <c r="C1255">
        <v>2</v>
      </c>
      <c r="D1255">
        <v>106.2</v>
      </c>
      <c r="E1255">
        <v>212.4</v>
      </c>
      <c r="F1255" s="1">
        <v>45706</v>
      </c>
      <c r="G1255" s="1">
        <v>45706</v>
      </c>
      <c r="H1255" t="s">
        <v>27</v>
      </c>
      <c r="I1255" t="s">
        <v>70</v>
      </c>
      <c r="J1255">
        <v>5</v>
      </c>
      <c r="K1255" t="s">
        <v>19</v>
      </c>
      <c r="L1255" t="s">
        <v>33</v>
      </c>
      <c r="M1255">
        <f>orders[[#This Row],[Ship Date]]-orders[[#This Row],[Order Date]]</f>
        <v>0</v>
      </c>
      <c r="N1255">
        <f>WEEKNUM(orders[[#This Row],[Order Date]])</f>
        <v>8</v>
      </c>
      <c r="O1255" t="str">
        <f>_xlfn.IFS(orders[[#This Row],[Customer Gender]]="M","Male", orders[[#This Row],[Customer Gender]]="F","Female", orders[[#This Row],[Customer Gender]]="O","Other", TRUE,"Unknown")</f>
        <v>Female</v>
      </c>
    </row>
    <row r="1256" spans="1:15">
      <c r="A1256" t="s">
        <v>1353</v>
      </c>
      <c r="B1256" t="s">
        <v>22</v>
      </c>
      <c r="C1256">
        <v>2</v>
      </c>
      <c r="D1256">
        <v>52.6</v>
      </c>
      <c r="E1256">
        <v>105.2</v>
      </c>
      <c r="F1256" s="1">
        <v>45706</v>
      </c>
      <c r="G1256" s="1">
        <v>45707</v>
      </c>
      <c r="H1256" t="s">
        <v>27</v>
      </c>
      <c r="I1256" t="s">
        <v>18</v>
      </c>
      <c r="J1256">
        <v>5</v>
      </c>
      <c r="K1256" t="s">
        <v>19</v>
      </c>
      <c r="L1256" t="s">
        <v>52</v>
      </c>
      <c r="M1256">
        <f>orders[[#This Row],[Ship Date]]-orders[[#This Row],[Order Date]]</f>
        <v>1</v>
      </c>
      <c r="N1256">
        <f>WEEKNUM(orders[[#This Row],[Order Date]])</f>
        <v>8</v>
      </c>
      <c r="O1256" t="str">
        <f>_xlfn.IFS(orders[[#This Row],[Customer Gender]]="M","Male", orders[[#This Row],[Customer Gender]]="F","Female", orders[[#This Row],[Customer Gender]]="O","Other", TRUE,"Unknown")</f>
        <v>Female</v>
      </c>
    </row>
    <row r="1257" spans="1:15">
      <c r="A1257" t="s">
        <v>1354</v>
      </c>
      <c r="B1257" t="s">
        <v>67</v>
      </c>
      <c r="C1257">
        <v>7</v>
      </c>
      <c r="D1257">
        <v>68.5</v>
      </c>
      <c r="E1257">
        <v>479.5</v>
      </c>
      <c r="F1257" s="1">
        <v>45706</v>
      </c>
      <c r="G1257" s="1">
        <v>45707</v>
      </c>
      <c r="H1257" t="s">
        <v>27</v>
      </c>
      <c r="I1257" t="s">
        <v>35</v>
      </c>
      <c r="J1257">
        <v>4</v>
      </c>
      <c r="K1257" t="s">
        <v>19</v>
      </c>
      <c r="L1257" t="s">
        <v>52</v>
      </c>
      <c r="M1257">
        <f>orders[[#This Row],[Ship Date]]-orders[[#This Row],[Order Date]]</f>
        <v>1</v>
      </c>
      <c r="N1257">
        <f>WEEKNUM(orders[[#This Row],[Order Date]])</f>
        <v>8</v>
      </c>
      <c r="O1257" t="str">
        <f>_xlfn.IFS(orders[[#This Row],[Customer Gender]]="M","Male", orders[[#This Row],[Customer Gender]]="F","Female", orders[[#This Row],[Customer Gender]]="O","Other", TRUE,"Unknown")</f>
        <v>Female</v>
      </c>
    </row>
    <row r="1258" spans="1:15">
      <c r="A1258" t="s">
        <v>1355</v>
      </c>
      <c r="B1258" t="s">
        <v>22</v>
      </c>
      <c r="C1258">
        <v>2</v>
      </c>
      <c r="D1258">
        <v>55.6</v>
      </c>
      <c r="E1258">
        <v>111.2</v>
      </c>
      <c r="F1258" s="1">
        <v>45706</v>
      </c>
      <c r="G1258" s="1">
        <v>45708</v>
      </c>
      <c r="H1258" t="s">
        <v>23</v>
      </c>
      <c r="I1258" t="s">
        <v>35</v>
      </c>
      <c r="J1258">
        <v>5</v>
      </c>
      <c r="K1258" t="s">
        <v>19</v>
      </c>
      <c r="L1258" t="s">
        <v>55</v>
      </c>
      <c r="M1258">
        <f>orders[[#This Row],[Ship Date]]-orders[[#This Row],[Order Date]]</f>
        <v>2</v>
      </c>
      <c r="N1258">
        <f>WEEKNUM(orders[[#This Row],[Order Date]])</f>
        <v>8</v>
      </c>
      <c r="O1258" t="str">
        <f>_xlfn.IFS(orders[[#This Row],[Customer Gender]]="M","Male", orders[[#This Row],[Customer Gender]]="F","Female", orders[[#This Row],[Customer Gender]]="O","Other", TRUE,"Unknown")</f>
        <v>Male</v>
      </c>
    </row>
    <row r="1259" spans="1:15">
      <c r="A1259" t="s">
        <v>1356</v>
      </c>
      <c r="B1259" t="s">
        <v>26</v>
      </c>
      <c r="C1259">
        <v>3</v>
      </c>
      <c r="D1259">
        <v>134.9</v>
      </c>
      <c r="E1259">
        <v>404.70000000000005</v>
      </c>
      <c r="F1259" s="1">
        <v>45706</v>
      </c>
      <c r="G1259" s="1">
        <v>45707</v>
      </c>
      <c r="H1259" t="s">
        <v>23</v>
      </c>
      <c r="I1259" t="s">
        <v>35</v>
      </c>
      <c r="J1259">
        <v>3</v>
      </c>
      <c r="K1259" t="s">
        <v>19</v>
      </c>
      <c r="L1259" t="s">
        <v>55</v>
      </c>
      <c r="M1259">
        <f>orders[[#This Row],[Ship Date]]-orders[[#This Row],[Order Date]]</f>
        <v>1</v>
      </c>
      <c r="N1259">
        <f>WEEKNUM(orders[[#This Row],[Order Date]])</f>
        <v>8</v>
      </c>
      <c r="O1259" t="str">
        <f>_xlfn.IFS(orders[[#This Row],[Customer Gender]]="M","Male", orders[[#This Row],[Customer Gender]]="F","Female", orders[[#This Row],[Customer Gender]]="O","Other", TRUE,"Unknown")</f>
        <v>Male</v>
      </c>
    </row>
    <row r="1260" spans="1:15">
      <c r="A1260" t="s">
        <v>1357</v>
      </c>
      <c r="B1260" t="s">
        <v>54</v>
      </c>
      <c r="C1260">
        <v>5</v>
      </c>
      <c r="D1260">
        <v>42.6</v>
      </c>
      <c r="E1260">
        <v>213</v>
      </c>
      <c r="F1260" s="1">
        <v>45706</v>
      </c>
      <c r="G1260" s="1">
        <v>45707</v>
      </c>
      <c r="H1260" t="s">
        <v>23</v>
      </c>
      <c r="I1260" t="s">
        <v>18</v>
      </c>
      <c r="J1260">
        <v>4</v>
      </c>
      <c r="K1260" t="s">
        <v>19</v>
      </c>
      <c r="L1260" t="s">
        <v>55</v>
      </c>
      <c r="M1260">
        <f>orders[[#This Row],[Ship Date]]-orders[[#This Row],[Order Date]]</f>
        <v>1</v>
      </c>
      <c r="N1260">
        <f>WEEKNUM(orders[[#This Row],[Order Date]])</f>
        <v>8</v>
      </c>
      <c r="O1260" t="str">
        <f>_xlfn.IFS(orders[[#This Row],[Customer Gender]]="M","Male", orders[[#This Row],[Customer Gender]]="F","Female", orders[[#This Row],[Customer Gender]]="O","Other", TRUE,"Unknown")</f>
        <v>Male</v>
      </c>
    </row>
    <row r="1261" spans="1:15">
      <c r="A1261" t="s">
        <v>1358</v>
      </c>
      <c r="B1261" t="s">
        <v>42</v>
      </c>
      <c r="C1261">
        <v>5</v>
      </c>
      <c r="D1261">
        <v>60.6</v>
      </c>
      <c r="E1261">
        <v>303</v>
      </c>
      <c r="F1261" s="1">
        <v>45706</v>
      </c>
      <c r="G1261" s="1">
        <v>45708</v>
      </c>
      <c r="H1261" t="s">
        <v>23</v>
      </c>
      <c r="I1261" t="s">
        <v>70</v>
      </c>
      <c r="J1261">
        <v>4</v>
      </c>
      <c r="K1261" t="s">
        <v>19</v>
      </c>
      <c r="L1261" t="s">
        <v>55</v>
      </c>
      <c r="M1261">
        <f>orders[[#This Row],[Ship Date]]-orders[[#This Row],[Order Date]]</f>
        <v>2</v>
      </c>
      <c r="N1261">
        <f>WEEKNUM(orders[[#This Row],[Order Date]])</f>
        <v>8</v>
      </c>
      <c r="O1261" t="str">
        <f>_xlfn.IFS(orders[[#This Row],[Customer Gender]]="M","Male", orders[[#This Row],[Customer Gender]]="F","Female", orders[[#This Row],[Customer Gender]]="O","Other", TRUE,"Unknown")</f>
        <v>Male</v>
      </c>
    </row>
    <row r="1262" spans="1:15">
      <c r="A1262" t="s">
        <v>1359</v>
      </c>
      <c r="B1262" t="s">
        <v>44</v>
      </c>
      <c r="C1262">
        <v>2</v>
      </c>
      <c r="D1262">
        <v>43.5</v>
      </c>
      <c r="E1262">
        <v>87</v>
      </c>
      <c r="F1262" s="1">
        <v>45706</v>
      </c>
      <c r="G1262" s="1">
        <v>45707</v>
      </c>
      <c r="H1262" t="s">
        <v>23</v>
      </c>
      <c r="I1262" t="s">
        <v>70</v>
      </c>
      <c r="J1262">
        <v>4</v>
      </c>
      <c r="K1262" t="s">
        <v>19</v>
      </c>
      <c r="L1262" t="s">
        <v>59</v>
      </c>
      <c r="M1262">
        <f>orders[[#This Row],[Ship Date]]-orders[[#This Row],[Order Date]]</f>
        <v>1</v>
      </c>
      <c r="N1262">
        <f>WEEKNUM(orders[[#This Row],[Order Date]])</f>
        <v>8</v>
      </c>
      <c r="O1262" t="str">
        <f>_xlfn.IFS(orders[[#This Row],[Customer Gender]]="M","Male", orders[[#This Row],[Customer Gender]]="F","Female", orders[[#This Row],[Customer Gender]]="O","Other", TRUE,"Unknown")</f>
        <v>Male</v>
      </c>
    </row>
    <row r="1263" spans="1:15">
      <c r="A1263" t="s">
        <v>1360</v>
      </c>
      <c r="B1263" t="s">
        <v>26</v>
      </c>
      <c r="C1263">
        <v>2</v>
      </c>
      <c r="D1263">
        <v>187.1</v>
      </c>
      <c r="E1263">
        <v>374.2</v>
      </c>
      <c r="F1263" s="1">
        <v>45706</v>
      </c>
      <c r="G1263" s="1">
        <v>45707</v>
      </c>
      <c r="H1263" t="s">
        <v>23</v>
      </c>
      <c r="I1263" t="s">
        <v>35</v>
      </c>
      <c r="J1263">
        <v>5</v>
      </c>
      <c r="K1263" t="s">
        <v>19</v>
      </c>
      <c r="L1263" t="s">
        <v>62</v>
      </c>
      <c r="M1263">
        <f>orders[[#This Row],[Ship Date]]-orders[[#This Row],[Order Date]]</f>
        <v>1</v>
      </c>
      <c r="N1263">
        <f>WEEKNUM(orders[[#This Row],[Order Date]])</f>
        <v>8</v>
      </c>
      <c r="O1263" t="str">
        <f>_xlfn.IFS(orders[[#This Row],[Customer Gender]]="M","Male", orders[[#This Row],[Customer Gender]]="F","Female", orders[[#This Row],[Customer Gender]]="O","Other", TRUE,"Unknown")</f>
        <v>Male</v>
      </c>
    </row>
    <row r="1264" spans="1:15">
      <c r="A1264" t="s">
        <v>1361</v>
      </c>
      <c r="B1264" t="s">
        <v>46</v>
      </c>
      <c r="C1264">
        <v>3</v>
      </c>
      <c r="D1264">
        <v>32</v>
      </c>
      <c r="E1264">
        <v>96</v>
      </c>
      <c r="F1264" s="1">
        <v>45706</v>
      </c>
      <c r="G1264" s="1">
        <v>45708</v>
      </c>
      <c r="H1264" t="s">
        <v>23</v>
      </c>
      <c r="I1264" t="s">
        <v>18</v>
      </c>
      <c r="J1264">
        <v>4</v>
      </c>
      <c r="K1264" t="s">
        <v>19</v>
      </c>
      <c r="L1264" t="s">
        <v>62</v>
      </c>
      <c r="M1264">
        <f>orders[[#This Row],[Ship Date]]-orders[[#This Row],[Order Date]]</f>
        <v>2</v>
      </c>
      <c r="N1264">
        <f>WEEKNUM(orders[[#This Row],[Order Date]])</f>
        <v>8</v>
      </c>
      <c r="O1264" t="str">
        <f>_xlfn.IFS(orders[[#This Row],[Customer Gender]]="M","Male", orders[[#This Row],[Customer Gender]]="F","Female", orders[[#This Row],[Customer Gender]]="O","Other", TRUE,"Unknown")</f>
        <v>Male</v>
      </c>
    </row>
    <row r="1265" spans="1:15">
      <c r="A1265" t="s">
        <v>1362</v>
      </c>
      <c r="B1265" t="s">
        <v>46</v>
      </c>
      <c r="C1265">
        <v>2</v>
      </c>
      <c r="D1265">
        <v>110.8</v>
      </c>
      <c r="E1265">
        <v>221.6</v>
      </c>
      <c r="F1265" s="1">
        <v>45706</v>
      </c>
      <c r="G1265" s="1">
        <v>45706</v>
      </c>
      <c r="H1265" t="s">
        <v>23</v>
      </c>
      <c r="I1265" t="s">
        <v>18</v>
      </c>
      <c r="J1265">
        <v>5</v>
      </c>
      <c r="K1265" t="s">
        <v>19</v>
      </c>
      <c r="L1265" t="s">
        <v>62</v>
      </c>
      <c r="M1265">
        <f>orders[[#This Row],[Ship Date]]-orders[[#This Row],[Order Date]]</f>
        <v>0</v>
      </c>
      <c r="N1265">
        <f>WEEKNUM(orders[[#This Row],[Order Date]])</f>
        <v>8</v>
      </c>
      <c r="O1265" t="str">
        <f>_xlfn.IFS(orders[[#This Row],[Customer Gender]]="M","Male", orders[[#This Row],[Customer Gender]]="F","Female", orders[[#This Row],[Customer Gender]]="O","Other", TRUE,"Unknown")</f>
        <v>Male</v>
      </c>
    </row>
    <row r="1266" spans="1:15">
      <c r="A1266" t="s">
        <v>1363</v>
      </c>
      <c r="B1266" t="s">
        <v>54</v>
      </c>
      <c r="C1266">
        <v>13</v>
      </c>
      <c r="D1266">
        <v>36.1</v>
      </c>
      <c r="E1266">
        <v>469.3</v>
      </c>
      <c r="F1266" s="1">
        <v>45706</v>
      </c>
      <c r="G1266" s="1">
        <v>45709</v>
      </c>
      <c r="H1266" t="s">
        <v>27</v>
      </c>
      <c r="I1266" t="s">
        <v>18</v>
      </c>
      <c r="J1266">
        <v>3</v>
      </c>
      <c r="K1266" t="s">
        <v>19</v>
      </c>
      <c r="L1266" t="s">
        <v>62</v>
      </c>
      <c r="M1266">
        <f>orders[[#This Row],[Ship Date]]-orders[[#This Row],[Order Date]]</f>
        <v>3</v>
      </c>
      <c r="N1266">
        <f>WEEKNUM(orders[[#This Row],[Order Date]])</f>
        <v>8</v>
      </c>
      <c r="O1266" t="str">
        <f>_xlfn.IFS(orders[[#This Row],[Customer Gender]]="M","Male", orders[[#This Row],[Customer Gender]]="F","Female", orders[[#This Row],[Customer Gender]]="O","Other", TRUE,"Unknown")</f>
        <v>Female</v>
      </c>
    </row>
    <row r="1267" spans="1:15">
      <c r="A1267" t="s">
        <v>1364</v>
      </c>
      <c r="B1267" t="s">
        <v>16</v>
      </c>
      <c r="C1267">
        <v>1</v>
      </c>
      <c r="D1267">
        <v>24.1</v>
      </c>
      <c r="E1267">
        <v>24.1</v>
      </c>
      <c r="F1267" s="1">
        <v>45706</v>
      </c>
      <c r="G1267" s="1">
        <v>45708</v>
      </c>
      <c r="H1267" t="s">
        <v>27</v>
      </c>
      <c r="I1267" t="s">
        <v>70</v>
      </c>
      <c r="J1267">
        <v>5</v>
      </c>
      <c r="K1267" t="s">
        <v>19</v>
      </c>
      <c r="L1267" t="s">
        <v>62</v>
      </c>
      <c r="M1267">
        <f>orders[[#This Row],[Ship Date]]-orders[[#This Row],[Order Date]]</f>
        <v>2</v>
      </c>
      <c r="N1267">
        <f>WEEKNUM(orders[[#This Row],[Order Date]])</f>
        <v>8</v>
      </c>
      <c r="O1267" t="str">
        <f>_xlfn.IFS(orders[[#This Row],[Customer Gender]]="M","Male", orders[[#This Row],[Customer Gender]]="F","Female", orders[[#This Row],[Customer Gender]]="O","Other", TRUE,"Unknown")</f>
        <v>Female</v>
      </c>
    </row>
    <row r="1268" spans="1:15">
      <c r="A1268" t="s">
        <v>1365</v>
      </c>
      <c r="B1268" t="s">
        <v>171</v>
      </c>
      <c r="C1268">
        <v>3</v>
      </c>
      <c r="D1268">
        <v>30.5</v>
      </c>
      <c r="E1268">
        <v>91.5</v>
      </c>
      <c r="F1268" s="1">
        <v>45706</v>
      </c>
      <c r="G1268" s="1">
        <v>45708</v>
      </c>
      <c r="H1268" t="s">
        <v>23</v>
      </c>
      <c r="I1268" t="s">
        <v>35</v>
      </c>
      <c r="J1268">
        <v>4</v>
      </c>
      <c r="K1268" t="s">
        <v>19</v>
      </c>
      <c r="L1268" t="s">
        <v>62</v>
      </c>
      <c r="M1268">
        <f>orders[[#This Row],[Ship Date]]-orders[[#This Row],[Order Date]]</f>
        <v>2</v>
      </c>
      <c r="N1268">
        <f>WEEKNUM(orders[[#This Row],[Order Date]])</f>
        <v>8</v>
      </c>
      <c r="O1268" t="str">
        <f>_xlfn.IFS(orders[[#This Row],[Customer Gender]]="M","Male", orders[[#This Row],[Customer Gender]]="F","Female", orders[[#This Row],[Customer Gender]]="O","Other", TRUE,"Unknown")</f>
        <v>Male</v>
      </c>
    </row>
    <row r="1269" spans="1:15">
      <c r="A1269" t="s">
        <v>1366</v>
      </c>
      <c r="B1269" t="s">
        <v>146</v>
      </c>
      <c r="C1269">
        <v>6</v>
      </c>
      <c r="D1269">
        <v>68.3</v>
      </c>
      <c r="E1269">
        <v>409.79999999999995</v>
      </c>
      <c r="F1269" s="1">
        <v>45706</v>
      </c>
      <c r="G1269" s="1">
        <v>45709</v>
      </c>
      <c r="H1269" t="s">
        <v>23</v>
      </c>
      <c r="I1269" t="s">
        <v>18</v>
      </c>
      <c r="J1269">
        <v>4</v>
      </c>
      <c r="K1269" t="s">
        <v>19</v>
      </c>
      <c r="L1269" t="s">
        <v>62</v>
      </c>
      <c r="M1269">
        <f>orders[[#This Row],[Ship Date]]-orders[[#This Row],[Order Date]]</f>
        <v>3</v>
      </c>
      <c r="N1269">
        <f>WEEKNUM(orders[[#This Row],[Order Date]])</f>
        <v>8</v>
      </c>
      <c r="O1269" t="str">
        <f>_xlfn.IFS(orders[[#This Row],[Customer Gender]]="M","Male", orders[[#This Row],[Customer Gender]]="F","Female", orders[[#This Row],[Customer Gender]]="O","Other", TRUE,"Unknown")</f>
        <v>Male</v>
      </c>
    </row>
    <row r="1270" spans="1:15">
      <c r="A1270" t="s">
        <v>1367</v>
      </c>
      <c r="B1270" t="s">
        <v>42</v>
      </c>
      <c r="C1270">
        <v>3</v>
      </c>
      <c r="D1270">
        <v>43.3</v>
      </c>
      <c r="E1270">
        <v>129.89999999999998</v>
      </c>
      <c r="F1270" s="1">
        <v>45706</v>
      </c>
      <c r="G1270" s="1">
        <v>45710</v>
      </c>
      <c r="H1270" t="s">
        <v>27</v>
      </c>
      <c r="I1270" t="s">
        <v>18</v>
      </c>
      <c r="J1270">
        <v>4</v>
      </c>
      <c r="K1270" t="s">
        <v>19</v>
      </c>
      <c r="L1270" t="s">
        <v>103</v>
      </c>
      <c r="M1270">
        <f>orders[[#This Row],[Ship Date]]-orders[[#This Row],[Order Date]]</f>
        <v>4</v>
      </c>
      <c r="N1270">
        <f>WEEKNUM(orders[[#This Row],[Order Date]])</f>
        <v>8</v>
      </c>
      <c r="O1270" t="str">
        <f>_xlfn.IFS(orders[[#This Row],[Customer Gender]]="M","Male", orders[[#This Row],[Customer Gender]]="F","Female", orders[[#This Row],[Customer Gender]]="O","Other", TRUE,"Unknown")</f>
        <v>Female</v>
      </c>
    </row>
    <row r="1271" spans="1:15">
      <c r="A1271" t="s">
        <v>1368</v>
      </c>
      <c r="B1271" t="s">
        <v>30</v>
      </c>
      <c r="C1271">
        <v>1</v>
      </c>
      <c r="D1271">
        <v>101.7</v>
      </c>
      <c r="E1271">
        <v>101.7</v>
      </c>
      <c r="F1271" s="1">
        <v>45706</v>
      </c>
      <c r="G1271" s="1">
        <v>45709</v>
      </c>
      <c r="H1271" t="s">
        <v>27</v>
      </c>
      <c r="I1271" t="s">
        <v>18</v>
      </c>
      <c r="J1271">
        <v>3</v>
      </c>
      <c r="K1271" t="s">
        <v>19</v>
      </c>
      <c r="L1271" t="s">
        <v>103</v>
      </c>
      <c r="M1271">
        <f>orders[[#This Row],[Ship Date]]-orders[[#This Row],[Order Date]]</f>
        <v>3</v>
      </c>
      <c r="N1271">
        <f>WEEKNUM(orders[[#This Row],[Order Date]])</f>
        <v>8</v>
      </c>
      <c r="O1271" t="str">
        <f>_xlfn.IFS(orders[[#This Row],[Customer Gender]]="M","Male", orders[[#This Row],[Customer Gender]]="F","Female", orders[[#This Row],[Customer Gender]]="O","Other", TRUE,"Unknown")</f>
        <v>Female</v>
      </c>
    </row>
    <row r="1272" spans="1:15">
      <c r="A1272" t="s">
        <v>1369</v>
      </c>
      <c r="B1272" t="s">
        <v>67</v>
      </c>
      <c r="C1272">
        <v>2</v>
      </c>
      <c r="D1272">
        <v>54.2</v>
      </c>
      <c r="E1272">
        <v>108.4</v>
      </c>
      <c r="F1272" s="1">
        <v>45706</v>
      </c>
      <c r="G1272" s="1">
        <v>45707</v>
      </c>
      <c r="H1272" t="s">
        <v>27</v>
      </c>
      <c r="I1272" t="s">
        <v>18</v>
      </c>
      <c r="J1272">
        <v>3</v>
      </c>
      <c r="K1272" t="s">
        <v>19</v>
      </c>
      <c r="L1272" t="s">
        <v>103</v>
      </c>
      <c r="M1272">
        <f>orders[[#This Row],[Ship Date]]-orders[[#This Row],[Order Date]]</f>
        <v>1</v>
      </c>
      <c r="N1272">
        <f>WEEKNUM(orders[[#This Row],[Order Date]])</f>
        <v>8</v>
      </c>
      <c r="O1272" t="str">
        <f>_xlfn.IFS(orders[[#This Row],[Customer Gender]]="M","Male", orders[[#This Row],[Customer Gender]]="F","Female", orders[[#This Row],[Customer Gender]]="O","Other", TRUE,"Unknown")</f>
        <v>Female</v>
      </c>
    </row>
    <row r="1273" spans="1:15">
      <c r="A1273" t="s">
        <v>1370</v>
      </c>
      <c r="B1273" t="s">
        <v>128</v>
      </c>
      <c r="C1273">
        <v>2</v>
      </c>
      <c r="D1273">
        <v>51</v>
      </c>
      <c r="E1273">
        <v>102</v>
      </c>
      <c r="F1273" s="1">
        <v>45706</v>
      </c>
      <c r="G1273" s="1">
        <v>45706</v>
      </c>
      <c r="H1273" t="s">
        <v>23</v>
      </c>
      <c r="I1273" t="s">
        <v>35</v>
      </c>
      <c r="J1273">
        <v>4</v>
      </c>
      <c r="K1273" t="s">
        <v>19</v>
      </c>
      <c r="L1273" t="s">
        <v>201</v>
      </c>
      <c r="M1273">
        <f>orders[[#This Row],[Ship Date]]-orders[[#This Row],[Order Date]]</f>
        <v>0</v>
      </c>
      <c r="N1273">
        <f>WEEKNUM(orders[[#This Row],[Order Date]])</f>
        <v>8</v>
      </c>
      <c r="O1273" t="str">
        <f>_xlfn.IFS(orders[[#This Row],[Customer Gender]]="M","Male", orders[[#This Row],[Customer Gender]]="F","Female", orders[[#This Row],[Customer Gender]]="O","Other", TRUE,"Unknown")</f>
        <v>Male</v>
      </c>
    </row>
    <row r="1274" spans="1:15">
      <c r="A1274" t="s">
        <v>1371</v>
      </c>
      <c r="B1274" t="s">
        <v>32</v>
      </c>
      <c r="C1274">
        <v>2</v>
      </c>
      <c r="D1274">
        <v>23.1</v>
      </c>
      <c r="E1274">
        <v>46.2</v>
      </c>
      <c r="F1274" s="1">
        <v>45706</v>
      </c>
      <c r="G1274" s="1">
        <v>45709</v>
      </c>
      <c r="H1274" t="s">
        <v>23</v>
      </c>
      <c r="I1274" t="s">
        <v>35</v>
      </c>
      <c r="J1274">
        <v>4</v>
      </c>
      <c r="K1274" t="s">
        <v>19</v>
      </c>
      <c r="L1274" t="s">
        <v>74</v>
      </c>
      <c r="M1274">
        <f>orders[[#This Row],[Ship Date]]-orders[[#This Row],[Order Date]]</f>
        <v>3</v>
      </c>
      <c r="N1274">
        <f>WEEKNUM(orders[[#This Row],[Order Date]])</f>
        <v>8</v>
      </c>
      <c r="O1274" t="str">
        <f>_xlfn.IFS(orders[[#This Row],[Customer Gender]]="M","Male", orders[[#This Row],[Customer Gender]]="F","Female", orders[[#This Row],[Customer Gender]]="O","Other", TRUE,"Unknown")</f>
        <v>Male</v>
      </c>
    </row>
    <row r="1275" spans="1:15">
      <c r="A1275" t="s">
        <v>1372</v>
      </c>
      <c r="B1275" t="s">
        <v>69</v>
      </c>
      <c r="C1275">
        <v>6</v>
      </c>
      <c r="D1275">
        <v>60.1</v>
      </c>
      <c r="E1275">
        <v>360.6</v>
      </c>
      <c r="F1275" s="1">
        <v>45706</v>
      </c>
      <c r="G1275" s="1">
        <v>45706</v>
      </c>
      <c r="H1275" t="s">
        <v>27</v>
      </c>
      <c r="I1275" t="s">
        <v>51</v>
      </c>
      <c r="J1275">
        <v>4</v>
      </c>
      <c r="K1275" t="s">
        <v>19</v>
      </c>
      <c r="L1275" t="s">
        <v>77</v>
      </c>
      <c r="M1275">
        <f>orders[[#This Row],[Ship Date]]-orders[[#This Row],[Order Date]]</f>
        <v>0</v>
      </c>
      <c r="N1275">
        <f>WEEKNUM(orders[[#This Row],[Order Date]])</f>
        <v>8</v>
      </c>
      <c r="O1275" t="str">
        <f>_xlfn.IFS(orders[[#This Row],[Customer Gender]]="M","Male", orders[[#This Row],[Customer Gender]]="F","Female", orders[[#This Row],[Customer Gender]]="O","Other", TRUE,"Unknown")</f>
        <v>Female</v>
      </c>
    </row>
    <row r="1276" spans="1:15">
      <c r="A1276" t="s">
        <v>1373</v>
      </c>
      <c r="B1276" t="s">
        <v>26</v>
      </c>
      <c r="C1276">
        <v>7</v>
      </c>
      <c r="D1276">
        <v>87.5</v>
      </c>
      <c r="E1276">
        <v>612.5</v>
      </c>
      <c r="F1276" s="1">
        <v>45706</v>
      </c>
      <c r="G1276" s="1">
        <v>45708</v>
      </c>
      <c r="H1276" t="s">
        <v>27</v>
      </c>
      <c r="I1276" t="s">
        <v>18</v>
      </c>
      <c r="J1276">
        <v>3</v>
      </c>
      <c r="K1276" t="s">
        <v>19</v>
      </c>
      <c r="L1276" t="s">
        <v>77</v>
      </c>
      <c r="M1276">
        <f>orders[[#This Row],[Ship Date]]-orders[[#This Row],[Order Date]]</f>
        <v>2</v>
      </c>
      <c r="N1276">
        <f>WEEKNUM(orders[[#This Row],[Order Date]])</f>
        <v>8</v>
      </c>
      <c r="O1276" t="str">
        <f>_xlfn.IFS(orders[[#This Row],[Customer Gender]]="M","Male", orders[[#This Row],[Customer Gender]]="F","Female", orders[[#This Row],[Customer Gender]]="O","Other", TRUE,"Unknown")</f>
        <v>Female</v>
      </c>
    </row>
    <row r="1277" spans="1:15">
      <c r="A1277" t="s">
        <v>1374</v>
      </c>
      <c r="B1277" t="s">
        <v>22</v>
      </c>
      <c r="C1277">
        <v>3</v>
      </c>
      <c r="D1277">
        <v>51</v>
      </c>
      <c r="E1277">
        <v>153</v>
      </c>
      <c r="F1277" s="1">
        <v>45706</v>
      </c>
      <c r="G1277" s="1">
        <v>45707</v>
      </c>
      <c r="H1277" t="s">
        <v>27</v>
      </c>
      <c r="I1277" t="s">
        <v>35</v>
      </c>
      <c r="J1277">
        <v>4</v>
      </c>
      <c r="K1277" t="s">
        <v>19</v>
      </c>
      <c r="L1277" t="s">
        <v>77</v>
      </c>
      <c r="M1277">
        <f>orders[[#This Row],[Ship Date]]-orders[[#This Row],[Order Date]]</f>
        <v>1</v>
      </c>
      <c r="N1277">
        <f>WEEKNUM(orders[[#This Row],[Order Date]])</f>
        <v>8</v>
      </c>
      <c r="O1277" t="str">
        <f>_xlfn.IFS(orders[[#This Row],[Customer Gender]]="M","Male", orders[[#This Row],[Customer Gender]]="F","Female", orders[[#This Row],[Customer Gender]]="O","Other", TRUE,"Unknown")</f>
        <v>Female</v>
      </c>
    </row>
    <row r="1278" spans="1:15">
      <c r="A1278" t="s">
        <v>1375</v>
      </c>
      <c r="B1278" t="s">
        <v>44</v>
      </c>
      <c r="C1278">
        <v>4</v>
      </c>
      <c r="D1278">
        <v>19.2</v>
      </c>
      <c r="E1278">
        <v>76.8</v>
      </c>
      <c r="F1278" s="1">
        <v>45706</v>
      </c>
      <c r="G1278" s="1">
        <v>45708</v>
      </c>
      <c r="H1278" t="s">
        <v>27</v>
      </c>
      <c r="I1278" t="s">
        <v>18</v>
      </c>
      <c r="J1278">
        <v>4</v>
      </c>
      <c r="K1278" t="s">
        <v>19</v>
      </c>
      <c r="L1278" t="s">
        <v>77</v>
      </c>
      <c r="M1278">
        <f>orders[[#This Row],[Ship Date]]-orders[[#This Row],[Order Date]]</f>
        <v>2</v>
      </c>
      <c r="N1278">
        <f>WEEKNUM(orders[[#This Row],[Order Date]])</f>
        <v>8</v>
      </c>
      <c r="O1278" t="str">
        <f>_xlfn.IFS(orders[[#This Row],[Customer Gender]]="M","Male", orders[[#This Row],[Customer Gender]]="F","Female", orders[[#This Row],[Customer Gender]]="O","Other", TRUE,"Unknown")</f>
        <v>Female</v>
      </c>
    </row>
    <row r="1279" spans="1:15">
      <c r="A1279" t="s">
        <v>1376</v>
      </c>
      <c r="B1279" t="s">
        <v>37</v>
      </c>
      <c r="C1279">
        <v>8</v>
      </c>
      <c r="D1279">
        <v>26.5</v>
      </c>
      <c r="E1279">
        <v>212</v>
      </c>
      <c r="F1279" s="1">
        <v>45706</v>
      </c>
      <c r="G1279" s="1">
        <v>45707</v>
      </c>
      <c r="H1279" t="s">
        <v>17</v>
      </c>
      <c r="I1279" t="s">
        <v>51</v>
      </c>
      <c r="J1279">
        <v>5</v>
      </c>
      <c r="K1279" t="s">
        <v>19</v>
      </c>
      <c r="L1279" t="s">
        <v>77</v>
      </c>
      <c r="M1279">
        <f>orders[[#This Row],[Ship Date]]-orders[[#This Row],[Order Date]]</f>
        <v>1</v>
      </c>
      <c r="N1279">
        <f>WEEKNUM(orders[[#This Row],[Order Date]])</f>
        <v>8</v>
      </c>
      <c r="O1279" t="str">
        <f>_xlfn.IFS(orders[[#This Row],[Customer Gender]]="M","Male", orders[[#This Row],[Customer Gender]]="F","Female", orders[[#This Row],[Customer Gender]]="O","Other", TRUE,"Unknown")</f>
        <v>Unknown</v>
      </c>
    </row>
    <row r="1280" spans="1:15">
      <c r="A1280" t="s">
        <v>1377</v>
      </c>
      <c r="B1280" t="s">
        <v>26</v>
      </c>
      <c r="C1280">
        <v>2</v>
      </c>
      <c r="D1280">
        <v>220.3</v>
      </c>
      <c r="E1280">
        <v>440.6</v>
      </c>
      <c r="F1280" s="1">
        <v>45706</v>
      </c>
      <c r="G1280" s="1">
        <v>45707</v>
      </c>
      <c r="H1280" t="s">
        <v>27</v>
      </c>
      <c r="I1280" t="s">
        <v>35</v>
      </c>
      <c r="J1280">
        <v>2</v>
      </c>
      <c r="K1280" t="s">
        <v>19</v>
      </c>
      <c r="L1280" t="s">
        <v>1116</v>
      </c>
      <c r="M1280">
        <f>orders[[#This Row],[Ship Date]]-orders[[#This Row],[Order Date]]</f>
        <v>1</v>
      </c>
      <c r="N1280">
        <f>WEEKNUM(orders[[#This Row],[Order Date]])</f>
        <v>8</v>
      </c>
      <c r="O1280" t="str">
        <f>_xlfn.IFS(orders[[#This Row],[Customer Gender]]="M","Male", orders[[#This Row],[Customer Gender]]="F","Female", orders[[#This Row],[Customer Gender]]="O","Other", TRUE,"Unknown")</f>
        <v>Female</v>
      </c>
    </row>
    <row r="1281" spans="1:15">
      <c r="A1281" t="s">
        <v>1378</v>
      </c>
      <c r="B1281" t="s">
        <v>44</v>
      </c>
      <c r="C1281">
        <v>3</v>
      </c>
      <c r="D1281">
        <v>45.7</v>
      </c>
      <c r="E1281">
        <v>137.10000000000002</v>
      </c>
      <c r="F1281" s="1">
        <v>45706</v>
      </c>
      <c r="G1281" s="1">
        <v>45707</v>
      </c>
      <c r="H1281" t="s">
        <v>27</v>
      </c>
      <c r="I1281" t="s">
        <v>70</v>
      </c>
      <c r="J1281">
        <v>4</v>
      </c>
      <c r="K1281" t="s">
        <v>19</v>
      </c>
      <c r="L1281" t="s">
        <v>268</v>
      </c>
      <c r="M1281">
        <f>orders[[#This Row],[Ship Date]]-orders[[#This Row],[Order Date]]</f>
        <v>1</v>
      </c>
      <c r="N1281">
        <f>WEEKNUM(orders[[#This Row],[Order Date]])</f>
        <v>8</v>
      </c>
      <c r="O1281" t="str">
        <f>_xlfn.IFS(orders[[#This Row],[Customer Gender]]="M","Male", orders[[#This Row],[Customer Gender]]="F","Female", orders[[#This Row],[Customer Gender]]="O","Other", TRUE,"Unknown")</f>
        <v>Female</v>
      </c>
    </row>
    <row r="1282" spans="1:15">
      <c r="A1282" t="s">
        <v>1379</v>
      </c>
      <c r="B1282" t="s">
        <v>37</v>
      </c>
      <c r="C1282">
        <v>5</v>
      </c>
      <c r="D1282">
        <v>47.1</v>
      </c>
      <c r="E1282">
        <v>235.5</v>
      </c>
      <c r="F1282" s="1">
        <v>45706</v>
      </c>
      <c r="G1282" s="1">
        <v>45710</v>
      </c>
      <c r="H1282" t="s">
        <v>27</v>
      </c>
      <c r="I1282" t="s">
        <v>51</v>
      </c>
      <c r="J1282">
        <v>4</v>
      </c>
      <c r="K1282" t="s">
        <v>19</v>
      </c>
      <c r="L1282" t="s">
        <v>82</v>
      </c>
      <c r="M1282">
        <f>orders[[#This Row],[Ship Date]]-orders[[#This Row],[Order Date]]</f>
        <v>4</v>
      </c>
      <c r="N1282">
        <f>WEEKNUM(orders[[#This Row],[Order Date]])</f>
        <v>8</v>
      </c>
      <c r="O1282" t="str">
        <f>_xlfn.IFS(orders[[#This Row],[Customer Gender]]="M","Male", orders[[#This Row],[Customer Gender]]="F","Female", orders[[#This Row],[Customer Gender]]="O","Other", TRUE,"Unknown")</f>
        <v>Female</v>
      </c>
    </row>
    <row r="1283" spans="1:15">
      <c r="A1283" t="s">
        <v>1380</v>
      </c>
      <c r="B1283" t="s">
        <v>22</v>
      </c>
      <c r="C1283">
        <v>5</v>
      </c>
      <c r="D1283">
        <v>81.7</v>
      </c>
      <c r="E1283">
        <v>408.5</v>
      </c>
      <c r="F1283" s="1">
        <v>45706</v>
      </c>
      <c r="G1283" s="1">
        <v>45707</v>
      </c>
      <c r="H1283" t="s">
        <v>27</v>
      </c>
      <c r="I1283" t="s">
        <v>18</v>
      </c>
      <c r="J1283">
        <v>5</v>
      </c>
      <c r="K1283" t="s">
        <v>19</v>
      </c>
      <c r="L1283" t="s">
        <v>115</v>
      </c>
      <c r="M1283">
        <f>orders[[#This Row],[Ship Date]]-orders[[#This Row],[Order Date]]</f>
        <v>1</v>
      </c>
      <c r="N1283">
        <f>WEEKNUM(orders[[#This Row],[Order Date]])</f>
        <v>8</v>
      </c>
      <c r="O1283" t="str">
        <f>_xlfn.IFS(orders[[#This Row],[Customer Gender]]="M","Male", orders[[#This Row],[Customer Gender]]="F","Female", orders[[#This Row],[Customer Gender]]="O","Other", TRUE,"Unknown")</f>
        <v>Female</v>
      </c>
    </row>
    <row r="1284" spans="1:15">
      <c r="A1284" t="s">
        <v>1381</v>
      </c>
      <c r="B1284" t="s">
        <v>39</v>
      </c>
      <c r="C1284">
        <v>10</v>
      </c>
      <c r="D1284">
        <v>97.8</v>
      </c>
      <c r="E1284">
        <v>978</v>
      </c>
      <c r="F1284" s="1">
        <v>45706</v>
      </c>
      <c r="G1284" s="1">
        <v>45706</v>
      </c>
      <c r="H1284" t="s">
        <v>23</v>
      </c>
      <c r="I1284" t="s">
        <v>35</v>
      </c>
      <c r="J1284">
        <v>3</v>
      </c>
      <c r="K1284" t="s">
        <v>19</v>
      </c>
      <c r="L1284" t="s">
        <v>115</v>
      </c>
      <c r="M1284">
        <f>orders[[#This Row],[Ship Date]]-orders[[#This Row],[Order Date]]</f>
        <v>0</v>
      </c>
      <c r="N1284">
        <f>WEEKNUM(orders[[#This Row],[Order Date]])</f>
        <v>8</v>
      </c>
      <c r="O1284" t="str">
        <f>_xlfn.IFS(orders[[#This Row],[Customer Gender]]="M","Male", orders[[#This Row],[Customer Gender]]="F","Female", orders[[#This Row],[Customer Gender]]="O","Other", TRUE,"Unknown")</f>
        <v>Male</v>
      </c>
    </row>
    <row r="1285" spans="1:15">
      <c r="A1285" t="s">
        <v>1382</v>
      </c>
      <c r="B1285" t="s">
        <v>39</v>
      </c>
      <c r="C1285">
        <v>3</v>
      </c>
      <c r="D1285">
        <v>42.4</v>
      </c>
      <c r="E1285">
        <v>127.19999999999999</v>
      </c>
      <c r="F1285" s="1">
        <v>45706</v>
      </c>
      <c r="G1285" s="1">
        <v>45707</v>
      </c>
      <c r="H1285" t="s">
        <v>27</v>
      </c>
      <c r="I1285" t="s">
        <v>18</v>
      </c>
      <c r="J1285">
        <v>5</v>
      </c>
      <c r="K1285" t="s">
        <v>19</v>
      </c>
      <c r="L1285" t="s">
        <v>1383</v>
      </c>
      <c r="M1285">
        <f>orders[[#This Row],[Ship Date]]-orders[[#This Row],[Order Date]]</f>
        <v>1</v>
      </c>
      <c r="N1285">
        <f>WEEKNUM(orders[[#This Row],[Order Date]])</f>
        <v>8</v>
      </c>
      <c r="O1285" t="str">
        <f>_xlfn.IFS(orders[[#This Row],[Customer Gender]]="M","Male", orders[[#This Row],[Customer Gender]]="F","Female", orders[[#This Row],[Customer Gender]]="O","Other", TRUE,"Unknown")</f>
        <v>Female</v>
      </c>
    </row>
    <row r="1286" spans="1:15">
      <c r="A1286" t="s">
        <v>1384</v>
      </c>
      <c r="B1286" t="s">
        <v>26</v>
      </c>
      <c r="C1286">
        <v>10</v>
      </c>
      <c r="D1286">
        <v>74.5</v>
      </c>
      <c r="E1286">
        <v>745</v>
      </c>
      <c r="F1286" s="1">
        <v>45706</v>
      </c>
      <c r="G1286" s="1">
        <v>45707</v>
      </c>
      <c r="H1286" t="s">
        <v>23</v>
      </c>
      <c r="I1286" t="s">
        <v>40</v>
      </c>
      <c r="J1286">
        <v>3</v>
      </c>
      <c r="K1286" t="s">
        <v>19</v>
      </c>
      <c r="L1286" t="s">
        <v>24</v>
      </c>
      <c r="M1286">
        <f>orders[[#This Row],[Ship Date]]-orders[[#This Row],[Order Date]]</f>
        <v>1</v>
      </c>
      <c r="N1286">
        <f>WEEKNUM(orders[[#This Row],[Order Date]])</f>
        <v>8</v>
      </c>
      <c r="O1286" t="str">
        <f>_xlfn.IFS(orders[[#This Row],[Customer Gender]]="M","Male", orders[[#This Row],[Customer Gender]]="F","Female", orders[[#This Row],[Customer Gender]]="O","Other", TRUE,"Unknown")</f>
        <v>Male</v>
      </c>
    </row>
    <row r="1287" spans="1:15">
      <c r="A1287" t="s">
        <v>1385</v>
      </c>
      <c r="B1287" t="s">
        <v>135</v>
      </c>
      <c r="C1287">
        <v>6</v>
      </c>
      <c r="D1287">
        <v>47.4</v>
      </c>
      <c r="E1287">
        <v>284.39999999999998</v>
      </c>
      <c r="F1287" s="1">
        <v>45706</v>
      </c>
      <c r="G1287" s="1">
        <v>45707</v>
      </c>
      <c r="H1287" t="s">
        <v>23</v>
      </c>
      <c r="I1287" t="s">
        <v>35</v>
      </c>
      <c r="J1287">
        <v>4</v>
      </c>
      <c r="K1287" t="s">
        <v>19</v>
      </c>
      <c r="L1287" t="s">
        <v>24</v>
      </c>
      <c r="M1287">
        <f>orders[[#This Row],[Ship Date]]-orders[[#This Row],[Order Date]]</f>
        <v>1</v>
      </c>
      <c r="N1287">
        <f>WEEKNUM(orders[[#This Row],[Order Date]])</f>
        <v>8</v>
      </c>
      <c r="O1287" t="str">
        <f>_xlfn.IFS(orders[[#This Row],[Customer Gender]]="M","Male", orders[[#This Row],[Customer Gender]]="F","Female", orders[[#This Row],[Customer Gender]]="O","Other", TRUE,"Unknown")</f>
        <v>Male</v>
      </c>
    </row>
    <row r="1288" spans="1:15">
      <c r="A1288" t="s">
        <v>1386</v>
      </c>
      <c r="B1288" t="s">
        <v>81</v>
      </c>
      <c r="C1288">
        <v>3</v>
      </c>
      <c r="D1288">
        <v>17.3</v>
      </c>
      <c r="E1288">
        <v>51.900000000000006</v>
      </c>
      <c r="F1288" s="1">
        <v>45707</v>
      </c>
      <c r="G1288" s="1">
        <v>45710</v>
      </c>
      <c r="H1288" t="s">
        <v>23</v>
      </c>
      <c r="I1288" t="s">
        <v>40</v>
      </c>
      <c r="J1288">
        <v>5</v>
      </c>
      <c r="K1288" t="s">
        <v>19</v>
      </c>
      <c r="L1288" t="s">
        <v>24</v>
      </c>
      <c r="M1288">
        <f>orders[[#This Row],[Ship Date]]-orders[[#This Row],[Order Date]]</f>
        <v>3</v>
      </c>
      <c r="N1288">
        <f>WEEKNUM(orders[[#This Row],[Order Date]])</f>
        <v>8</v>
      </c>
      <c r="O1288" t="str">
        <f>_xlfn.IFS(orders[[#This Row],[Customer Gender]]="M","Male", orders[[#This Row],[Customer Gender]]="F","Female", orders[[#This Row],[Customer Gender]]="O","Other", TRUE,"Unknown")</f>
        <v>Male</v>
      </c>
    </row>
    <row r="1289" spans="1:15">
      <c r="A1289" t="s">
        <v>1387</v>
      </c>
      <c r="B1289" t="s">
        <v>69</v>
      </c>
      <c r="C1289">
        <v>4</v>
      </c>
      <c r="D1289">
        <v>77.900000000000006</v>
      </c>
      <c r="E1289">
        <v>311.60000000000002</v>
      </c>
      <c r="F1289" s="1">
        <v>45707</v>
      </c>
      <c r="G1289" s="1">
        <v>45708</v>
      </c>
      <c r="H1289" t="s">
        <v>23</v>
      </c>
      <c r="I1289" t="s">
        <v>35</v>
      </c>
      <c r="J1289">
        <v>4</v>
      </c>
      <c r="K1289" t="s">
        <v>19</v>
      </c>
      <c r="L1289" t="s">
        <v>28</v>
      </c>
      <c r="M1289">
        <f>orders[[#This Row],[Ship Date]]-orders[[#This Row],[Order Date]]</f>
        <v>1</v>
      </c>
      <c r="N1289">
        <f>WEEKNUM(orders[[#This Row],[Order Date]])</f>
        <v>8</v>
      </c>
      <c r="O1289" t="str">
        <f>_xlfn.IFS(orders[[#This Row],[Customer Gender]]="M","Male", orders[[#This Row],[Customer Gender]]="F","Female", orders[[#This Row],[Customer Gender]]="O","Other", TRUE,"Unknown")</f>
        <v>Male</v>
      </c>
    </row>
    <row r="1290" spans="1:15">
      <c r="A1290" t="s">
        <v>1388</v>
      </c>
      <c r="B1290" t="s">
        <v>44</v>
      </c>
      <c r="C1290">
        <v>1</v>
      </c>
      <c r="D1290">
        <v>29.1</v>
      </c>
      <c r="E1290">
        <v>29.1</v>
      </c>
      <c r="F1290" s="1">
        <v>45707</v>
      </c>
      <c r="G1290" s="1">
        <v>45710</v>
      </c>
      <c r="H1290" t="s">
        <v>23</v>
      </c>
      <c r="I1290" t="s">
        <v>18</v>
      </c>
      <c r="J1290">
        <v>5</v>
      </c>
      <c r="K1290" t="s">
        <v>19</v>
      </c>
      <c r="L1290" t="s">
        <v>949</v>
      </c>
      <c r="M1290">
        <f>orders[[#This Row],[Ship Date]]-orders[[#This Row],[Order Date]]</f>
        <v>3</v>
      </c>
      <c r="N1290">
        <f>WEEKNUM(orders[[#This Row],[Order Date]])</f>
        <v>8</v>
      </c>
      <c r="O1290" t="str">
        <f>_xlfn.IFS(orders[[#This Row],[Customer Gender]]="M","Male", orders[[#This Row],[Customer Gender]]="F","Female", orders[[#This Row],[Customer Gender]]="O","Other", TRUE,"Unknown")</f>
        <v>Male</v>
      </c>
    </row>
    <row r="1291" spans="1:15">
      <c r="A1291" t="s">
        <v>1389</v>
      </c>
      <c r="B1291" t="s">
        <v>44</v>
      </c>
      <c r="C1291">
        <v>1</v>
      </c>
      <c r="D1291">
        <v>49</v>
      </c>
      <c r="E1291">
        <v>49</v>
      </c>
      <c r="F1291" s="1">
        <v>45707</v>
      </c>
      <c r="G1291" s="1">
        <v>45708</v>
      </c>
      <c r="H1291" t="s">
        <v>23</v>
      </c>
      <c r="I1291" t="s">
        <v>35</v>
      </c>
      <c r="J1291">
        <v>4</v>
      </c>
      <c r="K1291" t="s">
        <v>19</v>
      </c>
      <c r="L1291" t="s">
        <v>33</v>
      </c>
      <c r="M1291">
        <f>orders[[#This Row],[Ship Date]]-orders[[#This Row],[Order Date]]</f>
        <v>1</v>
      </c>
      <c r="N1291">
        <f>WEEKNUM(orders[[#This Row],[Order Date]])</f>
        <v>8</v>
      </c>
      <c r="O1291" t="str">
        <f>_xlfn.IFS(orders[[#This Row],[Customer Gender]]="M","Male", orders[[#This Row],[Customer Gender]]="F","Female", orders[[#This Row],[Customer Gender]]="O","Other", TRUE,"Unknown")</f>
        <v>Male</v>
      </c>
    </row>
    <row r="1292" spans="1:15">
      <c r="A1292" t="s">
        <v>1390</v>
      </c>
      <c r="B1292" t="s">
        <v>44</v>
      </c>
      <c r="C1292">
        <v>6</v>
      </c>
      <c r="D1292">
        <v>21.1</v>
      </c>
      <c r="E1292">
        <v>126.60000000000001</v>
      </c>
      <c r="F1292" s="1">
        <v>45707</v>
      </c>
      <c r="G1292" s="1">
        <v>45714</v>
      </c>
      <c r="H1292" t="s">
        <v>23</v>
      </c>
      <c r="I1292" t="s">
        <v>18</v>
      </c>
      <c r="J1292">
        <v>5</v>
      </c>
      <c r="K1292" t="s">
        <v>19</v>
      </c>
      <c r="L1292" t="s">
        <v>33</v>
      </c>
      <c r="M1292">
        <f>orders[[#This Row],[Ship Date]]-orders[[#This Row],[Order Date]]</f>
        <v>7</v>
      </c>
      <c r="N1292">
        <f>WEEKNUM(orders[[#This Row],[Order Date]])</f>
        <v>8</v>
      </c>
      <c r="O1292" t="str">
        <f>_xlfn.IFS(orders[[#This Row],[Customer Gender]]="M","Male", orders[[#This Row],[Customer Gender]]="F","Female", orders[[#This Row],[Customer Gender]]="O","Other", TRUE,"Unknown")</f>
        <v>Male</v>
      </c>
    </row>
    <row r="1293" spans="1:15">
      <c r="A1293" t="s">
        <v>1391</v>
      </c>
      <c r="B1293" t="s">
        <v>32</v>
      </c>
      <c r="C1293">
        <v>19</v>
      </c>
      <c r="D1293">
        <v>36.9</v>
      </c>
      <c r="E1293">
        <v>701.1</v>
      </c>
      <c r="F1293" s="1">
        <v>45707</v>
      </c>
      <c r="G1293" s="1">
        <v>45707</v>
      </c>
      <c r="H1293" t="s">
        <v>27</v>
      </c>
      <c r="I1293" t="s">
        <v>18</v>
      </c>
      <c r="J1293">
        <v>4</v>
      </c>
      <c r="K1293" t="s">
        <v>19</v>
      </c>
      <c r="L1293" t="s">
        <v>33</v>
      </c>
      <c r="M1293">
        <f>orders[[#This Row],[Ship Date]]-orders[[#This Row],[Order Date]]</f>
        <v>0</v>
      </c>
      <c r="N1293">
        <f>WEEKNUM(orders[[#This Row],[Order Date]])</f>
        <v>8</v>
      </c>
      <c r="O1293" t="str">
        <f>_xlfn.IFS(orders[[#This Row],[Customer Gender]]="M","Male", orders[[#This Row],[Customer Gender]]="F","Female", orders[[#This Row],[Customer Gender]]="O","Other", TRUE,"Unknown")</f>
        <v>Female</v>
      </c>
    </row>
    <row r="1294" spans="1:15">
      <c r="A1294" t="s">
        <v>1392</v>
      </c>
      <c r="B1294" t="s">
        <v>22</v>
      </c>
      <c r="C1294">
        <v>10</v>
      </c>
      <c r="D1294">
        <v>92.6</v>
      </c>
      <c r="E1294">
        <v>926</v>
      </c>
      <c r="F1294" s="1">
        <v>45707</v>
      </c>
      <c r="G1294" s="1">
        <v>45712</v>
      </c>
      <c r="H1294" t="s">
        <v>23</v>
      </c>
      <c r="I1294" t="s">
        <v>70</v>
      </c>
      <c r="J1294">
        <v>5</v>
      </c>
      <c r="K1294" t="s">
        <v>19</v>
      </c>
      <c r="L1294" t="s">
        <v>33</v>
      </c>
      <c r="M1294">
        <f>orders[[#This Row],[Ship Date]]-orders[[#This Row],[Order Date]]</f>
        <v>5</v>
      </c>
      <c r="N1294">
        <f>WEEKNUM(orders[[#This Row],[Order Date]])</f>
        <v>8</v>
      </c>
      <c r="O1294" t="str">
        <f>_xlfn.IFS(orders[[#This Row],[Customer Gender]]="M","Male", orders[[#This Row],[Customer Gender]]="F","Female", orders[[#This Row],[Customer Gender]]="O","Other", TRUE,"Unknown")</f>
        <v>Male</v>
      </c>
    </row>
    <row r="1295" spans="1:15">
      <c r="A1295" t="s">
        <v>1393</v>
      </c>
      <c r="B1295" t="s">
        <v>54</v>
      </c>
      <c r="C1295">
        <v>2</v>
      </c>
      <c r="D1295">
        <v>38</v>
      </c>
      <c r="E1295">
        <v>76</v>
      </c>
      <c r="F1295" s="1">
        <v>45707</v>
      </c>
      <c r="G1295" s="1">
        <v>45708</v>
      </c>
      <c r="H1295" t="s">
        <v>23</v>
      </c>
      <c r="I1295" t="s">
        <v>35</v>
      </c>
      <c r="J1295">
        <v>3</v>
      </c>
      <c r="K1295" t="s">
        <v>19</v>
      </c>
      <c r="L1295" t="s">
        <v>33</v>
      </c>
      <c r="M1295">
        <f>orders[[#This Row],[Ship Date]]-orders[[#This Row],[Order Date]]</f>
        <v>1</v>
      </c>
      <c r="N1295">
        <f>WEEKNUM(orders[[#This Row],[Order Date]])</f>
        <v>8</v>
      </c>
      <c r="O1295" t="str">
        <f>_xlfn.IFS(orders[[#This Row],[Customer Gender]]="M","Male", orders[[#This Row],[Customer Gender]]="F","Female", orders[[#This Row],[Customer Gender]]="O","Other", TRUE,"Unknown")</f>
        <v>Male</v>
      </c>
    </row>
    <row r="1296" spans="1:15">
      <c r="A1296" t="s">
        <v>1394</v>
      </c>
      <c r="B1296" t="s">
        <v>37</v>
      </c>
      <c r="C1296">
        <v>3</v>
      </c>
      <c r="D1296">
        <v>54.8</v>
      </c>
      <c r="E1296">
        <v>164.39999999999998</v>
      </c>
      <c r="F1296" s="1">
        <v>45707</v>
      </c>
      <c r="G1296" s="1">
        <v>45711</v>
      </c>
      <c r="H1296" t="s">
        <v>17</v>
      </c>
      <c r="I1296" t="s">
        <v>18</v>
      </c>
      <c r="J1296">
        <v>3</v>
      </c>
      <c r="K1296" t="s">
        <v>19</v>
      </c>
      <c r="L1296" t="s">
        <v>33</v>
      </c>
      <c r="M1296">
        <f>orders[[#This Row],[Ship Date]]-orders[[#This Row],[Order Date]]</f>
        <v>4</v>
      </c>
      <c r="N1296">
        <f>WEEKNUM(orders[[#This Row],[Order Date]])</f>
        <v>8</v>
      </c>
      <c r="O1296" t="str">
        <f>_xlfn.IFS(orders[[#This Row],[Customer Gender]]="M","Male", orders[[#This Row],[Customer Gender]]="F","Female", orders[[#This Row],[Customer Gender]]="O","Other", TRUE,"Unknown")</f>
        <v>Unknown</v>
      </c>
    </row>
    <row r="1297" spans="1:15">
      <c r="A1297" t="s">
        <v>1395</v>
      </c>
      <c r="B1297" t="s">
        <v>54</v>
      </c>
      <c r="C1297">
        <v>12</v>
      </c>
      <c r="D1297">
        <v>56.8</v>
      </c>
      <c r="E1297">
        <v>681.59999999999991</v>
      </c>
      <c r="F1297" s="1">
        <v>45707</v>
      </c>
      <c r="G1297" s="1">
        <v>45709</v>
      </c>
      <c r="H1297" t="s">
        <v>23</v>
      </c>
      <c r="I1297" t="s">
        <v>35</v>
      </c>
      <c r="J1297">
        <v>4</v>
      </c>
      <c r="K1297" t="s">
        <v>19</v>
      </c>
      <c r="L1297" t="s">
        <v>33</v>
      </c>
      <c r="M1297">
        <f>orders[[#This Row],[Ship Date]]-orders[[#This Row],[Order Date]]</f>
        <v>2</v>
      </c>
      <c r="N1297">
        <f>WEEKNUM(orders[[#This Row],[Order Date]])</f>
        <v>8</v>
      </c>
      <c r="O1297" t="str">
        <f>_xlfn.IFS(orders[[#This Row],[Customer Gender]]="M","Male", orders[[#This Row],[Customer Gender]]="F","Female", orders[[#This Row],[Customer Gender]]="O","Other", TRUE,"Unknown")</f>
        <v>Male</v>
      </c>
    </row>
    <row r="1298" spans="1:15">
      <c r="A1298" t="s">
        <v>1396</v>
      </c>
      <c r="B1298" t="s">
        <v>67</v>
      </c>
      <c r="C1298">
        <v>33</v>
      </c>
      <c r="D1298">
        <v>47.2</v>
      </c>
      <c r="E1298">
        <v>1557.6000000000001</v>
      </c>
      <c r="F1298" s="1">
        <v>45707</v>
      </c>
      <c r="G1298" s="1">
        <v>45710</v>
      </c>
      <c r="H1298" t="s">
        <v>27</v>
      </c>
      <c r="I1298" t="s">
        <v>35</v>
      </c>
      <c r="J1298">
        <v>4</v>
      </c>
      <c r="K1298" t="s">
        <v>19</v>
      </c>
      <c r="L1298" t="s">
        <v>33</v>
      </c>
      <c r="M1298">
        <f>orders[[#This Row],[Ship Date]]-orders[[#This Row],[Order Date]]</f>
        <v>3</v>
      </c>
      <c r="N1298">
        <f>WEEKNUM(orders[[#This Row],[Order Date]])</f>
        <v>8</v>
      </c>
      <c r="O1298" t="str">
        <f>_xlfn.IFS(orders[[#This Row],[Customer Gender]]="M","Male", orders[[#This Row],[Customer Gender]]="F","Female", orders[[#This Row],[Customer Gender]]="O","Other", TRUE,"Unknown")</f>
        <v>Female</v>
      </c>
    </row>
    <row r="1299" spans="1:15">
      <c r="A1299" t="s">
        <v>1397</v>
      </c>
      <c r="B1299" t="s">
        <v>42</v>
      </c>
      <c r="C1299">
        <v>6</v>
      </c>
      <c r="D1299">
        <v>45.1</v>
      </c>
      <c r="E1299">
        <v>270.60000000000002</v>
      </c>
      <c r="F1299" s="1">
        <v>45707</v>
      </c>
      <c r="G1299" s="1">
        <v>45708</v>
      </c>
      <c r="H1299" t="s">
        <v>27</v>
      </c>
      <c r="I1299" t="s">
        <v>40</v>
      </c>
      <c r="J1299">
        <v>4</v>
      </c>
      <c r="K1299" t="s">
        <v>19</v>
      </c>
      <c r="L1299" t="s">
        <v>545</v>
      </c>
      <c r="M1299">
        <f>orders[[#This Row],[Ship Date]]-orders[[#This Row],[Order Date]]</f>
        <v>1</v>
      </c>
      <c r="N1299">
        <f>WEEKNUM(orders[[#This Row],[Order Date]])</f>
        <v>8</v>
      </c>
      <c r="O1299" t="str">
        <f>_xlfn.IFS(orders[[#This Row],[Customer Gender]]="M","Male", orders[[#This Row],[Customer Gender]]="F","Female", orders[[#This Row],[Customer Gender]]="O","Other", TRUE,"Unknown")</f>
        <v>Female</v>
      </c>
    </row>
    <row r="1300" spans="1:15">
      <c r="A1300" t="s">
        <v>1398</v>
      </c>
      <c r="B1300" t="s">
        <v>32</v>
      </c>
      <c r="C1300">
        <v>12</v>
      </c>
      <c r="D1300">
        <v>25.2</v>
      </c>
      <c r="E1300">
        <v>302.39999999999998</v>
      </c>
      <c r="F1300" s="1">
        <v>45707</v>
      </c>
      <c r="G1300" s="1">
        <v>45712</v>
      </c>
      <c r="H1300" t="s">
        <v>27</v>
      </c>
      <c r="I1300" t="s">
        <v>40</v>
      </c>
      <c r="J1300">
        <v>4</v>
      </c>
      <c r="K1300" t="s">
        <v>19</v>
      </c>
      <c r="L1300" t="s">
        <v>98</v>
      </c>
      <c r="M1300">
        <f>orders[[#This Row],[Ship Date]]-orders[[#This Row],[Order Date]]</f>
        <v>5</v>
      </c>
      <c r="N1300">
        <f>WEEKNUM(orders[[#This Row],[Order Date]])</f>
        <v>8</v>
      </c>
      <c r="O1300" t="str">
        <f>_xlfn.IFS(orders[[#This Row],[Customer Gender]]="M","Male", orders[[#This Row],[Customer Gender]]="F","Female", orders[[#This Row],[Customer Gender]]="O","Other", TRUE,"Unknown")</f>
        <v>Female</v>
      </c>
    </row>
    <row r="1301" spans="1:15">
      <c r="A1301" t="s">
        <v>1399</v>
      </c>
      <c r="B1301" t="s">
        <v>44</v>
      </c>
      <c r="C1301">
        <v>1</v>
      </c>
      <c r="D1301">
        <v>22</v>
      </c>
      <c r="E1301">
        <v>22</v>
      </c>
      <c r="F1301" s="1">
        <v>45707</v>
      </c>
      <c r="G1301" s="1">
        <v>45708</v>
      </c>
      <c r="H1301" t="s">
        <v>27</v>
      </c>
      <c r="I1301" t="s">
        <v>18</v>
      </c>
      <c r="J1301">
        <v>4</v>
      </c>
      <c r="K1301" t="s">
        <v>19</v>
      </c>
      <c r="L1301" t="s">
        <v>52</v>
      </c>
      <c r="M1301">
        <f>orders[[#This Row],[Ship Date]]-orders[[#This Row],[Order Date]]</f>
        <v>1</v>
      </c>
      <c r="N1301">
        <f>WEEKNUM(orders[[#This Row],[Order Date]])</f>
        <v>8</v>
      </c>
      <c r="O1301" t="str">
        <f>_xlfn.IFS(orders[[#This Row],[Customer Gender]]="M","Male", orders[[#This Row],[Customer Gender]]="F","Female", orders[[#This Row],[Customer Gender]]="O","Other", TRUE,"Unknown")</f>
        <v>Female</v>
      </c>
    </row>
    <row r="1302" spans="1:15">
      <c r="A1302" t="s">
        <v>1400</v>
      </c>
      <c r="B1302" t="s">
        <v>39</v>
      </c>
      <c r="C1302">
        <v>2</v>
      </c>
      <c r="D1302">
        <v>42.2</v>
      </c>
      <c r="E1302">
        <v>84.4</v>
      </c>
      <c r="F1302" s="1">
        <v>45707</v>
      </c>
      <c r="G1302" s="1">
        <v>45708</v>
      </c>
      <c r="H1302" t="s">
        <v>27</v>
      </c>
      <c r="I1302" t="s">
        <v>35</v>
      </c>
      <c r="J1302">
        <v>3</v>
      </c>
      <c r="K1302" t="s">
        <v>19</v>
      </c>
      <c r="L1302" t="s">
        <v>158</v>
      </c>
      <c r="M1302">
        <f>orders[[#This Row],[Ship Date]]-orders[[#This Row],[Order Date]]</f>
        <v>1</v>
      </c>
      <c r="N1302">
        <f>WEEKNUM(orders[[#This Row],[Order Date]])</f>
        <v>8</v>
      </c>
      <c r="O1302" t="str">
        <f>_xlfn.IFS(orders[[#This Row],[Customer Gender]]="M","Male", orders[[#This Row],[Customer Gender]]="F","Female", orders[[#This Row],[Customer Gender]]="O","Other", TRUE,"Unknown")</f>
        <v>Female</v>
      </c>
    </row>
    <row r="1303" spans="1:15">
      <c r="A1303" t="s">
        <v>1401</v>
      </c>
      <c r="B1303" t="s">
        <v>76</v>
      </c>
      <c r="C1303">
        <v>3</v>
      </c>
      <c r="D1303">
        <v>20.5</v>
      </c>
      <c r="E1303">
        <v>61.5</v>
      </c>
      <c r="F1303" s="1">
        <v>45707</v>
      </c>
      <c r="G1303" s="1">
        <v>45708</v>
      </c>
      <c r="H1303" t="s">
        <v>23</v>
      </c>
      <c r="I1303" t="s">
        <v>18</v>
      </c>
      <c r="J1303">
        <v>3</v>
      </c>
      <c r="K1303" t="s">
        <v>19</v>
      </c>
      <c r="L1303" t="s">
        <v>55</v>
      </c>
      <c r="M1303">
        <f>orders[[#This Row],[Ship Date]]-orders[[#This Row],[Order Date]]</f>
        <v>1</v>
      </c>
      <c r="N1303">
        <f>WEEKNUM(orders[[#This Row],[Order Date]])</f>
        <v>8</v>
      </c>
      <c r="O1303" t="str">
        <f>_xlfn.IFS(orders[[#This Row],[Customer Gender]]="M","Male", orders[[#This Row],[Customer Gender]]="F","Female", orders[[#This Row],[Customer Gender]]="O","Other", TRUE,"Unknown")</f>
        <v>Male</v>
      </c>
    </row>
    <row r="1304" spans="1:15">
      <c r="A1304" t="s">
        <v>1402</v>
      </c>
      <c r="B1304" t="s">
        <v>26</v>
      </c>
      <c r="C1304">
        <v>1</v>
      </c>
      <c r="D1304">
        <v>190.4</v>
      </c>
      <c r="E1304">
        <v>190.4</v>
      </c>
      <c r="F1304" s="1">
        <v>45707</v>
      </c>
      <c r="G1304" s="1">
        <v>45712</v>
      </c>
      <c r="H1304" t="s">
        <v>23</v>
      </c>
      <c r="I1304" t="s">
        <v>35</v>
      </c>
      <c r="J1304">
        <v>2</v>
      </c>
      <c r="K1304" t="s">
        <v>19</v>
      </c>
      <c r="L1304" t="s">
        <v>55</v>
      </c>
      <c r="M1304">
        <f>orders[[#This Row],[Ship Date]]-orders[[#This Row],[Order Date]]</f>
        <v>5</v>
      </c>
      <c r="N1304">
        <f>WEEKNUM(orders[[#This Row],[Order Date]])</f>
        <v>8</v>
      </c>
      <c r="O1304" t="str">
        <f>_xlfn.IFS(orders[[#This Row],[Customer Gender]]="M","Male", orders[[#This Row],[Customer Gender]]="F","Female", orders[[#This Row],[Customer Gender]]="O","Other", TRUE,"Unknown")</f>
        <v>Male</v>
      </c>
    </row>
    <row r="1305" spans="1:15">
      <c r="A1305" t="s">
        <v>1403</v>
      </c>
      <c r="B1305" t="s">
        <v>26</v>
      </c>
      <c r="C1305">
        <v>1</v>
      </c>
      <c r="D1305">
        <v>121.9</v>
      </c>
      <c r="E1305">
        <v>121.9</v>
      </c>
      <c r="F1305" s="1">
        <v>45707</v>
      </c>
      <c r="G1305" s="1">
        <v>45709</v>
      </c>
      <c r="H1305" t="s">
        <v>27</v>
      </c>
      <c r="I1305" t="s">
        <v>35</v>
      </c>
      <c r="J1305">
        <v>5</v>
      </c>
      <c r="K1305" t="s">
        <v>19</v>
      </c>
      <c r="L1305" t="s">
        <v>55</v>
      </c>
      <c r="M1305">
        <f>orders[[#This Row],[Ship Date]]-orders[[#This Row],[Order Date]]</f>
        <v>2</v>
      </c>
      <c r="N1305">
        <f>WEEKNUM(orders[[#This Row],[Order Date]])</f>
        <v>8</v>
      </c>
      <c r="O1305" t="str">
        <f>_xlfn.IFS(orders[[#This Row],[Customer Gender]]="M","Male", orders[[#This Row],[Customer Gender]]="F","Female", orders[[#This Row],[Customer Gender]]="O","Other", TRUE,"Unknown")</f>
        <v>Female</v>
      </c>
    </row>
    <row r="1306" spans="1:15">
      <c r="A1306" t="s">
        <v>1404</v>
      </c>
      <c r="B1306" t="s">
        <v>26</v>
      </c>
      <c r="C1306">
        <v>6</v>
      </c>
      <c r="D1306">
        <v>149.19999999999999</v>
      </c>
      <c r="E1306">
        <v>895.19999999999993</v>
      </c>
      <c r="F1306" s="1">
        <v>45707</v>
      </c>
      <c r="G1306" s="1">
        <v>45708</v>
      </c>
      <c r="H1306" t="s">
        <v>27</v>
      </c>
      <c r="I1306" t="s">
        <v>40</v>
      </c>
      <c r="J1306">
        <v>5</v>
      </c>
      <c r="K1306" t="s">
        <v>19</v>
      </c>
      <c r="L1306" t="s">
        <v>59</v>
      </c>
      <c r="M1306">
        <f>orders[[#This Row],[Ship Date]]-orders[[#This Row],[Order Date]]</f>
        <v>1</v>
      </c>
      <c r="N1306">
        <f>WEEKNUM(orders[[#This Row],[Order Date]])</f>
        <v>8</v>
      </c>
      <c r="O1306" t="str">
        <f>_xlfn.IFS(orders[[#This Row],[Customer Gender]]="M","Male", orders[[#This Row],[Customer Gender]]="F","Female", orders[[#This Row],[Customer Gender]]="O","Other", TRUE,"Unknown")</f>
        <v>Female</v>
      </c>
    </row>
    <row r="1307" spans="1:15">
      <c r="A1307" t="s">
        <v>1405</v>
      </c>
      <c r="B1307" t="s">
        <v>26</v>
      </c>
      <c r="C1307">
        <v>1</v>
      </c>
      <c r="D1307">
        <v>54.1</v>
      </c>
      <c r="E1307">
        <v>54.1</v>
      </c>
      <c r="F1307" s="1">
        <v>45707</v>
      </c>
      <c r="G1307" s="1">
        <v>45716</v>
      </c>
      <c r="H1307" t="s">
        <v>27</v>
      </c>
      <c r="I1307" t="s">
        <v>40</v>
      </c>
      <c r="J1307">
        <v>5</v>
      </c>
      <c r="K1307" t="s">
        <v>19</v>
      </c>
      <c r="L1307" t="s">
        <v>59</v>
      </c>
      <c r="M1307">
        <f>orders[[#This Row],[Ship Date]]-orders[[#This Row],[Order Date]]</f>
        <v>9</v>
      </c>
      <c r="N1307">
        <f>WEEKNUM(orders[[#This Row],[Order Date]])</f>
        <v>8</v>
      </c>
      <c r="O1307" t="str">
        <f>_xlfn.IFS(orders[[#This Row],[Customer Gender]]="M","Male", orders[[#This Row],[Customer Gender]]="F","Female", orders[[#This Row],[Customer Gender]]="O","Other", TRUE,"Unknown")</f>
        <v>Female</v>
      </c>
    </row>
    <row r="1308" spans="1:15">
      <c r="A1308" t="s">
        <v>1406</v>
      </c>
      <c r="B1308" t="s">
        <v>37</v>
      </c>
      <c r="C1308">
        <v>2</v>
      </c>
      <c r="D1308">
        <v>27.4</v>
      </c>
      <c r="E1308">
        <v>54.8</v>
      </c>
      <c r="F1308" s="1">
        <v>45707</v>
      </c>
      <c r="G1308" s="1">
        <v>45709</v>
      </c>
      <c r="H1308" t="s">
        <v>23</v>
      </c>
      <c r="I1308" t="s">
        <v>35</v>
      </c>
      <c r="J1308">
        <v>4</v>
      </c>
      <c r="K1308" t="s">
        <v>19</v>
      </c>
      <c r="L1308" t="s">
        <v>62</v>
      </c>
      <c r="M1308">
        <f>orders[[#This Row],[Ship Date]]-orders[[#This Row],[Order Date]]</f>
        <v>2</v>
      </c>
      <c r="N1308">
        <f>WEEKNUM(orders[[#This Row],[Order Date]])</f>
        <v>8</v>
      </c>
      <c r="O1308" t="str">
        <f>_xlfn.IFS(orders[[#This Row],[Customer Gender]]="M","Male", orders[[#This Row],[Customer Gender]]="F","Female", orders[[#This Row],[Customer Gender]]="O","Other", TRUE,"Unknown")</f>
        <v>Male</v>
      </c>
    </row>
    <row r="1309" spans="1:15">
      <c r="A1309" t="s">
        <v>1407</v>
      </c>
      <c r="B1309" t="s">
        <v>16</v>
      </c>
      <c r="C1309">
        <v>13</v>
      </c>
      <c r="D1309">
        <v>30.4</v>
      </c>
      <c r="E1309">
        <v>395.2</v>
      </c>
      <c r="F1309" s="1">
        <v>45707</v>
      </c>
      <c r="G1309" s="1">
        <v>45708</v>
      </c>
      <c r="H1309" t="s">
        <v>27</v>
      </c>
      <c r="I1309" t="s">
        <v>18</v>
      </c>
      <c r="J1309">
        <v>5</v>
      </c>
      <c r="K1309" t="s">
        <v>19</v>
      </c>
      <c r="L1309" t="s">
        <v>62</v>
      </c>
      <c r="M1309">
        <f>orders[[#This Row],[Ship Date]]-orders[[#This Row],[Order Date]]</f>
        <v>1</v>
      </c>
      <c r="N1309">
        <f>WEEKNUM(orders[[#This Row],[Order Date]])</f>
        <v>8</v>
      </c>
      <c r="O1309" t="str">
        <f>_xlfn.IFS(orders[[#This Row],[Customer Gender]]="M","Male", orders[[#This Row],[Customer Gender]]="F","Female", orders[[#This Row],[Customer Gender]]="O","Other", TRUE,"Unknown")</f>
        <v>Female</v>
      </c>
    </row>
    <row r="1310" spans="1:15">
      <c r="A1310" t="s">
        <v>1408</v>
      </c>
      <c r="B1310" t="s">
        <v>69</v>
      </c>
      <c r="C1310">
        <v>3</v>
      </c>
      <c r="D1310">
        <v>46.2</v>
      </c>
      <c r="E1310">
        <v>138.60000000000002</v>
      </c>
      <c r="F1310" s="1">
        <v>45707</v>
      </c>
      <c r="G1310" s="1">
        <v>45709</v>
      </c>
      <c r="H1310" t="s">
        <v>23</v>
      </c>
      <c r="I1310" t="s">
        <v>40</v>
      </c>
      <c r="J1310">
        <v>3</v>
      </c>
      <c r="K1310" t="s">
        <v>19</v>
      </c>
      <c r="L1310" t="s">
        <v>103</v>
      </c>
      <c r="M1310">
        <f>orders[[#This Row],[Ship Date]]-orders[[#This Row],[Order Date]]</f>
        <v>2</v>
      </c>
      <c r="N1310">
        <f>WEEKNUM(orders[[#This Row],[Order Date]])</f>
        <v>8</v>
      </c>
      <c r="O1310" t="str">
        <f>_xlfn.IFS(orders[[#This Row],[Customer Gender]]="M","Male", orders[[#This Row],[Customer Gender]]="F","Female", orders[[#This Row],[Customer Gender]]="O","Other", TRUE,"Unknown")</f>
        <v>Male</v>
      </c>
    </row>
    <row r="1311" spans="1:15">
      <c r="A1311" t="s">
        <v>1409</v>
      </c>
      <c r="B1311" t="s">
        <v>42</v>
      </c>
      <c r="C1311">
        <v>8</v>
      </c>
      <c r="D1311">
        <v>78.599999999999994</v>
      </c>
      <c r="E1311">
        <v>628.79999999999995</v>
      </c>
      <c r="F1311" s="1">
        <v>45707</v>
      </c>
      <c r="G1311" s="1">
        <v>45711</v>
      </c>
      <c r="H1311" t="s">
        <v>23</v>
      </c>
      <c r="I1311" t="s">
        <v>51</v>
      </c>
      <c r="J1311">
        <v>4</v>
      </c>
      <c r="K1311" t="s">
        <v>19</v>
      </c>
      <c r="L1311" t="s">
        <v>103</v>
      </c>
      <c r="M1311">
        <f>orders[[#This Row],[Ship Date]]-orders[[#This Row],[Order Date]]</f>
        <v>4</v>
      </c>
      <c r="N1311">
        <f>WEEKNUM(orders[[#This Row],[Order Date]])</f>
        <v>8</v>
      </c>
      <c r="O1311" t="str">
        <f>_xlfn.IFS(orders[[#This Row],[Customer Gender]]="M","Male", orders[[#This Row],[Customer Gender]]="F","Female", orders[[#This Row],[Customer Gender]]="O","Other", TRUE,"Unknown")</f>
        <v>Male</v>
      </c>
    </row>
    <row r="1312" spans="1:15">
      <c r="A1312" t="s">
        <v>1410</v>
      </c>
      <c r="B1312" t="s">
        <v>135</v>
      </c>
      <c r="C1312">
        <v>10</v>
      </c>
      <c r="D1312">
        <v>25.9</v>
      </c>
      <c r="E1312">
        <v>259</v>
      </c>
      <c r="F1312" s="1">
        <v>45707</v>
      </c>
      <c r="G1312" s="1">
        <v>45713</v>
      </c>
      <c r="H1312" t="s">
        <v>23</v>
      </c>
      <c r="I1312" t="s">
        <v>70</v>
      </c>
      <c r="J1312">
        <v>4</v>
      </c>
      <c r="K1312" t="s">
        <v>19</v>
      </c>
      <c r="L1312" t="s">
        <v>72</v>
      </c>
      <c r="M1312">
        <f>orders[[#This Row],[Ship Date]]-orders[[#This Row],[Order Date]]</f>
        <v>6</v>
      </c>
      <c r="N1312">
        <f>WEEKNUM(orders[[#This Row],[Order Date]])</f>
        <v>8</v>
      </c>
      <c r="O1312" t="str">
        <f>_xlfn.IFS(orders[[#This Row],[Customer Gender]]="M","Male", orders[[#This Row],[Customer Gender]]="F","Female", orders[[#This Row],[Customer Gender]]="O","Other", TRUE,"Unknown")</f>
        <v>Male</v>
      </c>
    </row>
    <row r="1313" spans="1:15">
      <c r="A1313" t="s">
        <v>1411</v>
      </c>
      <c r="B1313" t="s">
        <v>39</v>
      </c>
      <c r="C1313">
        <v>1</v>
      </c>
      <c r="D1313">
        <v>134.80000000000001</v>
      </c>
      <c r="E1313">
        <v>134.80000000000001</v>
      </c>
      <c r="F1313" s="1">
        <v>45707</v>
      </c>
      <c r="G1313" s="1">
        <v>45709</v>
      </c>
      <c r="H1313" t="s">
        <v>23</v>
      </c>
      <c r="I1313" t="s">
        <v>40</v>
      </c>
      <c r="J1313">
        <v>5</v>
      </c>
      <c r="K1313" t="s">
        <v>19</v>
      </c>
      <c r="L1313" t="s">
        <v>72</v>
      </c>
      <c r="M1313">
        <f>orders[[#This Row],[Ship Date]]-orders[[#This Row],[Order Date]]</f>
        <v>2</v>
      </c>
      <c r="N1313">
        <f>WEEKNUM(orders[[#This Row],[Order Date]])</f>
        <v>8</v>
      </c>
      <c r="O1313" t="str">
        <f>_xlfn.IFS(orders[[#This Row],[Customer Gender]]="M","Male", orders[[#This Row],[Customer Gender]]="F","Female", orders[[#This Row],[Customer Gender]]="O","Other", TRUE,"Unknown")</f>
        <v>Male</v>
      </c>
    </row>
    <row r="1314" spans="1:15">
      <c r="A1314" t="s">
        <v>1412</v>
      </c>
      <c r="B1314" t="s">
        <v>123</v>
      </c>
      <c r="C1314">
        <v>5</v>
      </c>
      <c r="D1314">
        <v>43.1</v>
      </c>
      <c r="E1314">
        <v>215.5</v>
      </c>
      <c r="F1314" s="1">
        <v>45707</v>
      </c>
      <c r="G1314" s="1">
        <v>45709</v>
      </c>
      <c r="H1314" t="s">
        <v>27</v>
      </c>
      <c r="I1314" t="s">
        <v>18</v>
      </c>
      <c r="J1314">
        <v>4</v>
      </c>
      <c r="K1314" t="s">
        <v>19</v>
      </c>
      <c r="L1314" t="s">
        <v>77</v>
      </c>
      <c r="M1314">
        <f>orders[[#This Row],[Ship Date]]-orders[[#This Row],[Order Date]]</f>
        <v>2</v>
      </c>
      <c r="N1314">
        <f>WEEKNUM(orders[[#This Row],[Order Date]])</f>
        <v>8</v>
      </c>
      <c r="O1314" t="str">
        <f>_xlfn.IFS(orders[[#This Row],[Customer Gender]]="M","Male", orders[[#This Row],[Customer Gender]]="F","Female", orders[[#This Row],[Customer Gender]]="O","Other", TRUE,"Unknown")</f>
        <v>Female</v>
      </c>
    </row>
    <row r="1315" spans="1:15">
      <c r="A1315" t="s">
        <v>1413</v>
      </c>
      <c r="B1315" t="s">
        <v>26</v>
      </c>
      <c r="C1315">
        <v>2</v>
      </c>
      <c r="D1315">
        <v>215.6</v>
      </c>
      <c r="E1315">
        <v>431.2</v>
      </c>
      <c r="F1315" s="1">
        <v>45707</v>
      </c>
      <c r="G1315" s="1">
        <v>45708</v>
      </c>
      <c r="H1315" t="s">
        <v>27</v>
      </c>
      <c r="I1315" t="s">
        <v>40</v>
      </c>
      <c r="J1315">
        <v>4</v>
      </c>
      <c r="K1315" t="s">
        <v>19</v>
      </c>
      <c r="L1315" t="s">
        <v>108</v>
      </c>
      <c r="M1315">
        <f>orders[[#This Row],[Ship Date]]-orders[[#This Row],[Order Date]]</f>
        <v>1</v>
      </c>
      <c r="N1315">
        <f>WEEKNUM(orders[[#This Row],[Order Date]])</f>
        <v>8</v>
      </c>
      <c r="O1315" t="str">
        <f>_xlfn.IFS(orders[[#This Row],[Customer Gender]]="M","Male", orders[[#This Row],[Customer Gender]]="F","Female", orders[[#This Row],[Customer Gender]]="O","Other", TRUE,"Unknown")</f>
        <v>Female</v>
      </c>
    </row>
    <row r="1316" spans="1:15">
      <c r="A1316" t="s">
        <v>1414</v>
      </c>
      <c r="B1316" t="s">
        <v>39</v>
      </c>
      <c r="C1316">
        <v>2</v>
      </c>
      <c r="D1316">
        <v>80.7</v>
      </c>
      <c r="E1316">
        <v>161.4</v>
      </c>
      <c r="F1316" s="1">
        <v>45707</v>
      </c>
      <c r="G1316" s="1">
        <v>45710</v>
      </c>
      <c r="H1316" t="s">
        <v>27</v>
      </c>
      <c r="I1316" t="s">
        <v>51</v>
      </c>
      <c r="J1316">
        <v>4</v>
      </c>
      <c r="K1316" t="s">
        <v>19</v>
      </c>
      <c r="L1316" t="s">
        <v>108</v>
      </c>
      <c r="M1316">
        <f>orders[[#This Row],[Ship Date]]-orders[[#This Row],[Order Date]]</f>
        <v>3</v>
      </c>
      <c r="N1316">
        <f>WEEKNUM(orders[[#This Row],[Order Date]])</f>
        <v>8</v>
      </c>
      <c r="O1316" t="str">
        <f>_xlfn.IFS(orders[[#This Row],[Customer Gender]]="M","Male", orders[[#This Row],[Customer Gender]]="F","Female", orders[[#This Row],[Customer Gender]]="O","Other", TRUE,"Unknown")</f>
        <v>Female</v>
      </c>
    </row>
    <row r="1317" spans="1:15">
      <c r="A1317" t="s">
        <v>1415</v>
      </c>
      <c r="B1317" t="s">
        <v>54</v>
      </c>
      <c r="C1317">
        <v>7</v>
      </c>
      <c r="D1317">
        <v>20.6</v>
      </c>
      <c r="E1317">
        <v>144.20000000000002</v>
      </c>
      <c r="F1317" s="1">
        <v>45707</v>
      </c>
      <c r="G1317" s="1">
        <v>45712</v>
      </c>
      <c r="H1317" t="s">
        <v>17</v>
      </c>
      <c r="I1317" t="s">
        <v>40</v>
      </c>
      <c r="J1317">
        <v>3</v>
      </c>
      <c r="K1317" t="s">
        <v>19</v>
      </c>
      <c r="L1317" t="s">
        <v>110</v>
      </c>
      <c r="M1317">
        <f>orders[[#This Row],[Ship Date]]-orders[[#This Row],[Order Date]]</f>
        <v>5</v>
      </c>
      <c r="N1317">
        <f>WEEKNUM(orders[[#This Row],[Order Date]])</f>
        <v>8</v>
      </c>
      <c r="O1317" t="str">
        <f>_xlfn.IFS(orders[[#This Row],[Customer Gender]]="M","Male", orders[[#This Row],[Customer Gender]]="F","Female", orders[[#This Row],[Customer Gender]]="O","Other", TRUE,"Unknown")</f>
        <v>Unknown</v>
      </c>
    </row>
    <row r="1318" spans="1:15">
      <c r="A1318" t="s">
        <v>1416</v>
      </c>
      <c r="B1318" t="s">
        <v>69</v>
      </c>
      <c r="C1318">
        <v>3</v>
      </c>
      <c r="D1318">
        <v>37.1</v>
      </c>
      <c r="E1318">
        <v>111.30000000000001</v>
      </c>
      <c r="F1318" s="1">
        <v>45707</v>
      </c>
      <c r="G1318" s="1">
        <v>45708</v>
      </c>
      <c r="H1318" t="s">
        <v>27</v>
      </c>
      <c r="I1318" t="s">
        <v>18</v>
      </c>
      <c r="J1318">
        <v>4</v>
      </c>
      <c r="K1318" t="s">
        <v>19</v>
      </c>
      <c r="L1318" t="s">
        <v>997</v>
      </c>
      <c r="M1318">
        <f>orders[[#This Row],[Ship Date]]-orders[[#This Row],[Order Date]]</f>
        <v>1</v>
      </c>
      <c r="N1318">
        <f>WEEKNUM(orders[[#This Row],[Order Date]])</f>
        <v>8</v>
      </c>
      <c r="O1318" t="str">
        <f>_xlfn.IFS(orders[[#This Row],[Customer Gender]]="M","Male", orders[[#This Row],[Customer Gender]]="F","Female", orders[[#This Row],[Customer Gender]]="O","Other", TRUE,"Unknown")</f>
        <v>Female</v>
      </c>
    </row>
    <row r="1319" spans="1:15">
      <c r="A1319" t="s">
        <v>1417</v>
      </c>
      <c r="B1319" t="s">
        <v>69</v>
      </c>
      <c r="C1319">
        <v>1</v>
      </c>
      <c r="D1319">
        <v>104.8</v>
      </c>
      <c r="E1319">
        <v>104.8</v>
      </c>
      <c r="F1319" s="1">
        <v>45708</v>
      </c>
      <c r="G1319" s="1">
        <v>45710</v>
      </c>
      <c r="H1319" t="s">
        <v>27</v>
      </c>
      <c r="I1319" t="s">
        <v>18</v>
      </c>
      <c r="J1319">
        <v>4</v>
      </c>
      <c r="K1319" t="s">
        <v>19</v>
      </c>
      <c r="L1319" t="s">
        <v>82</v>
      </c>
      <c r="M1319">
        <f>orders[[#This Row],[Ship Date]]-orders[[#This Row],[Order Date]]</f>
        <v>2</v>
      </c>
      <c r="N1319">
        <f>WEEKNUM(orders[[#This Row],[Order Date]])</f>
        <v>8</v>
      </c>
      <c r="O1319" t="str">
        <f>_xlfn.IFS(orders[[#This Row],[Customer Gender]]="M","Male", orders[[#This Row],[Customer Gender]]="F","Female", orders[[#This Row],[Customer Gender]]="O","Other", TRUE,"Unknown")</f>
        <v>Female</v>
      </c>
    </row>
    <row r="1320" spans="1:15">
      <c r="A1320" t="s">
        <v>1418</v>
      </c>
      <c r="B1320" t="s">
        <v>44</v>
      </c>
      <c r="C1320">
        <v>2</v>
      </c>
      <c r="D1320">
        <v>59</v>
      </c>
      <c r="E1320">
        <v>118</v>
      </c>
      <c r="F1320" s="1">
        <v>45708</v>
      </c>
      <c r="G1320" s="1">
        <v>45709</v>
      </c>
      <c r="H1320" t="s">
        <v>23</v>
      </c>
      <c r="I1320" t="s">
        <v>35</v>
      </c>
      <c r="J1320">
        <v>4</v>
      </c>
      <c r="K1320" t="s">
        <v>19</v>
      </c>
      <c r="L1320" t="s">
        <v>115</v>
      </c>
      <c r="M1320">
        <f>orders[[#This Row],[Ship Date]]-orders[[#This Row],[Order Date]]</f>
        <v>1</v>
      </c>
      <c r="N1320">
        <f>WEEKNUM(orders[[#This Row],[Order Date]])</f>
        <v>8</v>
      </c>
      <c r="O1320" t="str">
        <f>_xlfn.IFS(orders[[#This Row],[Customer Gender]]="M","Male", orders[[#This Row],[Customer Gender]]="F","Female", orders[[#This Row],[Customer Gender]]="O","Other", TRUE,"Unknown")</f>
        <v>Male</v>
      </c>
    </row>
    <row r="1321" spans="1:15">
      <c r="A1321" t="s">
        <v>1419</v>
      </c>
      <c r="B1321" t="s">
        <v>44</v>
      </c>
      <c r="C1321">
        <v>2</v>
      </c>
      <c r="D1321">
        <v>32.299999999999997</v>
      </c>
      <c r="E1321">
        <v>64.599999999999994</v>
      </c>
      <c r="F1321" s="1">
        <v>45708</v>
      </c>
      <c r="G1321" s="1">
        <v>45709</v>
      </c>
      <c r="H1321" t="s">
        <v>23</v>
      </c>
      <c r="I1321" t="s">
        <v>18</v>
      </c>
      <c r="J1321">
        <v>5</v>
      </c>
      <c r="K1321" t="s">
        <v>19</v>
      </c>
      <c r="L1321" t="s">
        <v>115</v>
      </c>
      <c r="M1321">
        <f>orders[[#This Row],[Ship Date]]-orders[[#This Row],[Order Date]]</f>
        <v>1</v>
      </c>
      <c r="N1321">
        <f>WEEKNUM(orders[[#This Row],[Order Date]])</f>
        <v>8</v>
      </c>
      <c r="O1321" t="str">
        <f>_xlfn.IFS(orders[[#This Row],[Customer Gender]]="M","Male", orders[[#This Row],[Customer Gender]]="F","Female", orders[[#This Row],[Customer Gender]]="O","Other", TRUE,"Unknown")</f>
        <v>Male</v>
      </c>
    </row>
    <row r="1322" spans="1:15">
      <c r="A1322" t="s">
        <v>1420</v>
      </c>
      <c r="B1322" t="s">
        <v>44</v>
      </c>
      <c r="C1322">
        <v>4</v>
      </c>
      <c r="D1322">
        <v>28.9</v>
      </c>
      <c r="E1322">
        <v>115.6</v>
      </c>
      <c r="F1322" s="1">
        <v>45708</v>
      </c>
      <c r="G1322" s="1">
        <v>45715</v>
      </c>
      <c r="H1322" t="s">
        <v>23</v>
      </c>
      <c r="I1322" t="s">
        <v>18</v>
      </c>
      <c r="J1322">
        <v>4</v>
      </c>
      <c r="K1322" t="s">
        <v>19</v>
      </c>
      <c r="L1322" t="s">
        <v>24</v>
      </c>
      <c r="M1322">
        <f>orders[[#This Row],[Ship Date]]-orders[[#This Row],[Order Date]]</f>
        <v>7</v>
      </c>
      <c r="N1322">
        <f>WEEKNUM(orders[[#This Row],[Order Date]])</f>
        <v>8</v>
      </c>
      <c r="O1322" t="str">
        <f>_xlfn.IFS(orders[[#This Row],[Customer Gender]]="M","Male", orders[[#This Row],[Customer Gender]]="F","Female", orders[[#This Row],[Customer Gender]]="O","Other", TRUE,"Unknown")</f>
        <v>Male</v>
      </c>
    </row>
    <row r="1323" spans="1:15">
      <c r="A1323" t="s">
        <v>1421</v>
      </c>
      <c r="B1323" t="s">
        <v>16</v>
      </c>
      <c r="C1323">
        <v>2</v>
      </c>
      <c r="D1323">
        <v>29.6</v>
      </c>
      <c r="E1323">
        <v>59.2</v>
      </c>
      <c r="F1323" s="1">
        <v>45708</v>
      </c>
      <c r="G1323" s="1">
        <v>45710</v>
      </c>
      <c r="H1323" t="s">
        <v>23</v>
      </c>
      <c r="I1323" t="s">
        <v>18</v>
      </c>
      <c r="J1323">
        <v>4</v>
      </c>
      <c r="K1323" t="s">
        <v>19</v>
      </c>
      <c r="L1323" t="s">
        <v>24</v>
      </c>
      <c r="M1323">
        <f>orders[[#This Row],[Ship Date]]-orders[[#This Row],[Order Date]]</f>
        <v>2</v>
      </c>
      <c r="N1323">
        <f>WEEKNUM(orders[[#This Row],[Order Date]])</f>
        <v>8</v>
      </c>
      <c r="O1323" t="str">
        <f>_xlfn.IFS(orders[[#This Row],[Customer Gender]]="M","Male", orders[[#This Row],[Customer Gender]]="F","Female", orders[[#This Row],[Customer Gender]]="O","Other", TRUE,"Unknown")</f>
        <v>Male</v>
      </c>
    </row>
    <row r="1324" spans="1:15">
      <c r="A1324" t="s">
        <v>1422</v>
      </c>
      <c r="B1324" t="s">
        <v>16</v>
      </c>
      <c r="C1324">
        <v>5</v>
      </c>
      <c r="D1324">
        <v>29.4</v>
      </c>
      <c r="E1324">
        <v>147</v>
      </c>
      <c r="F1324" s="1">
        <v>45708</v>
      </c>
      <c r="G1324" s="1">
        <v>45711</v>
      </c>
      <c r="H1324" t="s">
        <v>27</v>
      </c>
      <c r="I1324" t="s">
        <v>18</v>
      </c>
      <c r="J1324">
        <v>4</v>
      </c>
      <c r="K1324" t="s">
        <v>19</v>
      </c>
      <c r="L1324" t="s">
        <v>24</v>
      </c>
      <c r="M1324">
        <f>orders[[#This Row],[Ship Date]]-orders[[#This Row],[Order Date]]</f>
        <v>3</v>
      </c>
      <c r="N1324">
        <f>WEEKNUM(orders[[#This Row],[Order Date]])</f>
        <v>8</v>
      </c>
      <c r="O1324" t="str">
        <f>_xlfn.IFS(orders[[#This Row],[Customer Gender]]="M","Male", orders[[#This Row],[Customer Gender]]="F","Female", orders[[#This Row],[Customer Gender]]="O","Other", TRUE,"Unknown")</f>
        <v>Female</v>
      </c>
    </row>
    <row r="1325" spans="1:15">
      <c r="A1325" t="s">
        <v>1423</v>
      </c>
      <c r="B1325" t="s">
        <v>22</v>
      </c>
      <c r="C1325">
        <v>2</v>
      </c>
      <c r="D1325">
        <v>40.6</v>
      </c>
      <c r="E1325">
        <v>81.2</v>
      </c>
      <c r="F1325" s="1">
        <v>45708</v>
      </c>
      <c r="G1325" s="1">
        <v>45709</v>
      </c>
      <c r="H1325" t="s">
        <v>23</v>
      </c>
      <c r="I1325" t="s">
        <v>18</v>
      </c>
      <c r="J1325">
        <v>2</v>
      </c>
      <c r="K1325" t="s">
        <v>19</v>
      </c>
      <c r="L1325" t="s">
        <v>28</v>
      </c>
      <c r="M1325">
        <f>orders[[#This Row],[Ship Date]]-orders[[#This Row],[Order Date]]</f>
        <v>1</v>
      </c>
      <c r="N1325">
        <f>WEEKNUM(orders[[#This Row],[Order Date]])</f>
        <v>8</v>
      </c>
      <c r="O1325" t="str">
        <f>_xlfn.IFS(orders[[#This Row],[Customer Gender]]="M","Male", orders[[#This Row],[Customer Gender]]="F","Female", orders[[#This Row],[Customer Gender]]="O","Other", TRUE,"Unknown")</f>
        <v>Male</v>
      </c>
    </row>
    <row r="1326" spans="1:15">
      <c r="A1326" t="s">
        <v>1424</v>
      </c>
      <c r="B1326" t="s">
        <v>16</v>
      </c>
      <c r="C1326">
        <v>3</v>
      </c>
      <c r="D1326">
        <v>32.5</v>
      </c>
      <c r="E1326">
        <v>97.5</v>
      </c>
      <c r="F1326" s="1">
        <v>45708</v>
      </c>
      <c r="G1326" s="1">
        <v>45709</v>
      </c>
      <c r="H1326" t="s">
        <v>23</v>
      </c>
      <c r="I1326" t="s">
        <v>51</v>
      </c>
      <c r="J1326">
        <v>5</v>
      </c>
      <c r="K1326" t="s">
        <v>19</v>
      </c>
      <c r="L1326" t="s">
        <v>147</v>
      </c>
      <c r="M1326">
        <f>orders[[#This Row],[Ship Date]]-orders[[#This Row],[Order Date]]</f>
        <v>1</v>
      </c>
      <c r="N1326">
        <f>WEEKNUM(orders[[#This Row],[Order Date]])</f>
        <v>8</v>
      </c>
      <c r="O1326" t="str">
        <f>_xlfn.IFS(orders[[#This Row],[Customer Gender]]="M","Male", orders[[#This Row],[Customer Gender]]="F","Female", orders[[#This Row],[Customer Gender]]="O","Other", TRUE,"Unknown")</f>
        <v>Male</v>
      </c>
    </row>
    <row r="1327" spans="1:15">
      <c r="A1327" t="s">
        <v>1425</v>
      </c>
      <c r="B1327" t="s">
        <v>123</v>
      </c>
      <c r="C1327">
        <v>1</v>
      </c>
      <c r="D1327">
        <v>26.2</v>
      </c>
      <c r="E1327">
        <v>26.2</v>
      </c>
      <c r="F1327" s="1">
        <v>45708</v>
      </c>
      <c r="G1327" s="1">
        <v>45710</v>
      </c>
      <c r="H1327" t="s">
        <v>23</v>
      </c>
      <c r="I1327" t="s">
        <v>40</v>
      </c>
      <c r="J1327">
        <v>4</v>
      </c>
      <c r="K1327" t="s">
        <v>19</v>
      </c>
      <c r="L1327" t="s">
        <v>1426</v>
      </c>
      <c r="M1327">
        <f>orders[[#This Row],[Ship Date]]-orders[[#This Row],[Order Date]]</f>
        <v>2</v>
      </c>
      <c r="N1327">
        <f>WEEKNUM(orders[[#This Row],[Order Date]])</f>
        <v>8</v>
      </c>
      <c r="O1327" t="str">
        <f>_xlfn.IFS(orders[[#This Row],[Customer Gender]]="M","Male", orders[[#This Row],[Customer Gender]]="F","Female", orders[[#This Row],[Customer Gender]]="O","Other", TRUE,"Unknown")</f>
        <v>Male</v>
      </c>
    </row>
    <row r="1328" spans="1:15">
      <c r="A1328" t="s">
        <v>1427</v>
      </c>
      <c r="B1328" t="s">
        <v>54</v>
      </c>
      <c r="C1328">
        <v>30</v>
      </c>
      <c r="D1328">
        <v>44</v>
      </c>
      <c r="E1328">
        <v>1320</v>
      </c>
      <c r="F1328" s="1">
        <v>45708</v>
      </c>
      <c r="G1328" s="1">
        <v>45714</v>
      </c>
      <c r="H1328" t="s">
        <v>23</v>
      </c>
      <c r="I1328" t="s">
        <v>70</v>
      </c>
      <c r="J1328">
        <v>4</v>
      </c>
      <c r="K1328" t="s">
        <v>19</v>
      </c>
      <c r="L1328" t="s">
        <v>33</v>
      </c>
      <c r="M1328">
        <f>orders[[#This Row],[Ship Date]]-orders[[#This Row],[Order Date]]</f>
        <v>6</v>
      </c>
      <c r="N1328">
        <f>WEEKNUM(orders[[#This Row],[Order Date]])</f>
        <v>8</v>
      </c>
      <c r="O1328" t="str">
        <f>_xlfn.IFS(orders[[#This Row],[Customer Gender]]="M","Male", orders[[#This Row],[Customer Gender]]="F","Female", orders[[#This Row],[Customer Gender]]="O","Other", TRUE,"Unknown")</f>
        <v>Male</v>
      </c>
    </row>
    <row r="1329" spans="1:15">
      <c r="A1329" t="s">
        <v>1428</v>
      </c>
      <c r="B1329" t="s">
        <v>42</v>
      </c>
      <c r="C1329">
        <v>4</v>
      </c>
      <c r="D1329">
        <v>65.599999999999994</v>
      </c>
      <c r="E1329">
        <v>262.39999999999998</v>
      </c>
      <c r="F1329" s="1">
        <v>45708</v>
      </c>
      <c r="G1329" s="1">
        <v>45709</v>
      </c>
      <c r="H1329" t="s">
        <v>27</v>
      </c>
      <c r="I1329" t="s">
        <v>35</v>
      </c>
      <c r="J1329">
        <v>3</v>
      </c>
      <c r="K1329" t="s">
        <v>19</v>
      </c>
      <c r="L1329" t="s">
        <v>33</v>
      </c>
      <c r="M1329">
        <f>orders[[#This Row],[Ship Date]]-orders[[#This Row],[Order Date]]</f>
        <v>1</v>
      </c>
      <c r="N1329">
        <f>WEEKNUM(orders[[#This Row],[Order Date]])</f>
        <v>8</v>
      </c>
      <c r="O1329" t="str">
        <f>_xlfn.IFS(orders[[#This Row],[Customer Gender]]="M","Male", orders[[#This Row],[Customer Gender]]="F","Female", orders[[#This Row],[Customer Gender]]="O","Other", TRUE,"Unknown")</f>
        <v>Female</v>
      </c>
    </row>
    <row r="1330" spans="1:15">
      <c r="A1330" t="s">
        <v>1429</v>
      </c>
      <c r="B1330" t="s">
        <v>37</v>
      </c>
      <c r="C1330">
        <v>12</v>
      </c>
      <c r="D1330">
        <v>32.6</v>
      </c>
      <c r="E1330">
        <v>391.20000000000005</v>
      </c>
      <c r="F1330" s="1">
        <v>45708</v>
      </c>
      <c r="G1330" s="1">
        <v>45709</v>
      </c>
      <c r="H1330" t="s">
        <v>23</v>
      </c>
      <c r="I1330" t="s">
        <v>70</v>
      </c>
      <c r="J1330">
        <v>4</v>
      </c>
      <c r="K1330" t="s">
        <v>19</v>
      </c>
      <c r="L1330" t="s">
        <v>33</v>
      </c>
      <c r="M1330">
        <f>orders[[#This Row],[Ship Date]]-orders[[#This Row],[Order Date]]</f>
        <v>1</v>
      </c>
      <c r="N1330">
        <f>WEEKNUM(orders[[#This Row],[Order Date]])</f>
        <v>8</v>
      </c>
      <c r="O1330" t="str">
        <f>_xlfn.IFS(orders[[#This Row],[Customer Gender]]="M","Male", orders[[#This Row],[Customer Gender]]="F","Female", orders[[#This Row],[Customer Gender]]="O","Other", TRUE,"Unknown")</f>
        <v>Male</v>
      </c>
    </row>
    <row r="1331" spans="1:15">
      <c r="A1331" t="s">
        <v>1430</v>
      </c>
      <c r="B1331" t="s">
        <v>128</v>
      </c>
      <c r="C1331">
        <v>2</v>
      </c>
      <c r="D1331">
        <v>88.7</v>
      </c>
      <c r="E1331">
        <v>177.4</v>
      </c>
      <c r="F1331" s="1">
        <v>45708</v>
      </c>
      <c r="G1331" s="1">
        <v>45709</v>
      </c>
      <c r="H1331" t="s">
        <v>17</v>
      </c>
      <c r="I1331" t="s">
        <v>51</v>
      </c>
      <c r="J1331">
        <v>5</v>
      </c>
      <c r="K1331" t="s">
        <v>19</v>
      </c>
      <c r="L1331" t="s">
        <v>33</v>
      </c>
      <c r="M1331">
        <f>orders[[#This Row],[Ship Date]]-orders[[#This Row],[Order Date]]</f>
        <v>1</v>
      </c>
      <c r="N1331">
        <f>WEEKNUM(orders[[#This Row],[Order Date]])</f>
        <v>8</v>
      </c>
      <c r="O1331" t="str">
        <f>_xlfn.IFS(orders[[#This Row],[Customer Gender]]="M","Male", orders[[#This Row],[Customer Gender]]="F","Female", orders[[#This Row],[Customer Gender]]="O","Other", TRUE,"Unknown")</f>
        <v>Unknown</v>
      </c>
    </row>
    <row r="1332" spans="1:15">
      <c r="A1332" t="s">
        <v>1431</v>
      </c>
      <c r="B1332" t="s">
        <v>32</v>
      </c>
      <c r="C1332">
        <v>2</v>
      </c>
      <c r="D1332">
        <v>21.3</v>
      </c>
      <c r="E1332">
        <v>42.6</v>
      </c>
      <c r="F1332" s="1">
        <v>45708</v>
      </c>
      <c r="G1332" s="1">
        <v>45709</v>
      </c>
      <c r="H1332" t="s">
        <v>23</v>
      </c>
      <c r="I1332" t="s">
        <v>18</v>
      </c>
      <c r="J1332">
        <v>4</v>
      </c>
      <c r="K1332" t="s">
        <v>19</v>
      </c>
      <c r="L1332" t="s">
        <v>33</v>
      </c>
      <c r="M1332">
        <f>orders[[#This Row],[Ship Date]]-orders[[#This Row],[Order Date]]</f>
        <v>1</v>
      </c>
      <c r="N1332">
        <f>WEEKNUM(orders[[#This Row],[Order Date]])</f>
        <v>8</v>
      </c>
      <c r="O1332" t="str">
        <f>_xlfn.IFS(orders[[#This Row],[Customer Gender]]="M","Male", orders[[#This Row],[Customer Gender]]="F","Female", orders[[#This Row],[Customer Gender]]="O","Other", TRUE,"Unknown")</f>
        <v>Male</v>
      </c>
    </row>
    <row r="1333" spans="1:15">
      <c r="A1333" t="s">
        <v>1432</v>
      </c>
      <c r="B1333" t="s">
        <v>32</v>
      </c>
      <c r="C1333">
        <v>6</v>
      </c>
      <c r="D1333">
        <v>50.6</v>
      </c>
      <c r="E1333">
        <v>303.60000000000002</v>
      </c>
      <c r="F1333" s="1">
        <v>45708</v>
      </c>
      <c r="G1333" s="1">
        <v>45712</v>
      </c>
      <c r="H1333" t="s">
        <v>27</v>
      </c>
      <c r="I1333" t="s">
        <v>40</v>
      </c>
      <c r="J1333">
        <v>4</v>
      </c>
      <c r="K1333" t="s">
        <v>19</v>
      </c>
      <c r="L1333" t="s">
        <v>33</v>
      </c>
      <c r="M1333">
        <f>orders[[#This Row],[Ship Date]]-orders[[#This Row],[Order Date]]</f>
        <v>4</v>
      </c>
      <c r="N1333">
        <f>WEEKNUM(orders[[#This Row],[Order Date]])</f>
        <v>8</v>
      </c>
      <c r="O1333" t="str">
        <f>_xlfn.IFS(orders[[#This Row],[Customer Gender]]="M","Male", orders[[#This Row],[Customer Gender]]="F","Female", orders[[#This Row],[Customer Gender]]="O","Other", TRUE,"Unknown")</f>
        <v>Female</v>
      </c>
    </row>
    <row r="1334" spans="1:15">
      <c r="A1334" t="s">
        <v>1433</v>
      </c>
      <c r="B1334" t="s">
        <v>46</v>
      </c>
      <c r="C1334">
        <v>21</v>
      </c>
      <c r="D1334">
        <v>86.9</v>
      </c>
      <c r="E1334">
        <v>1824.9</v>
      </c>
      <c r="F1334" s="1">
        <v>45708</v>
      </c>
      <c r="G1334" s="1">
        <v>45711</v>
      </c>
      <c r="H1334" t="s">
        <v>27</v>
      </c>
      <c r="I1334" t="s">
        <v>18</v>
      </c>
      <c r="J1334">
        <v>3</v>
      </c>
      <c r="K1334" t="s">
        <v>19</v>
      </c>
      <c r="L1334" t="s">
        <v>33</v>
      </c>
      <c r="M1334">
        <f>orders[[#This Row],[Ship Date]]-orders[[#This Row],[Order Date]]</f>
        <v>3</v>
      </c>
      <c r="N1334">
        <f>WEEKNUM(orders[[#This Row],[Order Date]])</f>
        <v>8</v>
      </c>
      <c r="O1334" t="str">
        <f>_xlfn.IFS(orders[[#This Row],[Customer Gender]]="M","Male", orders[[#This Row],[Customer Gender]]="F","Female", orders[[#This Row],[Customer Gender]]="O","Other", TRUE,"Unknown")</f>
        <v>Female</v>
      </c>
    </row>
    <row r="1335" spans="1:15">
      <c r="A1335" t="s">
        <v>1434</v>
      </c>
      <c r="B1335" t="s">
        <v>67</v>
      </c>
      <c r="C1335">
        <v>3</v>
      </c>
      <c r="D1335">
        <v>31.8</v>
      </c>
      <c r="E1335">
        <v>95.4</v>
      </c>
      <c r="F1335" s="1">
        <v>45708</v>
      </c>
      <c r="G1335" s="1">
        <v>45710</v>
      </c>
      <c r="H1335" t="s">
        <v>23</v>
      </c>
      <c r="I1335" t="s">
        <v>18</v>
      </c>
      <c r="J1335">
        <v>5</v>
      </c>
      <c r="K1335" t="s">
        <v>19</v>
      </c>
      <c r="L1335" t="s">
        <v>33</v>
      </c>
      <c r="M1335">
        <f>orders[[#This Row],[Ship Date]]-orders[[#This Row],[Order Date]]</f>
        <v>2</v>
      </c>
      <c r="N1335">
        <f>WEEKNUM(orders[[#This Row],[Order Date]])</f>
        <v>8</v>
      </c>
      <c r="O1335" t="str">
        <f>_xlfn.IFS(orders[[#This Row],[Customer Gender]]="M","Male", orders[[#This Row],[Customer Gender]]="F","Female", orders[[#This Row],[Customer Gender]]="O","Other", TRUE,"Unknown")</f>
        <v>Male</v>
      </c>
    </row>
    <row r="1336" spans="1:15">
      <c r="A1336" t="s">
        <v>1435</v>
      </c>
      <c r="B1336" t="s">
        <v>44</v>
      </c>
      <c r="C1336">
        <v>1</v>
      </c>
      <c r="D1336">
        <v>19</v>
      </c>
      <c r="E1336">
        <v>19</v>
      </c>
      <c r="F1336" s="1">
        <v>45708</v>
      </c>
      <c r="G1336" s="1">
        <v>45709</v>
      </c>
      <c r="H1336" t="s">
        <v>27</v>
      </c>
      <c r="I1336" t="s">
        <v>18</v>
      </c>
      <c r="J1336">
        <v>5</v>
      </c>
      <c r="K1336" t="s">
        <v>19</v>
      </c>
      <c r="L1336" t="s">
        <v>33</v>
      </c>
      <c r="M1336">
        <f>orders[[#This Row],[Ship Date]]-orders[[#This Row],[Order Date]]</f>
        <v>1</v>
      </c>
      <c r="N1336">
        <f>WEEKNUM(orders[[#This Row],[Order Date]])</f>
        <v>8</v>
      </c>
      <c r="O1336" t="str">
        <f>_xlfn.IFS(orders[[#This Row],[Customer Gender]]="M","Male", orders[[#This Row],[Customer Gender]]="F","Female", orders[[#This Row],[Customer Gender]]="O","Other", TRUE,"Unknown")</f>
        <v>Female</v>
      </c>
    </row>
    <row r="1337" spans="1:15">
      <c r="A1337" t="s">
        <v>1436</v>
      </c>
      <c r="B1337" t="s">
        <v>37</v>
      </c>
      <c r="C1337">
        <v>1</v>
      </c>
      <c r="D1337">
        <v>54.5</v>
      </c>
      <c r="E1337">
        <v>54.5</v>
      </c>
      <c r="F1337" s="1">
        <v>45708</v>
      </c>
      <c r="G1337" s="1">
        <v>45710</v>
      </c>
      <c r="H1337" t="s">
        <v>23</v>
      </c>
      <c r="I1337" t="s">
        <v>18</v>
      </c>
      <c r="J1337">
        <v>4</v>
      </c>
      <c r="K1337" t="s">
        <v>19</v>
      </c>
      <c r="L1337" t="s">
        <v>33</v>
      </c>
      <c r="M1337">
        <f>orders[[#This Row],[Ship Date]]-orders[[#This Row],[Order Date]]</f>
        <v>2</v>
      </c>
      <c r="N1337">
        <f>WEEKNUM(orders[[#This Row],[Order Date]])</f>
        <v>8</v>
      </c>
      <c r="O1337" t="str">
        <f>_xlfn.IFS(orders[[#This Row],[Customer Gender]]="M","Male", orders[[#This Row],[Customer Gender]]="F","Female", orders[[#This Row],[Customer Gender]]="O","Other", TRUE,"Unknown")</f>
        <v>Male</v>
      </c>
    </row>
    <row r="1338" spans="1:15">
      <c r="A1338" t="s">
        <v>1437</v>
      </c>
      <c r="B1338" t="s">
        <v>46</v>
      </c>
      <c r="C1338">
        <v>5</v>
      </c>
      <c r="D1338">
        <v>68.900000000000006</v>
      </c>
      <c r="E1338">
        <v>344.5</v>
      </c>
      <c r="F1338" s="1">
        <v>45708</v>
      </c>
      <c r="G1338" s="1">
        <v>45710</v>
      </c>
      <c r="H1338" t="s">
        <v>23</v>
      </c>
      <c r="I1338" t="s">
        <v>70</v>
      </c>
      <c r="J1338">
        <v>3</v>
      </c>
      <c r="K1338" t="s">
        <v>19</v>
      </c>
      <c r="L1338" t="s">
        <v>33</v>
      </c>
      <c r="M1338">
        <f>orders[[#This Row],[Ship Date]]-orders[[#This Row],[Order Date]]</f>
        <v>2</v>
      </c>
      <c r="N1338">
        <f>WEEKNUM(orders[[#This Row],[Order Date]])</f>
        <v>8</v>
      </c>
      <c r="O1338" t="str">
        <f>_xlfn.IFS(orders[[#This Row],[Customer Gender]]="M","Male", orders[[#This Row],[Customer Gender]]="F","Female", orders[[#This Row],[Customer Gender]]="O","Other", TRUE,"Unknown")</f>
        <v>Male</v>
      </c>
    </row>
    <row r="1339" spans="1:15">
      <c r="A1339" t="s">
        <v>1438</v>
      </c>
      <c r="B1339" t="s">
        <v>39</v>
      </c>
      <c r="C1339">
        <v>3</v>
      </c>
      <c r="D1339">
        <v>84</v>
      </c>
      <c r="E1339">
        <v>252</v>
      </c>
      <c r="F1339" s="1">
        <v>45708</v>
      </c>
      <c r="G1339" s="1">
        <v>45709</v>
      </c>
      <c r="H1339" t="s">
        <v>23</v>
      </c>
      <c r="I1339" t="s">
        <v>35</v>
      </c>
      <c r="J1339">
        <v>2</v>
      </c>
      <c r="K1339" t="s">
        <v>19</v>
      </c>
      <c r="L1339" t="s">
        <v>98</v>
      </c>
      <c r="M1339">
        <f>orders[[#This Row],[Ship Date]]-orders[[#This Row],[Order Date]]</f>
        <v>1</v>
      </c>
      <c r="N1339">
        <f>WEEKNUM(orders[[#This Row],[Order Date]])</f>
        <v>8</v>
      </c>
      <c r="O1339" t="str">
        <f>_xlfn.IFS(orders[[#This Row],[Customer Gender]]="M","Male", orders[[#This Row],[Customer Gender]]="F","Female", orders[[#This Row],[Customer Gender]]="O","Other", TRUE,"Unknown")</f>
        <v>Male</v>
      </c>
    </row>
    <row r="1340" spans="1:15">
      <c r="A1340" t="s">
        <v>1439</v>
      </c>
      <c r="B1340" t="s">
        <v>123</v>
      </c>
      <c r="C1340">
        <v>8</v>
      </c>
      <c r="D1340">
        <v>23.1</v>
      </c>
      <c r="E1340">
        <v>184.8</v>
      </c>
      <c r="F1340" s="1">
        <v>45708</v>
      </c>
      <c r="G1340" s="1">
        <v>45713</v>
      </c>
      <c r="H1340" t="s">
        <v>23</v>
      </c>
      <c r="I1340" t="s">
        <v>18</v>
      </c>
      <c r="J1340">
        <v>5</v>
      </c>
      <c r="K1340" t="s">
        <v>19</v>
      </c>
      <c r="L1340" t="s">
        <v>158</v>
      </c>
      <c r="M1340">
        <f>orders[[#This Row],[Ship Date]]-orders[[#This Row],[Order Date]]</f>
        <v>5</v>
      </c>
      <c r="N1340">
        <f>WEEKNUM(orders[[#This Row],[Order Date]])</f>
        <v>8</v>
      </c>
      <c r="O1340" t="str">
        <f>_xlfn.IFS(orders[[#This Row],[Customer Gender]]="M","Male", orders[[#This Row],[Customer Gender]]="F","Female", orders[[#This Row],[Customer Gender]]="O","Other", TRUE,"Unknown")</f>
        <v>Male</v>
      </c>
    </row>
    <row r="1341" spans="1:15">
      <c r="A1341" t="s">
        <v>1440</v>
      </c>
      <c r="B1341" t="s">
        <v>42</v>
      </c>
      <c r="C1341">
        <v>2</v>
      </c>
      <c r="D1341">
        <v>62.4</v>
      </c>
      <c r="E1341">
        <v>124.8</v>
      </c>
      <c r="F1341" s="1">
        <v>45708</v>
      </c>
      <c r="G1341" s="1">
        <v>45709</v>
      </c>
      <c r="H1341" t="s">
        <v>27</v>
      </c>
      <c r="I1341" t="s">
        <v>18</v>
      </c>
      <c r="J1341">
        <v>3</v>
      </c>
      <c r="K1341" t="s">
        <v>19</v>
      </c>
      <c r="L1341" t="s">
        <v>55</v>
      </c>
      <c r="M1341">
        <f>orders[[#This Row],[Ship Date]]-orders[[#This Row],[Order Date]]</f>
        <v>1</v>
      </c>
      <c r="N1341">
        <f>WEEKNUM(orders[[#This Row],[Order Date]])</f>
        <v>8</v>
      </c>
      <c r="O1341" t="str">
        <f>_xlfn.IFS(orders[[#This Row],[Customer Gender]]="M","Male", orders[[#This Row],[Customer Gender]]="F","Female", orders[[#This Row],[Customer Gender]]="O","Other", TRUE,"Unknown")</f>
        <v>Female</v>
      </c>
    </row>
    <row r="1342" spans="1:15">
      <c r="A1342" t="s">
        <v>1441</v>
      </c>
      <c r="B1342" t="s">
        <v>39</v>
      </c>
      <c r="C1342">
        <v>12</v>
      </c>
      <c r="D1342">
        <v>40.700000000000003</v>
      </c>
      <c r="E1342">
        <v>488.40000000000003</v>
      </c>
      <c r="F1342" s="1">
        <v>45708</v>
      </c>
      <c r="G1342" s="1">
        <v>45710</v>
      </c>
      <c r="H1342" t="s">
        <v>23</v>
      </c>
      <c r="I1342" t="s">
        <v>35</v>
      </c>
      <c r="J1342">
        <v>5</v>
      </c>
      <c r="K1342" t="s">
        <v>19</v>
      </c>
      <c r="L1342" t="s">
        <v>55</v>
      </c>
      <c r="M1342">
        <f>orders[[#This Row],[Ship Date]]-orders[[#This Row],[Order Date]]</f>
        <v>2</v>
      </c>
      <c r="N1342">
        <f>WEEKNUM(orders[[#This Row],[Order Date]])</f>
        <v>8</v>
      </c>
      <c r="O1342" t="str">
        <f>_xlfn.IFS(orders[[#This Row],[Customer Gender]]="M","Male", orders[[#This Row],[Customer Gender]]="F","Female", orders[[#This Row],[Customer Gender]]="O","Other", TRUE,"Unknown")</f>
        <v>Male</v>
      </c>
    </row>
    <row r="1343" spans="1:15">
      <c r="A1343" t="s">
        <v>1442</v>
      </c>
      <c r="B1343" t="s">
        <v>39</v>
      </c>
      <c r="C1343">
        <v>1</v>
      </c>
      <c r="D1343">
        <v>49.6</v>
      </c>
      <c r="E1343">
        <v>49.6</v>
      </c>
      <c r="F1343" s="1">
        <v>45708</v>
      </c>
      <c r="G1343" s="1">
        <v>45711</v>
      </c>
      <c r="H1343" t="s">
        <v>23</v>
      </c>
      <c r="I1343" t="s">
        <v>40</v>
      </c>
      <c r="J1343">
        <v>4</v>
      </c>
      <c r="K1343" t="s">
        <v>19</v>
      </c>
      <c r="L1343" t="s">
        <v>59</v>
      </c>
      <c r="M1343">
        <f>orders[[#This Row],[Ship Date]]-orders[[#This Row],[Order Date]]</f>
        <v>3</v>
      </c>
      <c r="N1343">
        <f>WEEKNUM(orders[[#This Row],[Order Date]])</f>
        <v>8</v>
      </c>
      <c r="O1343" t="str">
        <f>_xlfn.IFS(orders[[#This Row],[Customer Gender]]="M","Male", orders[[#This Row],[Customer Gender]]="F","Female", orders[[#This Row],[Customer Gender]]="O","Other", TRUE,"Unknown")</f>
        <v>Male</v>
      </c>
    </row>
    <row r="1344" spans="1:15">
      <c r="A1344" t="s">
        <v>1443</v>
      </c>
      <c r="B1344" t="s">
        <v>42</v>
      </c>
      <c r="C1344">
        <v>45</v>
      </c>
      <c r="D1344">
        <v>66.599999999999994</v>
      </c>
      <c r="E1344">
        <v>2996.9999999999995</v>
      </c>
      <c r="F1344" s="1">
        <v>45708</v>
      </c>
      <c r="G1344" s="1">
        <v>45711</v>
      </c>
      <c r="H1344" t="s">
        <v>23</v>
      </c>
      <c r="I1344" t="s">
        <v>40</v>
      </c>
      <c r="J1344">
        <v>4</v>
      </c>
      <c r="K1344" t="s">
        <v>19</v>
      </c>
      <c r="L1344" t="s">
        <v>62</v>
      </c>
      <c r="M1344">
        <f>orders[[#This Row],[Ship Date]]-orders[[#This Row],[Order Date]]</f>
        <v>3</v>
      </c>
      <c r="N1344">
        <f>WEEKNUM(orders[[#This Row],[Order Date]])</f>
        <v>8</v>
      </c>
      <c r="O1344" t="str">
        <f>_xlfn.IFS(orders[[#This Row],[Customer Gender]]="M","Male", orders[[#This Row],[Customer Gender]]="F","Female", orders[[#This Row],[Customer Gender]]="O","Other", TRUE,"Unknown")</f>
        <v>Male</v>
      </c>
    </row>
    <row r="1345" spans="1:15">
      <c r="A1345" t="s">
        <v>1444</v>
      </c>
      <c r="B1345" t="s">
        <v>44</v>
      </c>
      <c r="C1345">
        <v>3</v>
      </c>
      <c r="D1345">
        <v>26.4</v>
      </c>
      <c r="E1345">
        <v>79.199999999999989</v>
      </c>
      <c r="F1345" s="1">
        <v>45708</v>
      </c>
      <c r="G1345" s="1">
        <v>45709</v>
      </c>
      <c r="H1345" t="s">
        <v>27</v>
      </c>
      <c r="I1345" t="s">
        <v>35</v>
      </c>
      <c r="J1345">
        <v>3</v>
      </c>
      <c r="K1345" t="s">
        <v>19</v>
      </c>
      <c r="L1345" t="s">
        <v>62</v>
      </c>
      <c r="M1345">
        <f>orders[[#This Row],[Ship Date]]-orders[[#This Row],[Order Date]]</f>
        <v>1</v>
      </c>
      <c r="N1345">
        <f>WEEKNUM(orders[[#This Row],[Order Date]])</f>
        <v>8</v>
      </c>
      <c r="O1345" t="str">
        <f>_xlfn.IFS(orders[[#This Row],[Customer Gender]]="M","Male", orders[[#This Row],[Customer Gender]]="F","Female", orders[[#This Row],[Customer Gender]]="O","Other", TRUE,"Unknown")</f>
        <v>Female</v>
      </c>
    </row>
    <row r="1346" spans="1:15">
      <c r="A1346" t="s">
        <v>1445</v>
      </c>
      <c r="B1346" t="s">
        <v>16</v>
      </c>
      <c r="C1346">
        <v>2</v>
      </c>
      <c r="D1346">
        <v>17.2</v>
      </c>
      <c r="E1346">
        <v>34.4</v>
      </c>
      <c r="F1346" s="1">
        <v>45708</v>
      </c>
      <c r="G1346" s="1">
        <v>45711</v>
      </c>
      <c r="H1346" t="s">
        <v>23</v>
      </c>
      <c r="I1346" t="s">
        <v>40</v>
      </c>
      <c r="J1346">
        <v>3</v>
      </c>
      <c r="K1346" t="s">
        <v>19</v>
      </c>
      <c r="L1346" t="s">
        <v>62</v>
      </c>
      <c r="M1346">
        <f>orders[[#This Row],[Ship Date]]-orders[[#This Row],[Order Date]]</f>
        <v>3</v>
      </c>
      <c r="N1346">
        <f>WEEKNUM(orders[[#This Row],[Order Date]])</f>
        <v>8</v>
      </c>
      <c r="O1346" t="str">
        <f>_xlfn.IFS(orders[[#This Row],[Customer Gender]]="M","Male", orders[[#This Row],[Customer Gender]]="F","Female", orders[[#This Row],[Customer Gender]]="O","Other", TRUE,"Unknown")</f>
        <v>Male</v>
      </c>
    </row>
    <row r="1347" spans="1:15">
      <c r="A1347" t="s">
        <v>1446</v>
      </c>
      <c r="B1347" t="s">
        <v>37</v>
      </c>
      <c r="C1347">
        <v>8</v>
      </c>
      <c r="D1347">
        <v>58.1</v>
      </c>
      <c r="E1347">
        <v>464.8</v>
      </c>
      <c r="F1347" s="1">
        <v>45708</v>
      </c>
      <c r="G1347" s="1">
        <v>45711</v>
      </c>
      <c r="H1347" t="s">
        <v>27</v>
      </c>
      <c r="I1347" t="s">
        <v>70</v>
      </c>
      <c r="J1347">
        <v>4</v>
      </c>
      <c r="K1347" t="s">
        <v>19</v>
      </c>
      <c r="L1347" t="s">
        <v>62</v>
      </c>
      <c r="M1347">
        <f>orders[[#This Row],[Ship Date]]-orders[[#This Row],[Order Date]]</f>
        <v>3</v>
      </c>
      <c r="N1347">
        <f>WEEKNUM(orders[[#This Row],[Order Date]])</f>
        <v>8</v>
      </c>
      <c r="O1347" t="str">
        <f>_xlfn.IFS(orders[[#This Row],[Customer Gender]]="M","Male", orders[[#This Row],[Customer Gender]]="F","Female", orders[[#This Row],[Customer Gender]]="O","Other", TRUE,"Unknown")</f>
        <v>Female</v>
      </c>
    </row>
    <row r="1348" spans="1:15">
      <c r="A1348" t="s">
        <v>1447</v>
      </c>
      <c r="B1348" t="s">
        <v>123</v>
      </c>
      <c r="C1348">
        <v>4</v>
      </c>
      <c r="D1348">
        <v>31.5</v>
      </c>
      <c r="E1348">
        <v>126</v>
      </c>
      <c r="F1348" s="1">
        <v>45708</v>
      </c>
      <c r="G1348" s="1">
        <v>45711</v>
      </c>
      <c r="H1348" t="s">
        <v>27</v>
      </c>
      <c r="I1348" t="s">
        <v>70</v>
      </c>
      <c r="J1348">
        <v>2</v>
      </c>
      <c r="K1348" t="s">
        <v>19</v>
      </c>
      <c r="L1348" t="s">
        <v>62</v>
      </c>
      <c r="M1348">
        <f>orders[[#This Row],[Ship Date]]-orders[[#This Row],[Order Date]]</f>
        <v>3</v>
      </c>
      <c r="N1348">
        <f>WEEKNUM(orders[[#This Row],[Order Date]])</f>
        <v>8</v>
      </c>
      <c r="O1348" t="str">
        <f>_xlfn.IFS(orders[[#This Row],[Customer Gender]]="M","Male", orders[[#This Row],[Customer Gender]]="F","Female", orders[[#This Row],[Customer Gender]]="O","Other", TRUE,"Unknown")</f>
        <v>Female</v>
      </c>
    </row>
    <row r="1349" spans="1:15">
      <c r="A1349" t="s">
        <v>1448</v>
      </c>
      <c r="B1349" t="s">
        <v>16</v>
      </c>
      <c r="C1349">
        <v>1</v>
      </c>
      <c r="D1349">
        <v>27.1</v>
      </c>
      <c r="E1349">
        <v>27.1</v>
      </c>
      <c r="F1349" s="1">
        <v>45708</v>
      </c>
      <c r="G1349" s="1">
        <v>45710</v>
      </c>
      <c r="H1349" t="s">
        <v>27</v>
      </c>
      <c r="I1349" t="s">
        <v>18</v>
      </c>
      <c r="J1349">
        <v>3</v>
      </c>
      <c r="K1349" t="s">
        <v>19</v>
      </c>
      <c r="L1349" t="s">
        <v>103</v>
      </c>
      <c r="M1349">
        <f>orders[[#This Row],[Ship Date]]-orders[[#This Row],[Order Date]]</f>
        <v>2</v>
      </c>
      <c r="N1349">
        <f>WEEKNUM(orders[[#This Row],[Order Date]])</f>
        <v>8</v>
      </c>
      <c r="O1349" t="str">
        <f>_xlfn.IFS(orders[[#This Row],[Customer Gender]]="M","Male", orders[[#This Row],[Customer Gender]]="F","Female", orders[[#This Row],[Customer Gender]]="O","Other", TRUE,"Unknown")</f>
        <v>Female</v>
      </c>
    </row>
    <row r="1350" spans="1:15">
      <c r="A1350" t="s">
        <v>1449</v>
      </c>
      <c r="B1350" t="s">
        <v>146</v>
      </c>
      <c r="C1350">
        <v>4</v>
      </c>
      <c r="D1350">
        <v>28.5</v>
      </c>
      <c r="E1350">
        <v>114</v>
      </c>
      <c r="F1350" s="1">
        <v>45708</v>
      </c>
      <c r="G1350" s="1">
        <v>45710</v>
      </c>
      <c r="H1350" t="s">
        <v>23</v>
      </c>
      <c r="I1350" t="s">
        <v>35</v>
      </c>
      <c r="J1350">
        <v>5</v>
      </c>
      <c r="K1350" t="s">
        <v>19</v>
      </c>
      <c r="L1350" t="s">
        <v>72</v>
      </c>
      <c r="M1350">
        <f>orders[[#This Row],[Ship Date]]-orders[[#This Row],[Order Date]]</f>
        <v>2</v>
      </c>
      <c r="N1350">
        <f>WEEKNUM(orders[[#This Row],[Order Date]])</f>
        <v>8</v>
      </c>
      <c r="O1350" t="str">
        <f>_xlfn.IFS(orders[[#This Row],[Customer Gender]]="M","Male", orders[[#This Row],[Customer Gender]]="F","Female", orders[[#This Row],[Customer Gender]]="O","Other", TRUE,"Unknown")</f>
        <v>Male</v>
      </c>
    </row>
    <row r="1351" spans="1:15">
      <c r="A1351" t="s">
        <v>1450</v>
      </c>
      <c r="B1351" t="s">
        <v>54</v>
      </c>
      <c r="C1351">
        <v>1</v>
      </c>
      <c r="D1351">
        <v>40.5</v>
      </c>
      <c r="E1351">
        <v>40.5</v>
      </c>
      <c r="F1351" s="1">
        <v>45709</v>
      </c>
      <c r="G1351" s="1">
        <v>45711</v>
      </c>
      <c r="H1351" t="s">
        <v>89</v>
      </c>
      <c r="I1351" t="s">
        <v>40</v>
      </c>
      <c r="J1351">
        <v>4</v>
      </c>
      <c r="K1351" t="s">
        <v>19</v>
      </c>
      <c r="L1351" t="s">
        <v>72</v>
      </c>
      <c r="M1351">
        <f>orders[[#This Row],[Ship Date]]-orders[[#This Row],[Order Date]]</f>
        <v>2</v>
      </c>
      <c r="N1351">
        <f>WEEKNUM(orders[[#This Row],[Order Date]])</f>
        <v>8</v>
      </c>
      <c r="O1351" t="str">
        <f>_xlfn.IFS(orders[[#This Row],[Customer Gender]]="M","Male", orders[[#This Row],[Customer Gender]]="F","Female", orders[[#This Row],[Customer Gender]]="O","Other", TRUE,"Unknown")</f>
        <v>Other</v>
      </c>
    </row>
    <row r="1352" spans="1:15">
      <c r="A1352" t="s">
        <v>1451</v>
      </c>
      <c r="B1352" t="s">
        <v>26</v>
      </c>
      <c r="C1352">
        <v>3</v>
      </c>
      <c r="D1352">
        <v>77.900000000000006</v>
      </c>
      <c r="E1352">
        <v>233.70000000000002</v>
      </c>
      <c r="F1352" s="1">
        <v>45709</v>
      </c>
      <c r="G1352" s="1">
        <v>45713</v>
      </c>
      <c r="H1352" t="s">
        <v>27</v>
      </c>
      <c r="I1352" t="s">
        <v>35</v>
      </c>
      <c r="J1352">
        <v>5</v>
      </c>
      <c r="K1352" t="s">
        <v>19</v>
      </c>
      <c r="L1352" t="s">
        <v>110</v>
      </c>
      <c r="M1352">
        <f>orders[[#This Row],[Ship Date]]-orders[[#This Row],[Order Date]]</f>
        <v>4</v>
      </c>
      <c r="N1352">
        <f>WEEKNUM(orders[[#This Row],[Order Date]])</f>
        <v>8</v>
      </c>
      <c r="O1352" t="str">
        <f>_xlfn.IFS(orders[[#This Row],[Customer Gender]]="M","Male", orders[[#This Row],[Customer Gender]]="F","Female", orders[[#This Row],[Customer Gender]]="O","Other", TRUE,"Unknown")</f>
        <v>Female</v>
      </c>
    </row>
    <row r="1353" spans="1:15">
      <c r="A1353" t="s">
        <v>1452</v>
      </c>
      <c r="B1353" t="s">
        <v>146</v>
      </c>
      <c r="C1353">
        <v>4</v>
      </c>
      <c r="D1353">
        <v>37.1</v>
      </c>
      <c r="E1353">
        <v>148.4</v>
      </c>
      <c r="F1353" s="1">
        <v>45709</v>
      </c>
      <c r="G1353" s="1">
        <v>45711</v>
      </c>
      <c r="H1353" t="s">
        <v>23</v>
      </c>
      <c r="I1353" t="s">
        <v>70</v>
      </c>
      <c r="J1353">
        <v>5</v>
      </c>
      <c r="K1353" t="s">
        <v>19</v>
      </c>
      <c r="L1353" t="s">
        <v>110</v>
      </c>
      <c r="M1353">
        <f>orders[[#This Row],[Ship Date]]-orders[[#This Row],[Order Date]]</f>
        <v>2</v>
      </c>
      <c r="N1353">
        <f>WEEKNUM(orders[[#This Row],[Order Date]])</f>
        <v>8</v>
      </c>
      <c r="O1353" t="str">
        <f>_xlfn.IFS(orders[[#This Row],[Customer Gender]]="M","Male", orders[[#This Row],[Customer Gender]]="F","Female", orders[[#This Row],[Customer Gender]]="O","Other", TRUE,"Unknown")</f>
        <v>Male</v>
      </c>
    </row>
    <row r="1354" spans="1:15">
      <c r="A1354" t="s">
        <v>1453</v>
      </c>
      <c r="B1354" t="s">
        <v>128</v>
      </c>
      <c r="C1354">
        <v>3</v>
      </c>
      <c r="D1354">
        <v>51.6</v>
      </c>
      <c r="E1354">
        <v>154.80000000000001</v>
      </c>
      <c r="F1354" s="1">
        <v>45709</v>
      </c>
      <c r="G1354" s="1">
        <v>45717</v>
      </c>
      <c r="H1354" t="s">
        <v>27</v>
      </c>
      <c r="I1354" t="s">
        <v>18</v>
      </c>
      <c r="J1354">
        <v>2</v>
      </c>
      <c r="K1354" t="s">
        <v>19</v>
      </c>
      <c r="L1354" t="s">
        <v>110</v>
      </c>
      <c r="M1354">
        <f>orders[[#This Row],[Ship Date]]-orders[[#This Row],[Order Date]]</f>
        <v>8</v>
      </c>
      <c r="N1354">
        <f>WEEKNUM(orders[[#This Row],[Order Date]])</f>
        <v>8</v>
      </c>
      <c r="O1354" t="str">
        <f>_xlfn.IFS(orders[[#This Row],[Customer Gender]]="M","Male", orders[[#This Row],[Customer Gender]]="F","Female", orders[[#This Row],[Customer Gender]]="O","Other", TRUE,"Unknown")</f>
        <v>Female</v>
      </c>
    </row>
    <row r="1355" spans="1:15">
      <c r="A1355" t="s">
        <v>1454</v>
      </c>
      <c r="B1355" t="s">
        <v>42</v>
      </c>
      <c r="C1355">
        <v>3</v>
      </c>
      <c r="D1355">
        <v>98</v>
      </c>
      <c r="E1355">
        <v>294</v>
      </c>
      <c r="F1355" s="1">
        <v>45709</v>
      </c>
      <c r="G1355" s="1">
        <v>45710</v>
      </c>
      <c r="H1355" t="s">
        <v>23</v>
      </c>
      <c r="I1355" t="s">
        <v>35</v>
      </c>
      <c r="J1355">
        <v>3</v>
      </c>
      <c r="K1355" t="s">
        <v>19</v>
      </c>
      <c r="L1355" t="s">
        <v>110</v>
      </c>
      <c r="M1355">
        <f>orders[[#This Row],[Ship Date]]-orders[[#This Row],[Order Date]]</f>
        <v>1</v>
      </c>
      <c r="N1355">
        <f>WEEKNUM(orders[[#This Row],[Order Date]])</f>
        <v>8</v>
      </c>
      <c r="O1355" t="str">
        <f>_xlfn.IFS(orders[[#This Row],[Customer Gender]]="M","Male", orders[[#This Row],[Customer Gender]]="F","Female", orders[[#This Row],[Customer Gender]]="O","Other", TRUE,"Unknown")</f>
        <v>Male</v>
      </c>
    </row>
    <row r="1356" spans="1:15">
      <c r="A1356" t="s">
        <v>1455</v>
      </c>
      <c r="B1356" t="s">
        <v>39</v>
      </c>
      <c r="C1356">
        <v>7</v>
      </c>
      <c r="D1356">
        <v>41.4</v>
      </c>
      <c r="E1356">
        <v>289.8</v>
      </c>
      <c r="F1356" s="1">
        <v>45709</v>
      </c>
      <c r="G1356" s="1">
        <v>45710</v>
      </c>
      <c r="H1356" t="s">
        <v>23</v>
      </c>
      <c r="I1356" t="s">
        <v>35</v>
      </c>
      <c r="J1356">
        <v>4</v>
      </c>
      <c r="K1356" t="s">
        <v>19</v>
      </c>
      <c r="L1356" t="s">
        <v>113</v>
      </c>
      <c r="M1356">
        <f>orders[[#This Row],[Ship Date]]-orders[[#This Row],[Order Date]]</f>
        <v>1</v>
      </c>
      <c r="N1356">
        <f>WEEKNUM(orders[[#This Row],[Order Date]])</f>
        <v>8</v>
      </c>
      <c r="O1356" t="str">
        <f>_xlfn.IFS(orders[[#This Row],[Customer Gender]]="M","Male", orders[[#This Row],[Customer Gender]]="F","Female", orders[[#This Row],[Customer Gender]]="O","Other", TRUE,"Unknown")</f>
        <v>Male</v>
      </c>
    </row>
    <row r="1357" spans="1:15">
      <c r="A1357" t="s">
        <v>1456</v>
      </c>
      <c r="B1357" t="s">
        <v>67</v>
      </c>
      <c r="C1357">
        <v>8</v>
      </c>
      <c r="D1357">
        <v>34</v>
      </c>
      <c r="E1357">
        <v>272</v>
      </c>
      <c r="F1357" s="1">
        <v>45709</v>
      </c>
      <c r="G1357" s="1">
        <v>45714</v>
      </c>
      <c r="H1357" t="s">
        <v>27</v>
      </c>
      <c r="I1357" t="s">
        <v>18</v>
      </c>
      <c r="J1357">
        <v>5</v>
      </c>
      <c r="K1357" t="s">
        <v>19</v>
      </c>
      <c r="L1357" t="s">
        <v>997</v>
      </c>
      <c r="M1357">
        <f>orders[[#This Row],[Ship Date]]-orders[[#This Row],[Order Date]]</f>
        <v>5</v>
      </c>
      <c r="N1357">
        <f>WEEKNUM(orders[[#This Row],[Order Date]])</f>
        <v>8</v>
      </c>
      <c r="O1357" t="str">
        <f>_xlfn.IFS(orders[[#This Row],[Customer Gender]]="M","Male", orders[[#This Row],[Customer Gender]]="F","Female", orders[[#This Row],[Customer Gender]]="O","Other", TRUE,"Unknown")</f>
        <v>Female</v>
      </c>
    </row>
    <row r="1358" spans="1:15">
      <c r="A1358" t="s">
        <v>1457</v>
      </c>
      <c r="B1358" t="s">
        <v>39</v>
      </c>
      <c r="C1358">
        <v>1</v>
      </c>
      <c r="D1358">
        <v>66.3</v>
      </c>
      <c r="E1358">
        <v>66.3</v>
      </c>
      <c r="F1358" s="1">
        <v>45709</v>
      </c>
      <c r="G1358" s="1">
        <v>45710</v>
      </c>
      <c r="H1358" t="s">
        <v>27</v>
      </c>
      <c r="I1358" t="s">
        <v>35</v>
      </c>
      <c r="J1358">
        <v>4</v>
      </c>
      <c r="K1358" t="s">
        <v>19</v>
      </c>
      <c r="L1358" t="s">
        <v>82</v>
      </c>
      <c r="M1358">
        <f>orders[[#This Row],[Ship Date]]-orders[[#This Row],[Order Date]]</f>
        <v>1</v>
      </c>
      <c r="N1358">
        <f>WEEKNUM(orders[[#This Row],[Order Date]])</f>
        <v>8</v>
      </c>
      <c r="O1358" t="str">
        <f>_xlfn.IFS(orders[[#This Row],[Customer Gender]]="M","Male", orders[[#This Row],[Customer Gender]]="F","Female", orders[[#This Row],[Customer Gender]]="O","Other", TRUE,"Unknown")</f>
        <v>Female</v>
      </c>
    </row>
    <row r="1359" spans="1:15">
      <c r="A1359" t="s">
        <v>1458</v>
      </c>
      <c r="B1359" t="s">
        <v>42</v>
      </c>
      <c r="C1359">
        <v>1</v>
      </c>
      <c r="D1359">
        <v>33.5</v>
      </c>
      <c r="E1359">
        <v>33.5</v>
      </c>
      <c r="F1359" s="1">
        <v>45709</v>
      </c>
      <c r="G1359" s="1">
        <v>45713</v>
      </c>
      <c r="H1359" t="s">
        <v>23</v>
      </c>
      <c r="I1359" t="s">
        <v>40</v>
      </c>
      <c r="J1359">
        <v>4</v>
      </c>
      <c r="K1359" t="s">
        <v>19</v>
      </c>
      <c r="L1359" t="s">
        <v>82</v>
      </c>
      <c r="M1359">
        <f>orders[[#This Row],[Ship Date]]-orders[[#This Row],[Order Date]]</f>
        <v>4</v>
      </c>
      <c r="N1359">
        <f>WEEKNUM(orders[[#This Row],[Order Date]])</f>
        <v>8</v>
      </c>
      <c r="O1359" t="str">
        <f>_xlfn.IFS(orders[[#This Row],[Customer Gender]]="M","Male", orders[[#This Row],[Customer Gender]]="F","Female", orders[[#This Row],[Customer Gender]]="O","Other", TRUE,"Unknown")</f>
        <v>Male</v>
      </c>
    </row>
    <row r="1360" spans="1:15">
      <c r="A1360" t="s">
        <v>1459</v>
      </c>
      <c r="B1360" t="s">
        <v>69</v>
      </c>
      <c r="C1360">
        <v>2</v>
      </c>
      <c r="D1360">
        <v>70.8</v>
      </c>
      <c r="E1360">
        <v>141.6</v>
      </c>
      <c r="F1360" s="1">
        <v>45709</v>
      </c>
      <c r="G1360" s="1">
        <v>45710</v>
      </c>
      <c r="H1360" t="s">
        <v>17</v>
      </c>
      <c r="I1360" t="s">
        <v>18</v>
      </c>
      <c r="J1360">
        <v>4</v>
      </c>
      <c r="K1360" t="s">
        <v>19</v>
      </c>
      <c r="L1360" t="s">
        <v>243</v>
      </c>
      <c r="M1360">
        <f>orders[[#This Row],[Ship Date]]-orders[[#This Row],[Order Date]]</f>
        <v>1</v>
      </c>
      <c r="N1360">
        <f>WEEKNUM(orders[[#This Row],[Order Date]])</f>
        <v>8</v>
      </c>
      <c r="O1360" t="str">
        <f>_xlfn.IFS(orders[[#This Row],[Customer Gender]]="M","Male", orders[[#This Row],[Customer Gender]]="F","Female", orders[[#This Row],[Customer Gender]]="O","Other", TRUE,"Unknown")</f>
        <v>Unknown</v>
      </c>
    </row>
    <row r="1361" spans="1:15">
      <c r="A1361" t="s">
        <v>1460</v>
      </c>
      <c r="B1361" t="s">
        <v>39</v>
      </c>
      <c r="C1361">
        <v>2</v>
      </c>
      <c r="D1361">
        <v>127.6</v>
      </c>
      <c r="E1361">
        <v>255.2</v>
      </c>
      <c r="F1361" s="1">
        <v>45709</v>
      </c>
      <c r="G1361" s="1">
        <v>45710</v>
      </c>
      <c r="H1361" t="s">
        <v>23</v>
      </c>
      <c r="I1361" t="s">
        <v>18</v>
      </c>
      <c r="J1361">
        <v>4</v>
      </c>
      <c r="K1361" t="s">
        <v>19</v>
      </c>
      <c r="L1361" t="s">
        <v>115</v>
      </c>
      <c r="M1361">
        <f>orders[[#This Row],[Ship Date]]-orders[[#This Row],[Order Date]]</f>
        <v>1</v>
      </c>
      <c r="N1361">
        <f>WEEKNUM(orders[[#This Row],[Order Date]])</f>
        <v>8</v>
      </c>
      <c r="O1361" t="str">
        <f>_xlfn.IFS(orders[[#This Row],[Customer Gender]]="M","Male", orders[[#This Row],[Customer Gender]]="F","Female", orders[[#This Row],[Customer Gender]]="O","Other", TRUE,"Unknown")</f>
        <v>Male</v>
      </c>
    </row>
    <row r="1362" spans="1:15">
      <c r="A1362" t="s">
        <v>1461</v>
      </c>
      <c r="B1362" t="s">
        <v>39</v>
      </c>
      <c r="C1362">
        <v>3</v>
      </c>
      <c r="D1362">
        <v>95.9</v>
      </c>
      <c r="E1362">
        <v>287.70000000000005</v>
      </c>
      <c r="F1362" s="1">
        <v>45709</v>
      </c>
      <c r="G1362" s="1">
        <v>45710</v>
      </c>
      <c r="H1362" t="s">
        <v>27</v>
      </c>
      <c r="I1362" t="s">
        <v>35</v>
      </c>
      <c r="J1362">
        <v>3</v>
      </c>
      <c r="K1362" t="s">
        <v>19</v>
      </c>
      <c r="L1362" t="s">
        <v>115</v>
      </c>
      <c r="M1362">
        <f>orders[[#This Row],[Ship Date]]-orders[[#This Row],[Order Date]]</f>
        <v>1</v>
      </c>
      <c r="N1362">
        <f>WEEKNUM(orders[[#This Row],[Order Date]])</f>
        <v>8</v>
      </c>
      <c r="O1362" t="str">
        <f>_xlfn.IFS(orders[[#This Row],[Customer Gender]]="M","Male", orders[[#This Row],[Customer Gender]]="F","Female", orders[[#This Row],[Customer Gender]]="O","Other", TRUE,"Unknown")</f>
        <v>Female</v>
      </c>
    </row>
    <row r="1363" spans="1:15">
      <c r="A1363" t="s">
        <v>1462</v>
      </c>
      <c r="B1363" t="s">
        <v>26</v>
      </c>
      <c r="C1363">
        <v>2</v>
      </c>
      <c r="D1363">
        <v>78.099999999999994</v>
      </c>
      <c r="E1363">
        <v>156.19999999999999</v>
      </c>
      <c r="F1363" s="1">
        <v>45709</v>
      </c>
      <c r="G1363" s="1">
        <v>45710</v>
      </c>
      <c r="H1363" t="s">
        <v>23</v>
      </c>
      <c r="I1363" t="s">
        <v>18</v>
      </c>
      <c r="J1363">
        <v>4</v>
      </c>
      <c r="K1363" t="s">
        <v>19</v>
      </c>
      <c r="L1363" t="s">
        <v>24</v>
      </c>
      <c r="M1363">
        <f>orders[[#This Row],[Ship Date]]-orders[[#This Row],[Order Date]]</f>
        <v>1</v>
      </c>
      <c r="N1363">
        <f>WEEKNUM(orders[[#This Row],[Order Date]])</f>
        <v>8</v>
      </c>
      <c r="O1363" t="str">
        <f>_xlfn.IFS(orders[[#This Row],[Customer Gender]]="M","Male", orders[[#This Row],[Customer Gender]]="F","Female", orders[[#This Row],[Customer Gender]]="O","Other", TRUE,"Unknown")</f>
        <v>Male</v>
      </c>
    </row>
    <row r="1364" spans="1:15">
      <c r="A1364" t="s">
        <v>1463</v>
      </c>
      <c r="B1364" t="s">
        <v>76</v>
      </c>
      <c r="C1364">
        <v>2</v>
      </c>
      <c r="D1364">
        <v>43.2</v>
      </c>
      <c r="E1364">
        <v>86.4</v>
      </c>
      <c r="F1364" s="1">
        <v>45709</v>
      </c>
      <c r="G1364" s="1">
        <v>45710</v>
      </c>
      <c r="H1364" t="s">
        <v>17</v>
      </c>
      <c r="I1364" t="s">
        <v>35</v>
      </c>
      <c r="J1364">
        <v>3</v>
      </c>
      <c r="K1364" t="s">
        <v>19</v>
      </c>
      <c r="L1364" t="s">
        <v>24</v>
      </c>
      <c r="M1364">
        <f>orders[[#This Row],[Ship Date]]-orders[[#This Row],[Order Date]]</f>
        <v>1</v>
      </c>
      <c r="N1364">
        <f>WEEKNUM(orders[[#This Row],[Order Date]])</f>
        <v>8</v>
      </c>
      <c r="O1364" t="str">
        <f>_xlfn.IFS(orders[[#This Row],[Customer Gender]]="M","Male", orders[[#This Row],[Customer Gender]]="F","Female", orders[[#This Row],[Customer Gender]]="O","Other", TRUE,"Unknown")</f>
        <v>Unknown</v>
      </c>
    </row>
    <row r="1365" spans="1:15">
      <c r="A1365" t="s">
        <v>1464</v>
      </c>
      <c r="B1365" t="s">
        <v>44</v>
      </c>
      <c r="C1365">
        <v>4</v>
      </c>
      <c r="D1365">
        <v>28.4</v>
      </c>
      <c r="E1365">
        <v>113.6</v>
      </c>
      <c r="F1365" s="1">
        <v>45709</v>
      </c>
      <c r="G1365" s="1">
        <v>45715</v>
      </c>
      <c r="H1365" t="s">
        <v>23</v>
      </c>
      <c r="I1365" t="s">
        <v>40</v>
      </c>
      <c r="J1365">
        <v>4</v>
      </c>
      <c r="K1365" t="s">
        <v>19</v>
      </c>
      <c r="L1365" t="s">
        <v>33</v>
      </c>
      <c r="M1365">
        <f>orders[[#This Row],[Ship Date]]-orders[[#This Row],[Order Date]]</f>
        <v>6</v>
      </c>
      <c r="N1365">
        <f>WEEKNUM(orders[[#This Row],[Order Date]])</f>
        <v>8</v>
      </c>
      <c r="O1365" t="str">
        <f>_xlfn.IFS(orders[[#This Row],[Customer Gender]]="M","Male", orders[[#This Row],[Customer Gender]]="F","Female", orders[[#This Row],[Customer Gender]]="O","Other", TRUE,"Unknown")</f>
        <v>Male</v>
      </c>
    </row>
    <row r="1366" spans="1:15">
      <c r="A1366" t="s">
        <v>1465</v>
      </c>
      <c r="B1366" t="s">
        <v>26</v>
      </c>
      <c r="C1366">
        <v>2</v>
      </c>
      <c r="D1366">
        <v>81.7</v>
      </c>
      <c r="E1366">
        <v>163.4</v>
      </c>
      <c r="F1366" s="1">
        <v>45709</v>
      </c>
      <c r="G1366" s="1">
        <v>45709</v>
      </c>
      <c r="H1366" t="s">
        <v>23</v>
      </c>
      <c r="I1366" t="s">
        <v>18</v>
      </c>
      <c r="J1366">
        <v>4</v>
      </c>
      <c r="K1366" t="s">
        <v>19</v>
      </c>
      <c r="L1366" t="s">
        <v>33</v>
      </c>
      <c r="M1366">
        <f>orders[[#This Row],[Ship Date]]-orders[[#This Row],[Order Date]]</f>
        <v>0</v>
      </c>
      <c r="N1366">
        <f>WEEKNUM(orders[[#This Row],[Order Date]])</f>
        <v>8</v>
      </c>
      <c r="O1366" t="str">
        <f>_xlfn.IFS(orders[[#This Row],[Customer Gender]]="M","Male", orders[[#This Row],[Customer Gender]]="F","Female", orders[[#This Row],[Customer Gender]]="O","Other", TRUE,"Unknown")</f>
        <v>Male</v>
      </c>
    </row>
    <row r="1367" spans="1:15">
      <c r="A1367" t="s">
        <v>1466</v>
      </c>
      <c r="B1367" t="s">
        <v>146</v>
      </c>
      <c r="C1367">
        <v>2</v>
      </c>
      <c r="D1367">
        <v>56.7</v>
      </c>
      <c r="E1367">
        <v>113.4</v>
      </c>
      <c r="F1367" s="1">
        <v>45709</v>
      </c>
      <c r="G1367" s="1">
        <v>45711</v>
      </c>
      <c r="H1367" t="s">
        <v>17</v>
      </c>
      <c r="I1367" t="s">
        <v>18</v>
      </c>
      <c r="J1367">
        <v>5</v>
      </c>
      <c r="K1367" t="s">
        <v>19</v>
      </c>
      <c r="L1367" t="s">
        <v>33</v>
      </c>
      <c r="M1367">
        <f>orders[[#This Row],[Ship Date]]-orders[[#This Row],[Order Date]]</f>
        <v>2</v>
      </c>
      <c r="N1367">
        <f>WEEKNUM(orders[[#This Row],[Order Date]])</f>
        <v>8</v>
      </c>
      <c r="O1367" t="str">
        <f>_xlfn.IFS(orders[[#This Row],[Customer Gender]]="M","Male", orders[[#This Row],[Customer Gender]]="F","Female", orders[[#This Row],[Customer Gender]]="O","Other", TRUE,"Unknown")</f>
        <v>Unknown</v>
      </c>
    </row>
    <row r="1368" spans="1:15">
      <c r="A1368" t="s">
        <v>1467</v>
      </c>
      <c r="B1368" t="s">
        <v>30</v>
      </c>
      <c r="C1368">
        <v>4</v>
      </c>
      <c r="D1368">
        <v>66.5</v>
      </c>
      <c r="E1368">
        <v>266</v>
      </c>
      <c r="F1368" s="1">
        <v>45709</v>
      </c>
      <c r="G1368" s="1">
        <v>45709</v>
      </c>
      <c r="H1368" t="s">
        <v>27</v>
      </c>
      <c r="I1368" t="s">
        <v>18</v>
      </c>
      <c r="J1368">
        <v>5</v>
      </c>
      <c r="K1368" t="s">
        <v>19</v>
      </c>
      <c r="L1368" t="s">
        <v>33</v>
      </c>
      <c r="M1368">
        <f>orders[[#This Row],[Ship Date]]-orders[[#This Row],[Order Date]]</f>
        <v>0</v>
      </c>
      <c r="N1368">
        <f>WEEKNUM(orders[[#This Row],[Order Date]])</f>
        <v>8</v>
      </c>
      <c r="O1368" t="str">
        <f>_xlfn.IFS(orders[[#This Row],[Customer Gender]]="M","Male", orders[[#This Row],[Customer Gender]]="F","Female", orders[[#This Row],[Customer Gender]]="O","Other", TRUE,"Unknown")</f>
        <v>Female</v>
      </c>
    </row>
    <row r="1369" spans="1:15">
      <c r="A1369" t="s">
        <v>1468</v>
      </c>
      <c r="B1369" t="s">
        <v>22</v>
      </c>
      <c r="C1369">
        <v>2</v>
      </c>
      <c r="D1369">
        <v>105.3</v>
      </c>
      <c r="E1369">
        <v>210.6</v>
      </c>
      <c r="F1369" s="1">
        <v>45709</v>
      </c>
      <c r="G1369" s="1">
        <v>45713</v>
      </c>
      <c r="H1369" t="s">
        <v>23</v>
      </c>
      <c r="I1369" t="s">
        <v>18</v>
      </c>
      <c r="J1369">
        <v>3</v>
      </c>
      <c r="K1369" t="s">
        <v>19</v>
      </c>
      <c r="L1369" t="s">
        <v>33</v>
      </c>
      <c r="M1369">
        <f>orders[[#This Row],[Ship Date]]-orders[[#This Row],[Order Date]]</f>
        <v>4</v>
      </c>
      <c r="N1369">
        <f>WEEKNUM(orders[[#This Row],[Order Date]])</f>
        <v>8</v>
      </c>
      <c r="O1369" t="str">
        <f>_xlfn.IFS(orders[[#This Row],[Customer Gender]]="M","Male", orders[[#This Row],[Customer Gender]]="F","Female", orders[[#This Row],[Customer Gender]]="O","Other", TRUE,"Unknown")</f>
        <v>Male</v>
      </c>
    </row>
    <row r="1370" spans="1:15">
      <c r="A1370" t="s">
        <v>1469</v>
      </c>
      <c r="B1370" t="s">
        <v>54</v>
      </c>
      <c r="C1370">
        <v>5</v>
      </c>
      <c r="D1370">
        <v>33.799999999999997</v>
      </c>
      <c r="E1370">
        <v>169</v>
      </c>
      <c r="F1370" s="1">
        <v>45709</v>
      </c>
      <c r="G1370" s="1">
        <v>45714</v>
      </c>
      <c r="H1370" t="s">
        <v>23</v>
      </c>
      <c r="I1370" t="s">
        <v>18</v>
      </c>
      <c r="J1370">
        <v>4</v>
      </c>
      <c r="K1370" t="s">
        <v>19</v>
      </c>
      <c r="L1370" t="s">
        <v>33</v>
      </c>
      <c r="M1370">
        <f>orders[[#This Row],[Ship Date]]-orders[[#This Row],[Order Date]]</f>
        <v>5</v>
      </c>
      <c r="N1370">
        <f>WEEKNUM(orders[[#This Row],[Order Date]])</f>
        <v>8</v>
      </c>
      <c r="O1370" t="str">
        <f>_xlfn.IFS(orders[[#This Row],[Customer Gender]]="M","Male", orders[[#This Row],[Customer Gender]]="F","Female", orders[[#This Row],[Customer Gender]]="O","Other", TRUE,"Unknown")</f>
        <v>Male</v>
      </c>
    </row>
    <row r="1371" spans="1:15">
      <c r="A1371" t="s">
        <v>1470</v>
      </c>
      <c r="B1371" t="s">
        <v>39</v>
      </c>
      <c r="C1371">
        <v>3</v>
      </c>
      <c r="D1371">
        <v>63.4</v>
      </c>
      <c r="E1371">
        <v>190.2</v>
      </c>
      <c r="F1371" s="1">
        <v>45709</v>
      </c>
      <c r="G1371" s="1">
        <v>45714</v>
      </c>
      <c r="H1371" t="s">
        <v>23</v>
      </c>
      <c r="I1371" t="s">
        <v>51</v>
      </c>
      <c r="J1371">
        <v>3</v>
      </c>
      <c r="K1371" t="s">
        <v>19</v>
      </c>
      <c r="L1371" t="s">
        <v>186</v>
      </c>
      <c r="M1371">
        <f>orders[[#This Row],[Ship Date]]-orders[[#This Row],[Order Date]]</f>
        <v>5</v>
      </c>
      <c r="N1371">
        <f>WEEKNUM(orders[[#This Row],[Order Date]])</f>
        <v>8</v>
      </c>
      <c r="O1371" t="str">
        <f>_xlfn.IFS(orders[[#This Row],[Customer Gender]]="M","Male", orders[[#This Row],[Customer Gender]]="F","Female", orders[[#This Row],[Customer Gender]]="O","Other", TRUE,"Unknown")</f>
        <v>Male</v>
      </c>
    </row>
    <row r="1372" spans="1:15">
      <c r="A1372" t="s">
        <v>1471</v>
      </c>
      <c r="B1372" t="s">
        <v>39</v>
      </c>
      <c r="C1372">
        <v>3</v>
      </c>
      <c r="D1372">
        <v>49</v>
      </c>
      <c r="E1372">
        <v>147</v>
      </c>
      <c r="F1372" s="1">
        <v>45709</v>
      </c>
      <c r="G1372" s="1">
        <v>45713</v>
      </c>
      <c r="H1372" t="s">
        <v>23</v>
      </c>
      <c r="I1372" t="s">
        <v>51</v>
      </c>
      <c r="J1372">
        <v>4</v>
      </c>
      <c r="K1372" t="s">
        <v>19</v>
      </c>
      <c r="L1372" t="s">
        <v>802</v>
      </c>
      <c r="M1372">
        <f>orders[[#This Row],[Ship Date]]-orders[[#This Row],[Order Date]]</f>
        <v>4</v>
      </c>
      <c r="N1372">
        <f>WEEKNUM(orders[[#This Row],[Order Date]])</f>
        <v>8</v>
      </c>
      <c r="O1372" t="str">
        <f>_xlfn.IFS(orders[[#This Row],[Customer Gender]]="M","Male", orders[[#This Row],[Customer Gender]]="F","Female", orders[[#This Row],[Customer Gender]]="O","Other", TRUE,"Unknown")</f>
        <v>Male</v>
      </c>
    </row>
    <row r="1373" spans="1:15">
      <c r="A1373" t="s">
        <v>1472</v>
      </c>
      <c r="B1373" t="s">
        <v>22</v>
      </c>
      <c r="C1373">
        <v>2</v>
      </c>
      <c r="D1373">
        <v>40</v>
      </c>
      <c r="E1373">
        <v>80</v>
      </c>
      <c r="F1373" s="1">
        <v>45709</v>
      </c>
      <c r="G1373" s="1">
        <v>45710</v>
      </c>
      <c r="H1373" t="s">
        <v>27</v>
      </c>
      <c r="I1373" t="s">
        <v>70</v>
      </c>
      <c r="J1373">
        <v>3</v>
      </c>
      <c r="K1373" t="s">
        <v>19</v>
      </c>
      <c r="L1373" t="s">
        <v>158</v>
      </c>
      <c r="M1373">
        <f>orders[[#This Row],[Ship Date]]-orders[[#This Row],[Order Date]]</f>
        <v>1</v>
      </c>
      <c r="N1373">
        <f>WEEKNUM(orders[[#This Row],[Order Date]])</f>
        <v>8</v>
      </c>
      <c r="O1373" t="str">
        <f>_xlfn.IFS(orders[[#This Row],[Customer Gender]]="M","Male", orders[[#This Row],[Customer Gender]]="F","Female", orders[[#This Row],[Customer Gender]]="O","Other", TRUE,"Unknown")</f>
        <v>Female</v>
      </c>
    </row>
    <row r="1374" spans="1:15">
      <c r="A1374" t="s">
        <v>1473</v>
      </c>
      <c r="B1374" t="s">
        <v>39</v>
      </c>
      <c r="C1374">
        <v>4</v>
      </c>
      <c r="D1374">
        <v>86.3</v>
      </c>
      <c r="E1374">
        <v>345.2</v>
      </c>
      <c r="F1374" s="1">
        <v>45709</v>
      </c>
      <c r="G1374" s="1">
        <v>45710</v>
      </c>
      <c r="H1374" t="s">
        <v>89</v>
      </c>
      <c r="I1374" t="s">
        <v>18</v>
      </c>
      <c r="J1374">
        <v>4</v>
      </c>
      <c r="K1374" t="s">
        <v>19</v>
      </c>
      <c r="L1374" t="s">
        <v>55</v>
      </c>
      <c r="M1374">
        <f>orders[[#This Row],[Ship Date]]-orders[[#This Row],[Order Date]]</f>
        <v>1</v>
      </c>
      <c r="N1374">
        <f>WEEKNUM(orders[[#This Row],[Order Date]])</f>
        <v>8</v>
      </c>
      <c r="O1374" t="str">
        <f>_xlfn.IFS(orders[[#This Row],[Customer Gender]]="M","Male", orders[[#This Row],[Customer Gender]]="F","Female", orders[[#This Row],[Customer Gender]]="O","Other", TRUE,"Unknown")</f>
        <v>Other</v>
      </c>
    </row>
    <row r="1375" spans="1:15">
      <c r="A1375" t="s">
        <v>1474</v>
      </c>
      <c r="B1375" t="s">
        <v>39</v>
      </c>
      <c r="C1375">
        <v>1</v>
      </c>
      <c r="D1375">
        <v>51.6</v>
      </c>
      <c r="E1375">
        <v>51.6</v>
      </c>
      <c r="F1375" s="1">
        <v>45709</v>
      </c>
      <c r="G1375" s="1">
        <v>45711</v>
      </c>
      <c r="H1375" t="s">
        <v>27</v>
      </c>
      <c r="I1375" t="s">
        <v>40</v>
      </c>
      <c r="J1375">
        <v>5</v>
      </c>
      <c r="K1375" t="s">
        <v>19</v>
      </c>
      <c r="L1375" t="s">
        <v>55</v>
      </c>
      <c r="M1375">
        <f>orders[[#This Row],[Ship Date]]-orders[[#This Row],[Order Date]]</f>
        <v>2</v>
      </c>
      <c r="N1375">
        <f>WEEKNUM(orders[[#This Row],[Order Date]])</f>
        <v>8</v>
      </c>
      <c r="O1375" t="str">
        <f>_xlfn.IFS(orders[[#This Row],[Customer Gender]]="M","Male", orders[[#This Row],[Customer Gender]]="F","Female", orders[[#This Row],[Customer Gender]]="O","Other", TRUE,"Unknown")</f>
        <v>Female</v>
      </c>
    </row>
    <row r="1376" spans="1:15">
      <c r="A1376" t="s">
        <v>1475</v>
      </c>
      <c r="B1376" t="s">
        <v>54</v>
      </c>
      <c r="C1376">
        <v>3</v>
      </c>
      <c r="D1376">
        <v>26.7</v>
      </c>
      <c r="E1376">
        <v>80.099999999999994</v>
      </c>
      <c r="F1376" s="1">
        <v>45709</v>
      </c>
      <c r="G1376" s="1">
        <v>45714</v>
      </c>
      <c r="H1376" t="s">
        <v>27</v>
      </c>
      <c r="I1376" t="s">
        <v>40</v>
      </c>
      <c r="J1376">
        <v>3</v>
      </c>
      <c r="K1376" t="s">
        <v>19</v>
      </c>
      <c r="L1376" t="s">
        <v>55</v>
      </c>
      <c r="M1376">
        <f>orders[[#This Row],[Ship Date]]-orders[[#This Row],[Order Date]]</f>
        <v>5</v>
      </c>
      <c r="N1376">
        <f>WEEKNUM(orders[[#This Row],[Order Date]])</f>
        <v>8</v>
      </c>
      <c r="O1376" t="str">
        <f>_xlfn.IFS(orders[[#This Row],[Customer Gender]]="M","Male", orders[[#This Row],[Customer Gender]]="F","Female", orders[[#This Row],[Customer Gender]]="O","Other", TRUE,"Unknown")</f>
        <v>Female</v>
      </c>
    </row>
    <row r="1377" spans="1:15">
      <c r="A1377" t="s">
        <v>1476</v>
      </c>
      <c r="B1377" t="s">
        <v>146</v>
      </c>
      <c r="C1377">
        <v>2</v>
      </c>
      <c r="D1377">
        <v>68.099999999999994</v>
      </c>
      <c r="E1377">
        <v>136.19999999999999</v>
      </c>
      <c r="F1377" s="1">
        <v>45709</v>
      </c>
      <c r="G1377" s="1">
        <v>45710</v>
      </c>
      <c r="H1377" t="s">
        <v>23</v>
      </c>
      <c r="I1377" t="s">
        <v>18</v>
      </c>
      <c r="J1377">
        <v>3</v>
      </c>
      <c r="K1377" t="s">
        <v>19</v>
      </c>
      <c r="L1377" t="s">
        <v>55</v>
      </c>
      <c r="M1377">
        <f>orders[[#This Row],[Ship Date]]-orders[[#This Row],[Order Date]]</f>
        <v>1</v>
      </c>
      <c r="N1377">
        <f>WEEKNUM(orders[[#This Row],[Order Date]])</f>
        <v>8</v>
      </c>
      <c r="O1377" t="str">
        <f>_xlfn.IFS(orders[[#This Row],[Customer Gender]]="M","Male", orders[[#This Row],[Customer Gender]]="F","Female", orders[[#This Row],[Customer Gender]]="O","Other", TRUE,"Unknown")</f>
        <v>Male</v>
      </c>
    </row>
    <row r="1378" spans="1:15">
      <c r="A1378" t="s">
        <v>1477</v>
      </c>
      <c r="B1378" t="s">
        <v>22</v>
      </c>
      <c r="C1378">
        <v>1</v>
      </c>
      <c r="D1378">
        <v>81.7</v>
      </c>
      <c r="E1378">
        <v>81.7</v>
      </c>
      <c r="F1378" s="1">
        <v>45709</v>
      </c>
      <c r="G1378" s="1">
        <v>45710</v>
      </c>
      <c r="H1378" t="s">
        <v>23</v>
      </c>
      <c r="I1378" t="s">
        <v>18</v>
      </c>
      <c r="J1378">
        <v>4</v>
      </c>
      <c r="K1378" t="s">
        <v>19</v>
      </c>
      <c r="L1378" t="s">
        <v>59</v>
      </c>
      <c r="M1378">
        <f>orders[[#This Row],[Ship Date]]-orders[[#This Row],[Order Date]]</f>
        <v>1</v>
      </c>
      <c r="N1378">
        <f>WEEKNUM(orders[[#This Row],[Order Date]])</f>
        <v>8</v>
      </c>
      <c r="O1378" t="str">
        <f>_xlfn.IFS(orders[[#This Row],[Customer Gender]]="M","Male", orders[[#This Row],[Customer Gender]]="F","Female", orders[[#This Row],[Customer Gender]]="O","Other", TRUE,"Unknown")</f>
        <v>Male</v>
      </c>
    </row>
    <row r="1379" spans="1:15">
      <c r="A1379" t="s">
        <v>1478</v>
      </c>
      <c r="B1379" t="s">
        <v>146</v>
      </c>
      <c r="C1379">
        <v>10</v>
      </c>
      <c r="D1379">
        <v>25.1</v>
      </c>
      <c r="E1379">
        <v>251</v>
      </c>
      <c r="F1379" s="1">
        <v>45709</v>
      </c>
      <c r="G1379" s="1">
        <v>45712</v>
      </c>
      <c r="H1379" t="s">
        <v>23</v>
      </c>
      <c r="I1379" t="s">
        <v>51</v>
      </c>
      <c r="J1379">
        <v>3</v>
      </c>
      <c r="K1379" t="s">
        <v>19</v>
      </c>
      <c r="L1379" t="s">
        <v>62</v>
      </c>
      <c r="M1379">
        <f>orders[[#This Row],[Ship Date]]-orders[[#This Row],[Order Date]]</f>
        <v>3</v>
      </c>
      <c r="N1379">
        <f>WEEKNUM(orders[[#This Row],[Order Date]])</f>
        <v>8</v>
      </c>
      <c r="O1379" t="str">
        <f>_xlfn.IFS(orders[[#This Row],[Customer Gender]]="M","Male", orders[[#This Row],[Customer Gender]]="F","Female", orders[[#This Row],[Customer Gender]]="O","Other", TRUE,"Unknown")</f>
        <v>Male</v>
      </c>
    </row>
    <row r="1380" spans="1:15">
      <c r="A1380" t="s">
        <v>1479</v>
      </c>
      <c r="B1380" t="s">
        <v>44</v>
      </c>
      <c r="C1380">
        <v>1</v>
      </c>
      <c r="D1380">
        <v>20.2</v>
      </c>
      <c r="E1380">
        <v>20.2</v>
      </c>
      <c r="F1380" s="1">
        <v>45709</v>
      </c>
      <c r="G1380" s="1">
        <v>45713</v>
      </c>
      <c r="H1380" t="s">
        <v>27</v>
      </c>
      <c r="I1380" t="s">
        <v>18</v>
      </c>
      <c r="J1380">
        <v>4</v>
      </c>
      <c r="K1380" t="s">
        <v>19</v>
      </c>
      <c r="L1380" t="s">
        <v>62</v>
      </c>
      <c r="M1380">
        <f>orders[[#This Row],[Ship Date]]-orders[[#This Row],[Order Date]]</f>
        <v>4</v>
      </c>
      <c r="N1380">
        <f>WEEKNUM(orders[[#This Row],[Order Date]])</f>
        <v>8</v>
      </c>
      <c r="O1380" t="str">
        <f>_xlfn.IFS(orders[[#This Row],[Customer Gender]]="M","Male", orders[[#This Row],[Customer Gender]]="F","Female", orders[[#This Row],[Customer Gender]]="O","Other", TRUE,"Unknown")</f>
        <v>Female</v>
      </c>
    </row>
    <row r="1381" spans="1:15">
      <c r="A1381" t="s">
        <v>1480</v>
      </c>
      <c r="B1381" t="s">
        <v>44</v>
      </c>
      <c r="C1381">
        <v>3</v>
      </c>
      <c r="D1381">
        <v>15.4</v>
      </c>
      <c r="E1381">
        <v>46.2</v>
      </c>
      <c r="F1381" s="1">
        <v>45709</v>
      </c>
      <c r="G1381" s="1">
        <v>45710</v>
      </c>
      <c r="H1381" t="s">
        <v>23</v>
      </c>
      <c r="I1381" t="s">
        <v>35</v>
      </c>
      <c r="J1381">
        <v>5</v>
      </c>
      <c r="K1381" t="s">
        <v>19</v>
      </c>
      <c r="L1381" t="s">
        <v>62</v>
      </c>
      <c r="M1381">
        <f>orders[[#This Row],[Ship Date]]-orders[[#This Row],[Order Date]]</f>
        <v>1</v>
      </c>
      <c r="N1381">
        <f>WEEKNUM(orders[[#This Row],[Order Date]])</f>
        <v>8</v>
      </c>
      <c r="O1381" t="str">
        <f>_xlfn.IFS(orders[[#This Row],[Customer Gender]]="M","Male", orders[[#This Row],[Customer Gender]]="F","Female", orders[[#This Row],[Customer Gender]]="O","Other", TRUE,"Unknown")</f>
        <v>Male</v>
      </c>
    </row>
    <row r="1382" spans="1:15">
      <c r="A1382" t="s">
        <v>1481</v>
      </c>
      <c r="B1382" t="s">
        <v>54</v>
      </c>
      <c r="C1382">
        <v>1</v>
      </c>
      <c r="D1382">
        <v>59.2</v>
      </c>
      <c r="E1382">
        <v>59.2</v>
      </c>
      <c r="F1382" s="1">
        <v>45709</v>
      </c>
      <c r="G1382" s="1">
        <v>45710</v>
      </c>
      <c r="H1382" t="s">
        <v>23</v>
      </c>
      <c r="I1382" t="s">
        <v>40</v>
      </c>
      <c r="J1382">
        <v>5</v>
      </c>
      <c r="K1382" t="s">
        <v>19</v>
      </c>
      <c r="L1382" t="s">
        <v>103</v>
      </c>
      <c r="M1382">
        <f>orders[[#This Row],[Ship Date]]-orders[[#This Row],[Order Date]]</f>
        <v>1</v>
      </c>
      <c r="N1382">
        <f>WEEKNUM(orders[[#This Row],[Order Date]])</f>
        <v>8</v>
      </c>
      <c r="O1382" t="str">
        <f>_xlfn.IFS(orders[[#This Row],[Customer Gender]]="M","Male", orders[[#This Row],[Customer Gender]]="F","Female", orders[[#This Row],[Customer Gender]]="O","Other", TRUE,"Unknown")</f>
        <v>Male</v>
      </c>
    </row>
    <row r="1383" spans="1:15">
      <c r="A1383" t="s">
        <v>1482</v>
      </c>
      <c r="B1383" t="s">
        <v>16</v>
      </c>
      <c r="C1383">
        <v>1</v>
      </c>
      <c r="D1383">
        <v>46.7</v>
      </c>
      <c r="E1383">
        <v>46.7</v>
      </c>
      <c r="F1383" s="1">
        <v>45709</v>
      </c>
      <c r="G1383" s="1">
        <v>45714</v>
      </c>
      <c r="H1383" t="s">
        <v>23</v>
      </c>
      <c r="I1383" t="s">
        <v>18</v>
      </c>
      <c r="J1383">
        <v>4</v>
      </c>
      <c r="K1383" t="s">
        <v>19</v>
      </c>
      <c r="L1383" t="s">
        <v>103</v>
      </c>
      <c r="M1383">
        <f>orders[[#This Row],[Ship Date]]-orders[[#This Row],[Order Date]]</f>
        <v>5</v>
      </c>
      <c r="N1383">
        <f>WEEKNUM(orders[[#This Row],[Order Date]])</f>
        <v>8</v>
      </c>
      <c r="O1383" t="str">
        <f>_xlfn.IFS(orders[[#This Row],[Customer Gender]]="M","Male", orders[[#This Row],[Customer Gender]]="F","Female", orders[[#This Row],[Customer Gender]]="O","Other", TRUE,"Unknown")</f>
        <v>Male</v>
      </c>
    </row>
    <row r="1384" spans="1:15">
      <c r="A1384" t="s">
        <v>1483</v>
      </c>
      <c r="B1384" t="s">
        <v>39</v>
      </c>
      <c r="C1384">
        <v>15</v>
      </c>
      <c r="D1384">
        <v>41.6</v>
      </c>
      <c r="E1384">
        <v>624</v>
      </c>
      <c r="F1384" s="1">
        <v>45709</v>
      </c>
      <c r="G1384" s="1">
        <v>45711</v>
      </c>
      <c r="H1384" t="s">
        <v>23</v>
      </c>
      <c r="I1384" t="s">
        <v>35</v>
      </c>
      <c r="J1384">
        <v>4</v>
      </c>
      <c r="K1384" t="s">
        <v>19</v>
      </c>
      <c r="L1384" t="s">
        <v>201</v>
      </c>
      <c r="M1384">
        <f>orders[[#This Row],[Ship Date]]-orders[[#This Row],[Order Date]]</f>
        <v>2</v>
      </c>
      <c r="N1384">
        <f>WEEKNUM(orders[[#This Row],[Order Date]])</f>
        <v>8</v>
      </c>
      <c r="O1384" t="str">
        <f>_xlfn.IFS(orders[[#This Row],[Customer Gender]]="M","Male", orders[[#This Row],[Customer Gender]]="F","Female", orders[[#This Row],[Customer Gender]]="O","Other", TRUE,"Unknown")</f>
        <v>Male</v>
      </c>
    </row>
    <row r="1385" spans="1:15">
      <c r="A1385" t="s">
        <v>1484</v>
      </c>
      <c r="B1385" t="s">
        <v>44</v>
      </c>
      <c r="C1385">
        <v>2</v>
      </c>
      <c r="D1385">
        <v>19.2</v>
      </c>
      <c r="E1385">
        <v>38.4</v>
      </c>
      <c r="F1385" s="1">
        <v>45709</v>
      </c>
      <c r="G1385" s="1">
        <v>45712</v>
      </c>
      <c r="H1385" t="s">
        <v>23</v>
      </c>
      <c r="I1385" t="s">
        <v>70</v>
      </c>
      <c r="J1385">
        <v>5</v>
      </c>
      <c r="K1385" t="s">
        <v>19</v>
      </c>
      <c r="L1385" t="s">
        <v>72</v>
      </c>
      <c r="M1385">
        <f>orders[[#This Row],[Ship Date]]-orders[[#This Row],[Order Date]]</f>
        <v>3</v>
      </c>
      <c r="N1385">
        <f>WEEKNUM(orders[[#This Row],[Order Date]])</f>
        <v>8</v>
      </c>
      <c r="O1385" t="str">
        <f>_xlfn.IFS(orders[[#This Row],[Customer Gender]]="M","Male", orders[[#This Row],[Customer Gender]]="F","Female", orders[[#This Row],[Customer Gender]]="O","Other", TRUE,"Unknown")</f>
        <v>Male</v>
      </c>
    </row>
    <row r="1386" spans="1:15">
      <c r="A1386" t="s">
        <v>1485</v>
      </c>
      <c r="B1386" t="s">
        <v>135</v>
      </c>
      <c r="C1386">
        <v>7</v>
      </c>
      <c r="D1386">
        <v>41.8</v>
      </c>
      <c r="E1386">
        <v>292.59999999999997</v>
      </c>
      <c r="F1386" s="1">
        <v>45709</v>
      </c>
      <c r="G1386" s="1">
        <v>45711</v>
      </c>
      <c r="H1386" t="s">
        <v>27</v>
      </c>
      <c r="I1386" t="s">
        <v>40</v>
      </c>
      <c r="J1386">
        <v>4</v>
      </c>
      <c r="K1386" t="s">
        <v>19</v>
      </c>
      <c r="L1386" t="s">
        <v>77</v>
      </c>
      <c r="M1386">
        <f>orders[[#This Row],[Ship Date]]-orders[[#This Row],[Order Date]]</f>
        <v>2</v>
      </c>
      <c r="N1386">
        <f>WEEKNUM(orders[[#This Row],[Order Date]])</f>
        <v>8</v>
      </c>
      <c r="O1386" t="str">
        <f>_xlfn.IFS(orders[[#This Row],[Customer Gender]]="M","Male", orders[[#This Row],[Customer Gender]]="F","Female", orders[[#This Row],[Customer Gender]]="O","Other", TRUE,"Unknown")</f>
        <v>Female</v>
      </c>
    </row>
    <row r="1387" spans="1:15">
      <c r="A1387" t="s">
        <v>1486</v>
      </c>
      <c r="B1387" t="s">
        <v>44</v>
      </c>
      <c r="C1387">
        <v>6</v>
      </c>
      <c r="D1387">
        <v>37.4</v>
      </c>
      <c r="E1387">
        <v>224.39999999999998</v>
      </c>
      <c r="F1387" s="1">
        <v>45709</v>
      </c>
      <c r="G1387" s="1">
        <v>45711</v>
      </c>
      <c r="H1387" t="s">
        <v>23</v>
      </c>
      <c r="I1387" t="s">
        <v>18</v>
      </c>
      <c r="J1387">
        <v>5</v>
      </c>
      <c r="K1387" t="s">
        <v>19</v>
      </c>
      <c r="L1387" t="s">
        <v>77</v>
      </c>
      <c r="M1387">
        <f>orders[[#This Row],[Ship Date]]-orders[[#This Row],[Order Date]]</f>
        <v>2</v>
      </c>
      <c r="N1387">
        <f>WEEKNUM(orders[[#This Row],[Order Date]])</f>
        <v>8</v>
      </c>
      <c r="O1387" t="str">
        <f>_xlfn.IFS(orders[[#This Row],[Customer Gender]]="M","Male", orders[[#This Row],[Customer Gender]]="F","Female", orders[[#This Row],[Customer Gender]]="O","Other", TRUE,"Unknown")</f>
        <v>Male</v>
      </c>
    </row>
    <row r="1388" spans="1:15">
      <c r="A1388" t="s">
        <v>1487</v>
      </c>
      <c r="B1388" t="s">
        <v>54</v>
      </c>
      <c r="C1388">
        <v>3</v>
      </c>
      <c r="D1388">
        <v>60.2</v>
      </c>
      <c r="E1388">
        <v>180.60000000000002</v>
      </c>
      <c r="F1388" s="1">
        <v>45709</v>
      </c>
      <c r="G1388" s="1">
        <v>45712</v>
      </c>
      <c r="H1388" t="s">
        <v>23</v>
      </c>
      <c r="I1388" t="s">
        <v>70</v>
      </c>
      <c r="J1388">
        <v>3</v>
      </c>
      <c r="K1388" t="s">
        <v>19</v>
      </c>
      <c r="L1388" t="s">
        <v>377</v>
      </c>
      <c r="M1388">
        <f>orders[[#This Row],[Ship Date]]-orders[[#This Row],[Order Date]]</f>
        <v>3</v>
      </c>
      <c r="N1388">
        <f>WEEKNUM(orders[[#This Row],[Order Date]])</f>
        <v>8</v>
      </c>
      <c r="O1388" t="str">
        <f>_xlfn.IFS(orders[[#This Row],[Customer Gender]]="M","Male", orders[[#This Row],[Customer Gender]]="F","Female", orders[[#This Row],[Customer Gender]]="O","Other", TRUE,"Unknown")</f>
        <v>Male</v>
      </c>
    </row>
    <row r="1389" spans="1:15">
      <c r="A1389" t="s">
        <v>1488</v>
      </c>
      <c r="B1389" t="s">
        <v>46</v>
      </c>
      <c r="C1389">
        <v>2</v>
      </c>
      <c r="D1389">
        <v>91.5</v>
      </c>
      <c r="E1389">
        <v>183</v>
      </c>
      <c r="F1389" s="1">
        <v>45710</v>
      </c>
      <c r="G1389" s="1">
        <v>45711</v>
      </c>
      <c r="H1389" t="s">
        <v>23</v>
      </c>
      <c r="I1389" t="s">
        <v>18</v>
      </c>
      <c r="J1389">
        <v>4</v>
      </c>
      <c r="K1389" t="s">
        <v>19</v>
      </c>
      <c r="L1389" t="s">
        <v>82</v>
      </c>
      <c r="M1389">
        <f>orders[[#This Row],[Ship Date]]-orders[[#This Row],[Order Date]]</f>
        <v>1</v>
      </c>
      <c r="N1389">
        <f>WEEKNUM(orders[[#This Row],[Order Date]])</f>
        <v>8</v>
      </c>
      <c r="O1389" t="str">
        <f>_xlfn.IFS(orders[[#This Row],[Customer Gender]]="M","Male", orders[[#This Row],[Customer Gender]]="F","Female", orders[[#This Row],[Customer Gender]]="O","Other", TRUE,"Unknown")</f>
        <v>Male</v>
      </c>
    </row>
    <row r="1390" spans="1:15">
      <c r="A1390" t="s">
        <v>1489</v>
      </c>
      <c r="B1390" t="s">
        <v>30</v>
      </c>
      <c r="C1390">
        <v>5</v>
      </c>
      <c r="D1390">
        <v>55.7</v>
      </c>
      <c r="E1390">
        <v>278.5</v>
      </c>
      <c r="F1390" s="1">
        <v>45710</v>
      </c>
      <c r="G1390" s="1">
        <v>45712</v>
      </c>
      <c r="H1390" t="s">
        <v>17</v>
      </c>
      <c r="I1390" t="s">
        <v>35</v>
      </c>
      <c r="J1390">
        <v>5</v>
      </c>
      <c r="K1390" t="s">
        <v>19</v>
      </c>
      <c r="L1390" t="s">
        <v>115</v>
      </c>
      <c r="M1390">
        <f>orders[[#This Row],[Ship Date]]-orders[[#This Row],[Order Date]]</f>
        <v>2</v>
      </c>
      <c r="N1390">
        <f>WEEKNUM(orders[[#This Row],[Order Date]])</f>
        <v>8</v>
      </c>
      <c r="O1390" t="str">
        <f>_xlfn.IFS(orders[[#This Row],[Customer Gender]]="M","Male", orders[[#This Row],[Customer Gender]]="F","Female", orders[[#This Row],[Customer Gender]]="O","Other", TRUE,"Unknown")</f>
        <v>Unknown</v>
      </c>
    </row>
    <row r="1391" spans="1:15">
      <c r="A1391" t="s">
        <v>1490</v>
      </c>
      <c r="B1391" t="s">
        <v>42</v>
      </c>
      <c r="C1391">
        <v>2</v>
      </c>
      <c r="D1391">
        <v>76.7</v>
      </c>
      <c r="E1391">
        <v>153.4</v>
      </c>
      <c r="F1391" s="1">
        <v>45710</v>
      </c>
      <c r="G1391" s="1">
        <v>45712</v>
      </c>
      <c r="H1391" t="s">
        <v>23</v>
      </c>
      <c r="I1391" t="s">
        <v>18</v>
      </c>
      <c r="J1391">
        <v>3</v>
      </c>
      <c r="K1391" t="s">
        <v>19</v>
      </c>
      <c r="L1391" t="s">
        <v>115</v>
      </c>
      <c r="M1391">
        <f>orders[[#This Row],[Ship Date]]-orders[[#This Row],[Order Date]]</f>
        <v>2</v>
      </c>
      <c r="N1391">
        <f>WEEKNUM(orders[[#This Row],[Order Date]])</f>
        <v>8</v>
      </c>
      <c r="O1391" t="str">
        <f>_xlfn.IFS(orders[[#This Row],[Customer Gender]]="M","Male", orders[[#This Row],[Customer Gender]]="F","Female", orders[[#This Row],[Customer Gender]]="O","Other", TRUE,"Unknown")</f>
        <v>Male</v>
      </c>
    </row>
    <row r="1392" spans="1:15">
      <c r="A1392" t="s">
        <v>1491</v>
      </c>
      <c r="B1392" t="s">
        <v>44</v>
      </c>
      <c r="C1392">
        <v>21</v>
      </c>
      <c r="D1392">
        <v>28.2</v>
      </c>
      <c r="E1392">
        <v>592.19999999999993</v>
      </c>
      <c r="F1392" s="1">
        <v>45710</v>
      </c>
      <c r="G1392" s="1">
        <v>45715</v>
      </c>
      <c r="H1392" t="s">
        <v>23</v>
      </c>
      <c r="I1392" t="s">
        <v>40</v>
      </c>
      <c r="J1392">
        <v>4</v>
      </c>
      <c r="K1392" t="s">
        <v>19</v>
      </c>
      <c r="L1392" t="s">
        <v>24</v>
      </c>
      <c r="M1392">
        <f>orders[[#This Row],[Ship Date]]-orders[[#This Row],[Order Date]]</f>
        <v>5</v>
      </c>
      <c r="N1392">
        <f>WEEKNUM(orders[[#This Row],[Order Date]])</f>
        <v>8</v>
      </c>
      <c r="O1392" t="str">
        <f>_xlfn.IFS(orders[[#This Row],[Customer Gender]]="M","Male", orders[[#This Row],[Customer Gender]]="F","Female", orders[[#This Row],[Customer Gender]]="O","Other", TRUE,"Unknown")</f>
        <v>Male</v>
      </c>
    </row>
    <row r="1393" spans="1:15">
      <c r="A1393" t="s">
        <v>1492</v>
      </c>
      <c r="B1393" t="s">
        <v>42</v>
      </c>
      <c r="C1393">
        <v>5</v>
      </c>
      <c r="D1393">
        <v>93.2</v>
      </c>
      <c r="E1393">
        <v>466</v>
      </c>
      <c r="F1393" s="1">
        <v>45710</v>
      </c>
      <c r="G1393" s="1">
        <v>45712</v>
      </c>
      <c r="H1393" t="s">
        <v>27</v>
      </c>
      <c r="I1393" t="s">
        <v>70</v>
      </c>
      <c r="J1393">
        <v>5</v>
      </c>
      <c r="K1393" t="s">
        <v>19</v>
      </c>
      <c r="L1393" t="s">
        <v>24</v>
      </c>
      <c r="M1393">
        <f>orders[[#This Row],[Ship Date]]-orders[[#This Row],[Order Date]]</f>
        <v>2</v>
      </c>
      <c r="N1393">
        <f>WEEKNUM(orders[[#This Row],[Order Date]])</f>
        <v>8</v>
      </c>
      <c r="O1393" t="str">
        <f>_xlfn.IFS(orders[[#This Row],[Customer Gender]]="M","Male", orders[[#This Row],[Customer Gender]]="F","Female", orders[[#This Row],[Customer Gender]]="O","Other", TRUE,"Unknown")</f>
        <v>Female</v>
      </c>
    </row>
    <row r="1394" spans="1:15">
      <c r="A1394" t="s">
        <v>1493</v>
      </c>
      <c r="B1394" t="s">
        <v>135</v>
      </c>
      <c r="C1394">
        <v>1</v>
      </c>
      <c r="D1394">
        <v>33.299999999999997</v>
      </c>
      <c r="E1394">
        <v>33.299999999999997</v>
      </c>
      <c r="F1394" s="1">
        <v>45710</v>
      </c>
      <c r="G1394" s="1">
        <v>45711</v>
      </c>
      <c r="H1394" t="s">
        <v>23</v>
      </c>
      <c r="I1394" t="s">
        <v>70</v>
      </c>
      <c r="J1394">
        <v>4</v>
      </c>
      <c r="K1394" t="s">
        <v>19</v>
      </c>
      <c r="L1394" t="s">
        <v>28</v>
      </c>
      <c r="M1394">
        <f>orders[[#This Row],[Ship Date]]-orders[[#This Row],[Order Date]]</f>
        <v>1</v>
      </c>
      <c r="N1394">
        <f>WEEKNUM(orders[[#This Row],[Order Date]])</f>
        <v>8</v>
      </c>
      <c r="O1394" t="str">
        <f>_xlfn.IFS(orders[[#This Row],[Customer Gender]]="M","Male", orders[[#This Row],[Customer Gender]]="F","Female", orders[[#This Row],[Customer Gender]]="O","Other", TRUE,"Unknown")</f>
        <v>Male</v>
      </c>
    </row>
    <row r="1395" spans="1:15">
      <c r="A1395" t="s">
        <v>1494</v>
      </c>
      <c r="B1395" t="s">
        <v>54</v>
      </c>
      <c r="C1395">
        <v>2</v>
      </c>
      <c r="D1395">
        <v>39.1</v>
      </c>
      <c r="E1395">
        <v>78.2</v>
      </c>
      <c r="F1395" s="1">
        <v>45710</v>
      </c>
      <c r="G1395" s="1">
        <v>45713</v>
      </c>
      <c r="H1395" t="s">
        <v>23</v>
      </c>
      <c r="I1395" t="s">
        <v>18</v>
      </c>
      <c r="J1395">
        <v>4</v>
      </c>
      <c r="K1395" t="s">
        <v>19</v>
      </c>
      <c r="L1395" t="s">
        <v>587</v>
      </c>
      <c r="M1395">
        <f>orders[[#This Row],[Ship Date]]-orders[[#This Row],[Order Date]]</f>
        <v>3</v>
      </c>
      <c r="N1395">
        <f>WEEKNUM(orders[[#This Row],[Order Date]])</f>
        <v>8</v>
      </c>
      <c r="O1395" t="str">
        <f>_xlfn.IFS(orders[[#This Row],[Customer Gender]]="M","Male", orders[[#This Row],[Customer Gender]]="F","Female", orders[[#This Row],[Customer Gender]]="O","Other", TRUE,"Unknown")</f>
        <v>Male</v>
      </c>
    </row>
    <row r="1396" spans="1:15">
      <c r="A1396" t="s">
        <v>1495</v>
      </c>
      <c r="B1396" t="s">
        <v>42</v>
      </c>
      <c r="C1396">
        <v>12</v>
      </c>
      <c r="D1396">
        <v>45.3</v>
      </c>
      <c r="E1396">
        <v>543.59999999999991</v>
      </c>
      <c r="F1396" s="1">
        <v>45710</v>
      </c>
      <c r="G1396" s="1">
        <v>45711</v>
      </c>
      <c r="H1396" t="s">
        <v>23</v>
      </c>
      <c r="I1396" t="s">
        <v>40</v>
      </c>
      <c r="J1396">
        <v>4</v>
      </c>
      <c r="K1396" t="s">
        <v>19</v>
      </c>
      <c r="L1396" t="s">
        <v>331</v>
      </c>
      <c r="M1396">
        <f>orders[[#This Row],[Ship Date]]-orders[[#This Row],[Order Date]]</f>
        <v>1</v>
      </c>
      <c r="N1396">
        <f>WEEKNUM(orders[[#This Row],[Order Date]])</f>
        <v>8</v>
      </c>
      <c r="O1396" t="str">
        <f>_xlfn.IFS(orders[[#This Row],[Customer Gender]]="M","Male", orders[[#This Row],[Customer Gender]]="F","Female", orders[[#This Row],[Customer Gender]]="O","Other", TRUE,"Unknown")</f>
        <v>Male</v>
      </c>
    </row>
    <row r="1397" spans="1:15">
      <c r="A1397" t="s">
        <v>1496</v>
      </c>
      <c r="B1397" t="s">
        <v>46</v>
      </c>
      <c r="C1397">
        <v>7</v>
      </c>
      <c r="D1397">
        <v>33.9</v>
      </c>
      <c r="E1397">
        <v>237.29999999999998</v>
      </c>
      <c r="F1397" s="1">
        <v>45710</v>
      </c>
      <c r="G1397" s="1">
        <v>45711</v>
      </c>
      <c r="H1397" t="s">
        <v>23</v>
      </c>
      <c r="I1397" t="s">
        <v>70</v>
      </c>
      <c r="J1397">
        <v>4</v>
      </c>
      <c r="K1397" t="s">
        <v>19</v>
      </c>
      <c r="L1397" t="s">
        <v>331</v>
      </c>
      <c r="M1397">
        <f>orders[[#This Row],[Ship Date]]-orders[[#This Row],[Order Date]]</f>
        <v>1</v>
      </c>
      <c r="N1397">
        <f>WEEKNUM(orders[[#This Row],[Order Date]])</f>
        <v>8</v>
      </c>
      <c r="O1397" t="str">
        <f>_xlfn.IFS(orders[[#This Row],[Customer Gender]]="M","Male", orders[[#This Row],[Customer Gender]]="F","Female", orders[[#This Row],[Customer Gender]]="O","Other", TRUE,"Unknown")</f>
        <v>Male</v>
      </c>
    </row>
    <row r="1398" spans="1:15">
      <c r="A1398" t="s">
        <v>1497</v>
      </c>
      <c r="B1398" t="s">
        <v>44</v>
      </c>
      <c r="C1398">
        <v>3</v>
      </c>
      <c r="D1398">
        <v>19</v>
      </c>
      <c r="E1398">
        <v>57</v>
      </c>
      <c r="F1398" s="1">
        <v>45710</v>
      </c>
      <c r="G1398" s="1">
        <v>45711</v>
      </c>
      <c r="H1398" t="s">
        <v>23</v>
      </c>
      <c r="I1398" t="s">
        <v>18</v>
      </c>
      <c r="J1398">
        <v>5</v>
      </c>
      <c r="K1398" t="s">
        <v>19</v>
      </c>
      <c r="L1398" t="s">
        <v>86</v>
      </c>
      <c r="M1398">
        <f>orders[[#This Row],[Ship Date]]-orders[[#This Row],[Order Date]]</f>
        <v>1</v>
      </c>
      <c r="N1398">
        <f>WEEKNUM(orders[[#This Row],[Order Date]])</f>
        <v>8</v>
      </c>
      <c r="O1398" t="str">
        <f>_xlfn.IFS(orders[[#This Row],[Customer Gender]]="M","Male", orders[[#This Row],[Customer Gender]]="F","Female", orders[[#This Row],[Customer Gender]]="O","Other", TRUE,"Unknown")</f>
        <v>Male</v>
      </c>
    </row>
    <row r="1399" spans="1:15">
      <c r="A1399" t="s">
        <v>1498</v>
      </c>
      <c r="B1399" t="s">
        <v>32</v>
      </c>
      <c r="C1399">
        <v>1</v>
      </c>
      <c r="D1399">
        <v>41.9</v>
      </c>
      <c r="E1399">
        <v>41.9</v>
      </c>
      <c r="F1399" s="1">
        <v>45710</v>
      </c>
      <c r="G1399" s="1">
        <v>45713</v>
      </c>
      <c r="H1399" t="s">
        <v>27</v>
      </c>
      <c r="I1399" t="s">
        <v>40</v>
      </c>
      <c r="J1399">
        <v>4</v>
      </c>
      <c r="K1399" t="s">
        <v>19</v>
      </c>
      <c r="L1399" t="s">
        <v>147</v>
      </c>
      <c r="M1399">
        <f>orders[[#This Row],[Ship Date]]-orders[[#This Row],[Order Date]]</f>
        <v>3</v>
      </c>
      <c r="N1399">
        <f>WEEKNUM(orders[[#This Row],[Order Date]])</f>
        <v>8</v>
      </c>
      <c r="O1399" t="str">
        <f>_xlfn.IFS(orders[[#This Row],[Customer Gender]]="M","Male", orders[[#This Row],[Customer Gender]]="F","Female", orders[[#This Row],[Customer Gender]]="O","Other", TRUE,"Unknown")</f>
        <v>Female</v>
      </c>
    </row>
    <row r="1400" spans="1:15">
      <c r="A1400" t="s">
        <v>1499</v>
      </c>
      <c r="B1400" t="s">
        <v>22</v>
      </c>
      <c r="C1400">
        <v>4</v>
      </c>
      <c r="D1400">
        <v>37.5</v>
      </c>
      <c r="E1400">
        <v>150</v>
      </c>
      <c r="F1400" s="1">
        <v>45710</v>
      </c>
      <c r="G1400" s="1">
        <v>45710</v>
      </c>
      <c r="H1400" t="s">
        <v>27</v>
      </c>
      <c r="I1400" t="s">
        <v>18</v>
      </c>
      <c r="J1400">
        <v>4</v>
      </c>
      <c r="K1400" t="s">
        <v>19</v>
      </c>
      <c r="L1400" t="s">
        <v>33</v>
      </c>
      <c r="M1400">
        <f>orders[[#This Row],[Ship Date]]-orders[[#This Row],[Order Date]]</f>
        <v>0</v>
      </c>
      <c r="N1400">
        <f>WEEKNUM(orders[[#This Row],[Order Date]])</f>
        <v>8</v>
      </c>
      <c r="O1400" t="str">
        <f>_xlfn.IFS(orders[[#This Row],[Customer Gender]]="M","Male", orders[[#This Row],[Customer Gender]]="F","Female", orders[[#This Row],[Customer Gender]]="O","Other", TRUE,"Unknown")</f>
        <v>Female</v>
      </c>
    </row>
    <row r="1401" spans="1:15">
      <c r="A1401" t="s">
        <v>1500</v>
      </c>
      <c r="B1401" t="s">
        <v>16</v>
      </c>
      <c r="C1401">
        <v>2</v>
      </c>
      <c r="D1401">
        <v>40.799999999999997</v>
      </c>
      <c r="E1401">
        <v>81.599999999999994</v>
      </c>
      <c r="F1401" s="1">
        <v>45710</v>
      </c>
      <c r="G1401" s="1">
        <v>45713</v>
      </c>
      <c r="H1401" t="s">
        <v>23</v>
      </c>
      <c r="I1401" t="s">
        <v>18</v>
      </c>
      <c r="J1401">
        <v>4</v>
      </c>
      <c r="K1401" t="s">
        <v>19</v>
      </c>
      <c r="L1401" t="s">
        <v>33</v>
      </c>
      <c r="M1401">
        <f>orders[[#This Row],[Ship Date]]-orders[[#This Row],[Order Date]]</f>
        <v>3</v>
      </c>
      <c r="N1401">
        <f>WEEKNUM(orders[[#This Row],[Order Date]])</f>
        <v>8</v>
      </c>
      <c r="O1401" t="str">
        <f>_xlfn.IFS(orders[[#This Row],[Customer Gender]]="M","Male", orders[[#This Row],[Customer Gender]]="F","Female", orders[[#This Row],[Customer Gender]]="O","Other", TRUE,"Unknown")</f>
        <v>Male</v>
      </c>
    </row>
    <row r="1402" spans="1:15">
      <c r="A1402" t="s">
        <v>1501</v>
      </c>
      <c r="B1402" t="s">
        <v>16</v>
      </c>
      <c r="C1402">
        <v>4</v>
      </c>
      <c r="D1402">
        <v>23.1</v>
      </c>
      <c r="E1402">
        <v>92.4</v>
      </c>
      <c r="F1402" s="1">
        <v>45710</v>
      </c>
      <c r="G1402" s="1">
        <v>45711</v>
      </c>
      <c r="H1402" t="s">
        <v>27</v>
      </c>
      <c r="I1402" t="s">
        <v>70</v>
      </c>
      <c r="J1402">
        <v>4</v>
      </c>
      <c r="K1402" t="s">
        <v>19</v>
      </c>
      <c r="L1402" t="s">
        <v>33</v>
      </c>
      <c r="M1402">
        <f>orders[[#This Row],[Ship Date]]-orders[[#This Row],[Order Date]]</f>
        <v>1</v>
      </c>
      <c r="N1402">
        <f>WEEKNUM(orders[[#This Row],[Order Date]])</f>
        <v>8</v>
      </c>
      <c r="O1402" t="str">
        <f>_xlfn.IFS(orders[[#This Row],[Customer Gender]]="M","Male", orders[[#This Row],[Customer Gender]]="F","Female", orders[[#This Row],[Customer Gender]]="O","Other", TRUE,"Unknown")</f>
        <v>Female</v>
      </c>
    </row>
    <row r="1403" spans="1:15">
      <c r="A1403" t="s">
        <v>1502</v>
      </c>
      <c r="B1403" t="s">
        <v>44</v>
      </c>
      <c r="C1403">
        <v>5</v>
      </c>
      <c r="D1403">
        <v>39.299999999999997</v>
      </c>
      <c r="E1403">
        <v>196.5</v>
      </c>
      <c r="F1403" s="1">
        <v>45710</v>
      </c>
      <c r="G1403" s="1">
        <v>45711</v>
      </c>
      <c r="H1403" t="s">
        <v>27</v>
      </c>
      <c r="I1403" t="s">
        <v>18</v>
      </c>
      <c r="J1403">
        <v>4</v>
      </c>
      <c r="K1403" t="s">
        <v>19</v>
      </c>
      <c r="L1403" t="s">
        <v>33</v>
      </c>
      <c r="M1403">
        <f>orders[[#This Row],[Ship Date]]-orders[[#This Row],[Order Date]]</f>
        <v>1</v>
      </c>
      <c r="N1403">
        <f>WEEKNUM(orders[[#This Row],[Order Date]])</f>
        <v>8</v>
      </c>
      <c r="O1403" t="str">
        <f>_xlfn.IFS(orders[[#This Row],[Customer Gender]]="M","Male", orders[[#This Row],[Customer Gender]]="F","Female", orders[[#This Row],[Customer Gender]]="O","Other", TRUE,"Unknown")</f>
        <v>Female</v>
      </c>
    </row>
    <row r="1404" spans="1:15">
      <c r="A1404" t="s">
        <v>1503</v>
      </c>
      <c r="B1404" t="s">
        <v>26</v>
      </c>
      <c r="C1404">
        <v>4</v>
      </c>
      <c r="D1404">
        <v>85.2</v>
      </c>
      <c r="E1404">
        <v>340.8</v>
      </c>
      <c r="F1404" s="1">
        <v>45710</v>
      </c>
      <c r="G1404" s="1">
        <v>45715</v>
      </c>
      <c r="H1404" t="s">
        <v>23</v>
      </c>
      <c r="I1404" t="s">
        <v>40</v>
      </c>
      <c r="J1404">
        <v>4</v>
      </c>
      <c r="K1404" t="s">
        <v>19</v>
      </c>
      <c r="L1404" t="s">
        <v>33</v>
      </c>
      <c r="M1404">
        <f>orders[[#This Row],[Ship Date]]-orders[[#This Row],[Order Date]]</f>
        <v>5</v>
      </c>
      <c r="N1404">
        <f>WEEKNUM(orders[[#This Row],[Order Date]])</f>
        <v>8</v>
      </c>
      <c r="O1404" t="str">
        <f>_xlfn.IFS(orders[[#This Row],[Customer Gender]]="M","Male", orders[[#This Row],[Customer Gender]]="F","Female", orders[[#This Row],[Customer Gender]]="O","Other", TRUE,"Unknown")</f>
        <v>Male</v>
      </c>
    </row>
    <row r="1405" spans="1:15">
      <c r="A1405" t="s">
        <v>1504</v>
      </c>
      <c r="B1405" t="s">
        <v>44</v>
      </c>
      <c r="C1405">
        <v>6</v>
      </c>
      <c r="D1405">
        <v>16</v>
      </c>
      <c r="E1405">
        <v>96</v>
      </c>
      <c r="F1405" s="1">
        <v>45710</v>
      </c>
      <c r="G1405" s="1">
        <v>45713</v>
      </c>
      <c r="H1405" t="s">
        <v>23</v>
      </c>
      <c r="I1405" t="s">
        <v>35</v>
      </c>
      <c r="J1405">
        <v>4</v>
      </c>
      <c r="K1405" t="s">
        <v>19</v>
      </c>
      <c r="L1405" t="s">
        <v>33</v>
      </c>
      <c r="M1405">
        <f>orders[[#This Row],[Ship Date]]-orders[[#This Row],[Order Date]]</f>
        <v>3</v>
      </c>
      <c r="N1405">
        <f>WEEKNUM(orders[[#This Row],[Order Date]])</f>
        <v>8</v>
      </c>
      <c r="O1405" t="str">
        <f>_xlfn.IFS(orders[[#This Row],[Customer Gender]]="M","Male", orders[[#This Row],[Customer Gender]]="F","Female", orders[[#This Row],[Customer Gender]]="O","Other", TRUE,"Unknown")</f>
        <v>Male</v>
      </c>
    </row>
    <row r="1406" spans="1:15">
      <c r="A1406" t="s">
        <v>1505</v>
      </c>
      <c r="B1406" t="s">
        <v>22</v>
      </c>
      <c r="C1406">
        <v>2</v>
      </c>
      <c r="D1406">
        <v>33.799999999999997</v>
      </c>
      <c r="E1406">
        <v>67.599999999999994</v>
      </c>
      <c r="F1406" s="1">
        <v>45710</v>
      </c>
      <c r="G1406" s="1">
        <v>45714</v>
      </c>
      <c r="H1406" t="s">
        <v>27</v>
      </c>
      <c r="I1406" t="s">
        <v>35</v>
      </c>
      <c r="J1406">
        <v>4</v>
      </c>
      <c r="K1406" t="s">
        <v>19</v>
      </c>
      <c r="L1406" t="s">
        <v>33</v>
      </c>
      <c r="M1406">
        <f>orders[[#This Row],[Ship Date]]-orders[[#This Row],[Order Date]]</f>
        <v>4</v>
      </c>
      <c r="N1406">
        <f>WEEKNUM(orders[[#This Row],[Order Date]])</f>
        <v>8</v>
      </c>
      <c r="O1406" t="str">
        <f>_xlfn.IFS(orders[[#This Row],[Customer Gender]]="M","Male", orders[[#This Row],[Customer Gender]]="F","Female", orders[[#This Row],[Customer Gender]]="O","Other", TRUE,"Unknown")</f>
        <v>Female</v>
      </c>
    </row>
    <row r="1407" spans="1:15">
      <c r="A1407" t="s">
        <v>1506</v>
      </c>
      <c r="B1407" t="s">
        <v>30</v>
      </c>
      <c r="C1407">
        <v>1</v>
      </c>
      <c r="D1407">
        <v>70</v>
      </c>
      <c r="E1407">
        <v>70</v>
      </c>
      <c r="F1407" s="1">
        <v>45710</v>
      </c>
      <c r="G1407" s="1">
        <v>45711</v>
      </c>
      <c r="H1407" t="s">
        <v>27</v>
      </c>
      <c r="I1407" t="s">
        <v>18</v>
      </c>
      <c r="J1407">
        <v>4</v>
      </c>
      <c r="K1407" t="s">
        <v>19</v>
      </c>
      <c r="L1407" t="s">
        <v>33</v>
      </c>
      <c r="M1407">
        <f>orders[[#This Row],[Ship Date]]-orders[[#This Row],[Order Date]]</f>
        <v>1</v>
      </c>
      <c r="N1407">
        <f>WEEKNUM(orders[[#This Row],[Order Date]])</f>
        <v>8</v>
      </c>
      <c r="O1407" t="str">
        <f>_xlfn.IFS(orders[[#This Row],[Customer Gender]]="M","Male", orders[[#This Row],[Customer Gender]]="F","Female", orders[[#This Row],[Customer Gender]]="O","Other", TRUE,"Unknown")</f>
        <v>Female</v>
      </c>
    </row>
    <row r="1408" spans="1:15">
      <c r="A1408" t="s">
        <v>1507</v>
      </c>
      <c r="B1408" t="s">
        <v>46</v>
      </c>
      <c r="C1408">
        <v>1</v>
      </c>
      <c r="D1408">
        <v>88</v>
      </c>
      <c r="E1408">
        <v>88</v>
      </c>
      <c r="F1408" s="1">
        <v>45710</v>
      </c>
      <c r="G1408" s="1">
        <v>45715</v>
      </c>
      <c r="H1408" t="s">
        <v>27</v>
      </c>
      <c r="I1408" t="s">
        <v>51</v>
      </c>
      <c r="J1408">
        <v>4</v>
      </c>
      <c r="K1408" t="s">
        <v>19</v>
      </c>
      <c r="L1408" t="s">
        <v>33</v>
      </c>
      <c r="M1408">
        <f>orders[[#This Row],[Ship Date]]-orders[[#This Row],[Order Date]]</f>
        <v>5</v>
      </c>
      <c r="N1408">
        <f>WEEKNUM(orders[[#This Row],[Order Date]])</f>
        <v>8</v>
      </c>
      <c r="O1408" t="str">
        <f>_xlfn.IFS(orders[[#This Row],[Customer Gender]]="M","Male", orders[[#This Row],[Customer Gender]]="F","Female", orders[[#This Row],[Customer Gender]]="O","Other", TRUE,"Unknown")</f>
        <v>Female</v>
      </c>
    </row>
    <row r="1409" spans="1:15">
      <c r="A1409" t="s">
        <v>1508</v>
      </c>
      <c r="B1409" t="s">
        <v>26</v>
      </c>
      <c r="C1409">
        <v>3</v>
      </c>
      <c r="D1409">
        <v>74.099999999999994</v>
      </c>
      <c r="E1409">
        <v>222.29999999999998</v>
      </c>
      <c r="F1409" s="1">
        <v>45710</v>
      </c>
      <c r="G1409" s="1">
        <v>45710</v>
      </c>
      <c r="H1409" t="s">
        <v>23</v>
      </c>
      <c r="I1409" t="s">
        <v>70</v>
      </c>
      <c r="J1409">
        <v>3</v>
      </c>
      <c r="K1409" t="s">
        <v>19</v>
      </c>
      <c r="L1409" t="s">
        <v>33</v>
      </c>
      <c r="M1409">
        <f>orders[[#This Row],[Ship Date]]-orders[[#This Row],[Order Date]]</f>
        <v>0</v>
      </c>
      <c r="N1409">
        <f>WEEKNUM(orders[[#This Row],[Order Date]])</f>
        <v>8</v>
      </c>
      <c r="O1409" t="str">
        <f>_xlfn.IFS(orders[[#This Row],[Customer Gender]]="M","Male", orders[[#This Row],[Customer Gender]]="F","Female", orders[[#This Row],[Customer Gender]]="O","Other", TRUE,"Unknown")</f>
        <v>Male</v>
      </c>
    </row>
    <row r="1410" spans="1:15">
      <c r="A1410" t="s">
        <v>1509</v>
      </c>
      <c r="B1410" t="s">
        <v>26</v>
      </c>
      <c r="C1410">
        <v>1</v>
      </c>
      <c r="D1410">
        <v>161.9</v>
      </c>
      <c r="E1410">
        <v>161.9</v>
      </c>
      <c r="F1410" s="1">
        <v>45710</v>
      </c>
      <c r="G1410" s="1">
        <v>45712</v>
      </c>
      <c r="H1410" t="s">
        <v>23</v>
      </c>
      <c r="I1410" t="s">
        <v>40</v>
      </c>
      <c r="J1410">
        <v>4</v>
      </c>
      <c r="K1410" t="s">
        <v>19</v>
      </c>
      <c r="L1410" t="s">
        <v>33</v>
      </c>
      <c r="M1410">
        <f>orders[[#This Row],[Ship Date]]-orders[[#This Row],[Order Date]]</f>
        <v>2</v>
      </c>
      <c r="N1410">
        <f>WEEKNUM(orders[[#This Row],[Order Date]])</f>
        <v>8</v>
      </c>
      <c r="O1410" t="str">
        <f>_xlfn.IFS(orders[[#This Row],[Customer Gender]]="M","Male", orders[[#This Row],[Customer Gender]]="F","Female", orders[[#This Row],[Customer Gender]]="O","Other", TRUE,"Unknown")</f>
        <v>Male</v>
      </c>
    </row>
    <row r="1411" spans="1:15">
      <c r="A1411" t="s">
        <v>1510</v>
      </c>
      <c r="B1411" t="s">
        <v>32</v>
      </c>
      <c r="C1411">
        <v>2</v>
      </c>
      <c r="D1411">
        <v>44</v>
      </c>
      <c r="E1411">
        <v>88</v>
      </c>
      <c r="F1411" s="1">
        <v>45710</v>
      </c>
      <c r="G1411" s="1">
        <v>45711</v>
      </c>
      <c r="H1411" t="s">
        <v>89</v>
      </c>
      <c r="I1411" t="s">
        <v>70</v>
      </c>
      <c r="J1411">
        <v>3</v>
      </c>
      <c r="K1411" t="s">
        <v>19</v>
      </c>
      <c r="L1411" t="s">
        <v>33</v>
      </c>
      <c r="M1411">
        <f>orders[[#This Row],[Ship Date]]-orders[[#This Row],[Order Date]]</f>
        <v>1</v>
      </c>
      <c r="N1411">
        <f>WEEKNUM(orders[[#This Row],[Order Date]])</f>
        <v>8</v>
      </c>
      <c r="O1411" t="str">
        <f>_xlfn.IFS(orders[[#This Row],[Customer Gender]]="M","Male", orders[[#This Row],[Customer Gender]]="F","Female", orders[[#This Row],[Customer Gender]]="O","Other", TRUE,"Unknown")</f>
        <v>Other</v>
      </c>
    </row>
    <row r="1412" spans="1:15">
      <c r="A1412" t="s">
        <v>1511</v>
      </c>
      <c r="B1412" t="s">
        <v>67</v>
      </c>
      <c r="C1412">
        <v>1</v>
      </c>
      <c r="D1412">
        <v>32.1</v>
      </c>
      <c r="E1412">
        <v>32.1</v>
      </c>
      <c r="F1412" s="1">
        <v>45710</v>
      </c>
      <c r="G1412" s="1">
        <v>45710</v>
      </c>
      <c r="H1412" t="s">
        <v>27</v>
      </c>
      <c r="I1412" t="s">
        <v>51</v>
      </c>
      <c r="J1412">
        <v>1</v>
      </c>
      <c r="K1412" t="s">
        <v>19</v>
      </c>
      <c r="L1412" t="s">
        <v>33</v>
      </c>
      <c r="M1412">
        <f>orders[[#This Row],[Ship Date]]-orders[[#This Row],[Order Date]]</f>
        <v>0</v>
      </c>
      <c r="N1412">
        <f>WEEKNUM(orders[[#This Row],[Order Date]])</f>
        <v>8</v>
      </c>
      <c r="O1412" t="str">
        <f>_xlfn.IFS(orders[[#This Row],[Customer Gender]]="M","Male", orders[[#This Row],[Customer Gender]]="F","Female", orders[[#This Row],[Customer Gender]]="O","Other", TRUE,"Unknown")</f>
        <v>Female</v>
      </c>
    </row>
    <row r="1413" spans="1:15">
      <c r="A1413" t="s">
        <v>1512</v>
      </c>
      <c r="B1413" t="s">
        <v>26</v>
      </c>
      <c r="C1413">
        <v>4</v>
      </c>
      <c r="D1413">
        <v>104.8</v>
      </c>
      <c r="E1413">
        <v>419.2</v>
      </c>
      <c r="F1413" s="1">
        <v>45711</v>
      </c>
      <c r="G1413" s="1">
        <v>45713</v>
      </c>
      <c r="H1413" t="s">
        <v>89</v>
      </c>
      <c r="I1413" t="s">
        <v>18</v>
      </c>
      <c r="J1413">
        <v>4</v>
      </c>
      <c r="K1413" t="s">
        <v>19</v>
      </c>
      <c r="L1413" t="s">
        <v>33</v>
      </c>
      <c r="M1413">
        <f>orders[[#This Row],[Ship Date]]-orders[[#This Row],[Order Date]]</f>
        <v>2</v>
      </c>
      <c r="N1413">
        <f>WEEKNUM(orders[[#This Row],[Order Date]])</f>
        <v>9</v>
      </c>
      <c r="O1413" t="str">
        <f>_xlfn.IFS(orders[[#This Row],[Customer Gender]]="M","Male", orders[[#This Row],[Customer Gender]]="F","Female", orders[[#This Row],[Customer Gender]]="O","Other", TRUE,"Unknown")</f>
        <v>Other</v>
      </c>
    </row>
    <row r="1414" spans="1:15">
      <c r="A1414" t="s">
        <v>1513</v>
      </c>
      <c r="B1414" t="s">
        <v>46</v>
      </c>
      <c r="C1414">
        <v>6</v>
      </c>
      <c r="D1414">
        <v>67.400000000000006</v>
      </c>
      <c r="E1414">
        <v>404.40000000000003</v>
      </c>
      <c r="F1414" s="1">
        <v>45711</v>
      </c>
      <c r="G1414" s="1">
        <v>45712</v>
      </c>
      <c r="H1414" t="s">
        <v>27</v>
      </c>
      <c r="I1414" t="s">
        <v>51</v>
      </c>
      <c r="J1414">
        <v>4</v>
      </c>
      <c r="K1414" t="s">
        <v>19</v>
      </c>
      <c r="L1414" t="s">
        <v>33</v>
      </c>
      <c r="M1414">
        <f>orders[[#This Row],[Ship Date]]-orders[[#This Row],[Order Date]]</f>
        <v>1</v>
      </c>
      <c r="N1414">
        <f>WEEKNUM(orders[[#This Row],[Order Date]])</f>
        <v>9</v>
      </c>
      <c r="O1414" t="str">
        <f>_xlfn.IFS(orders[[#This Row],[Customer Gender]]="M","Male", orders[[#This Row],[Customer Gender]]="F","Female", orders[[#This Row],[Customer Gender]]="O","Other", TRUE,"Unknown")</f>
        <v>Female</v>
      </c>
    </row>
    <row r="1415" spans="1:15">
      <c r="A1415" t="s">
        <v>1514</v>
      </c>
      <c r="B1415" t="s">
        <v>39</v>
      </c>
      <c r="C1415">
        <v>2</v>
      </c>
      <c r="D1415">
        <v>115.2</v>
      </c>
      <c r="E1415">
        <v>230.4</v>
      </c>
      <c r="F1415" s="1">
        <v>45711</v>
      </c>
      <c r="G1415" s="1">
        <v>45712</v>
      </c>
      <c r="H1415" t="s">
        <v>27</v>
      </c>
      <c r="I1415" t="s">
        <v>35</v>
      </c>
      <c r="J1415">
        <v>4</v>
      </c>
      <c r="K1415" t="s">
        <v>19</v>
      </c>
      <c r="L1415" t="s">
        <v>49</v>
      </c>
      <c r="M1415">
        <f>orders[[#This Row],[Ship Date]]-orders[[#This Row],[Order Date]]</f>
        <v>1</v>
      </c>
      <c r="N1415">
        <f>WEEKNUM(orders[[#This Row],[Order Date]])</f>
        <v>9</v>
      </c>
      <c r="O1415" t="str">
        <f>_xlfn.IFS(orders[[#This Row],[Customer Gender]]="M","Male", orders[[#This Row],[Customer Gender]]="F","Female", orders[[#This Row],[Customer Gender]]="O","Other", TRUE,"Unknown")</f>
        <v>Female</v>
      </c>
    </row>
    <row r="1416" spans="1:15">
      <c r="A1416" t="s">
        <v>1515</v>
      </c>
      <c r="B1416" t="s">
        <v>44</v>
      </c>
      <c r="C1416">
        <v>29</v>
      </c>
      <c r="D1416">
        <v>15.5</v>
      </c>
      <c r="E1416">
        <v>449.5</v>
      </c>
      <c r="F1416" s="1">
        <v>45711</v>
      </c>
      <c r="G1416" s="1">
        <v>45713</v>
      </c>
      <c r="H1416" t="s">
        <v>27</v>
      </c>
      <c r="I1416" t="s">
        <v>18</v>
      </c>
      <c r="J1416">
        <v>3</v>
      </c>
      <c r="K1416" t="s">
        <v>19</v>
      </c>
      <c r="L1416" t="s">
        <v>158</v>
      </c>
      <c r="M1416">
        <f>orders[[#This Row],[Ship Date]]-orders[[#This Row],[Order Date]]</f>
        <v>2</v>
      </c>
      <c r="N1416">
        <f>WEEKNUM(orders[[#This Row],[Order Date]])</f>
        <v>9</v>
      </c>
      <c r="O1416" t="str">
        <f>_xlfn.IFS(orders[[#This Row],[Customer Gender]]="M","Male", orders[[#This Row],[Customer Gender]]="F","Female", orders[[#This Row],[Customer Gender]]="O","Other", TRUE,"Unknown")</f>
        <v>Female</v>
      </c>
    </row>
    <row r="1417" spans="1:15">
      <c r="A1417" t="s">
        <v>1516</v>
      </c>
      <c r="B1417" t="s">
        <v>39</v>
      </c>
      <c r="C1417">
        <v>11</v>
      </c>
      <c r="D1417">
        <v>66.400000000000006</v>
      </c>
      <c r="E1417">
        <v>730.40000000000009</v>
      </c>
      <c r="F1417" s="1">
        <v>45711</v>
      </c>
      <c r="G1417" s="1">
        <v>45713</v>
      </c>
      <c r="H1417" t="s">
        <v>27</v>
      </c>
      <c r="I1417" t="s">
        <v>18</v>
      </c>
      <c r="J1417">
        <v>4</v>
      </c>
      <c r="K1417" t="s">
        <v>19</v>
      </c>
      <c r="L1417" t="s">
        <v>55</v>
      </c>
      <c r="M1417">
        <f>orders[[#This Row],[Ship Date]]-orders[[#This Row],[Order Date]]</f>
        <v>2</v>
      </c>
      <c r="N1417">
        <f>WEEKNUM(orders[[#This Row],[Order Date]])</f>
        <v>9</v>
      </c>
      <c r="O1417" t="str">
        <f>_xlfn.IFS(orders[[#This Row],[Customer Gender]]="M","Male", orders[[#This Row],[Customer Gender]]="F","Female", orders[[#This Row],[Customer Gender]]="O","Other", TRUE,"Unknown")</f>
        <v>Female</v>
      </c>
    </row>
    <row r="1418" spans="1:15">
      <c r="A1418" t="s">
        <v>1517</v>
      </c>
      <c r="B1418" t="s">
        <v>46</v>
      </c>
      <c r="C1418">
        <v>12</v>
      </c>
      <c r="D1418">
        <v>68.099999999999994</v>
      </c>
      <c r="E1418">
        <v>817.19999999999993</v>
      </c>
      <c r="F1418" s="1">
        <v>45711</v>
      </c>
      <c r="G1418" s="1">
        <v>45712</v>
      </c>
      <c r="H1418" t="s">
        <v>27</v>
      </c>
      <c r="I1418" t="s">
        <v>40</v>
      </c>
      <c r="J1418">
        <v>4</v>
      </c>
      <c r="K1418" t="s">
        <v>19</v>
      </c>
      <c r="L1418" t="s">
        <v>62</v>
      </c>
      <c r="M1418">
        <f>orders[[#This Row],[Ship Date]]-orders[[#This Row],[Order Date]]</f>
        <v>1</v>
      </c>
      <c r="N1418">
        <f>WEEKNUM(orders[[#This Row],[Order Date]])</f>
        <v>9</v>
      </c>
      <c r="O1418" t="str">
        <f>_xlfn.IFS(orders[[#This Row],[Customer Gender]]="M","Male", orders[[#This Row],[Customer Gender]]="F","Female", orders[[#This Row],[Customer Gender]]="O","Other", TRUE,"Unknown")</f>
        <v>Female</v>
      </c>
    </row>
    <row r="1419" spans="1:15">
      <c r="A1419" t="s">
        <v>1518</v>
      </c>
      <c r="B1419" t="s">
        <v>44</v>
      </c>
      <c r="C1419">
        <v>5</v>
      </c>
      <c r="D1419">
        <v>32.5</v>
      </c>
      <c r="E1419">
        <v>162.5</v>
      </c>
      <c r="F1419" s="1">
        <v>45711</v>
      </c>
      <c r="G1419" s="1">
        <v>45715</v>
      </c>
      <c r="H1419" t="s">
        <v>23</v>
      </c>
      <c r="I1419" t="s">
        <v>40</v>
      </c>
      <c r="J1419">
        <v>3</v>
      </c>
      <c r="K1419" t="s">
        <v>19</v>
      </c>
      <c r="L1419" t="s">
        <v>62</v>
      </c>
      <c r="M1419">
        <f>orders[[#This Row],[Ship Date]]-orders[[#This Row],[Order Date]]</f>
        <v>4</v>
      </c>
      <c r="N1419">
        <f>WEEKNUM(orders[[#This Row],[Order Date]])</f>
        <v>9</v>
      </c>
      <c r="O1419" t="str">
        <f>_xlfn.IFS(orders[[#This Row],[Customer Gender]]="M","Male", orders[[#This Row],[Customer Gender]]="F","Female", orders[[#This Row],[Customer Gender]]="O","Other", TRUE,"Unknown")</f>
        <v>Male</v>
      </c>
    </row>
    <row r="1420" spans="1:15">
      <c r="A1420" t="s">
        <v>1519</v>
      </c>
      <c r="B1420" t="s">
        <v>123</v>
      </c>
      <c r="C1420">
        <v>3</v>
      </c>
      <c r="D1420">
        <v>61.2</v>
      </c>
      <c r="E1420">
        <v>183.60000000000002</v>
      </c>
      <c r="F1420" s="1">
        <v>45711</v>
      </c>
      <c r="G1420" s="1">
        <v>45713</v>
      </c>
      <c r="H1420" t="s">
        <v>27</v>
      </c>
      <c r="I1420" t="s">
        <v>35</v>
      </c>
      <c r="J1420">
        <v>3</v>
      </c>
      <c r="K1420" t="s">
        <v>19</v>
      </c>
      <c r="L1420" t="s">
        <v>62</v>
      </c>
      <c r="M1420">
        <f>orders[[#This Row],[Ship Date]]-orders[[#This Row],[Order Date]]</f>
        <v>2</v>
      </c>
      <c r="N1420">
        <f>WEEKNUM(orders[[#This Row],[Order Date]])</f>
        <v>9</v>
      </c>
      <c r="O1420" t="str">
        <f>_xlfn.IFS(orders[[#This Row],[Customer Gender]]="M","Male", orders[[#This Row],[Customer Gender]]="F","Female", orders[[#This Row],[Customer Gender]]="O","Other", TRUE,"Unknown")</f>
        <v>Female</v>
      </c>
    </row>
    <row r="1421" spans="1:15">
      <c r="A1421" t="s">
        <v>1520</v>
      </c>
      <c r="B1421" t="s">
        <v>46</v>
      </c>
      <c r="C1421">
        <v>2</v>
      </c>
      <c r="D1421">
        <v>54.2</v>
      </c>
      <c r="E1421">
        <v>108.4</v>
      </c>
      <c r="F1421" s="1">
        <v>45711</v>
      </c>
      <c r="G1421" s="1">
        <v>45712</v>
      </c>
      <c r="H1421" t="s">
        <v>27</v>
      </c>
      <c r="I1421" t="s">
        <v>35</v>
      </c>
      <c r="J1421">
        <v>4</v>
      </c>
      <c r="K1421" t="s">
        <v>19</v>
      </c>
      <c r="L1421" t="s">
        <v>62</v>
      </c>
      <c r="M1421">
        <f>orders[[#This Row],[Ship Date]]-orders[[#This Row],[Order Date]]</f>
        <v>1</v>
      </c>
      <c r="N1421">
        <f>WEEKNUM(orders[[#This Row],[Order Date]])</f>
        <v>9</v>
      </c>
      <c r="O1421" t="str">
        <f>_xlfn.IFS(orders[[#This Row],[Customer Gender]]="M","Male", orders[[#This Row],[Customer Gender]]="F","Female", orders[[#This Row],[Customer Gender]]="O","Other", TRUE,"Unknown")</f>
        <v>Female</v>
      </c>
    </row>
    <row r="1422" spans="1:15">
      <c r="A1422" t="s">
        <v>1521</v>
      </c>
      <c r="B1422" t="s">
        <v>67</v>
      </c>
      <c r="C1422">
        <v>8</v>
      </c>
      <c r="D1422">
        <v>28.7</v>
      </c>
      <c r="E1422">
        <v>229.6</v>
      </c>
      <c r="F1422" s="1">
        <v>45711</v>
      </c>
      <c r="G1422" s="1">
        <v>45713</v>
      </c>
      <c r="H1422" t="s">
        <v>23</v>
      </c>
      <c r="I1422" t="s">
        <v>35</v>
      </c>
      <c r="J1422">
        <v>4</v>
      </c>
      <c r="K1422" t="s">
        <v>19</v>
      </c>
      <c r="L1422" t="s">
        <v>72</v>
      </c>
      <c r="M1422">
        <f>orders[[#This Row],[Ship Date]]-orders[[#This Row],[Order Date]]</f>
        <v>2</v>
      </c>
      <c r="N1422">
        <f>WEEKNUM(orders[[#This Row],[Order Date]])</f>
        <v>9</v>
      </c>
      <c r="O1422" t="str">
        <f>_xlfn.IFS(orders[[#This Row],[Customer Gender]]="M","Male", orders[[#This Row],[Customer Gender]]="F","Female", orders[[#This Row],[Customer Gender]]="O","Other", TRUE,"Unknown")</f>
        <v>Male</v>
      </c>
    </row>
    <row r="1423" spans="1:15">
      <c r="A1423" t="s">
        <v>1522</v>
      </c>
      <c r="B1423" t="s">
        <v>69</v>
      </c>
      <c r="C1423">
        <v>6</v>
      </c>
      <c r="D1423">
        <v>38.200000000000003</v>
      </c>
      <c r="E1423">
        <v>229.20000000000002</v>
      </c>
      <c r="F1423" s="1">
        <v>45711</v>
      </c>
      <c r="G1423" s="1">
        <v>45715</v>
      </c>
      <c r="H1423" t="s">
        <v>27</v>
      </c>
      <c r="I1423" t="s">
        <v>18</v>
      </c>
      <c r="J1423">
        <v>3</v>
      </c>
      <c r="K1423" t="s">
        <v>19</v>
      </c>
      <c r="L1423" t="s">
        <v>72</v>
      </c>
      <c r="M1423">
        <f>orders[[#This Row],[Ship Date]]-orders[[#This Row],[Order Date]]</f>
        <v>4</v>
      </c>
      <c r="N1423">
        <f>WEEKNUM(orders[[#This Row],[Order Date]])</f>
        <v>9</v>
      </c>
      <c r="O1423" t="str">
        <f>_xlfn.IFS(orders[[#This Row],[Customer Gender]]="M","Male", orders[[#This Row],[Customer Gender]]="F","Female", orders[[#This Row],[Customer Gender]]="O","Other", TRUE,"Unknown")</f>
        <v>Female</v>
      </c>
    </row>
    <row r="1424" spans="1:15">
      <c r="A1424" t="s">
        <v>1523</v>
      </c>
      <c r="B1424" t="s">
        <v>44</v>
      </c>
      <c r="C1424">
        <v>12</v>
      </c>
      <c r="D1424">
        <v>17.600000000000001</v>
      </c>
      <c r="E1424">
        <v>211.20000000000002</v>
      </c>
      <c r="F1424" s="1">
        <v>45711</v>
      </c>
      <c r="G1424" s="1">
        <v>45712</v>
      </c>
      <c r="H1424" t="s">
        <v>27</v>
      </c>
      <c r="I1424" t="s">
        <v>40</v>
      </c>
      <c r="J1424">
        <v>3</v>
      </c>
      <c r="K1424" t="s">
        <v>19</v>
      </c>
      <c r="L1424" t="s">
        <v>72</v>
      </c>
      <c r="M1424">
        <f>orders[[#This Row],[Ship Date]]-orders[[#This Row],[Order Date]]</f>
        <v>1</v>
      </c>
      <c r="N1424">
        <f>WEEKNUM(orders[[#This Row],[Order Date]])</f>
        <v>9</v>
      </c>
      <c r="O1424" t="str">
        <f>_xlfn.IFS(orders[[#This Row],[Customer Gender]]="M","Male", orders[[#This Row],[Customer Gender]]="F","Female", orders[[#This Row],[Customer Gender]]="O","Other", TRUE,"Unknown")</f>
        <v>Female</v>
      </c>
    </row>
    <row r="1425" spans="1:15">
      <c r="A1425" t="s">
        <v>1524</v>
      </c>
      <c r="B1425" t="s">
        <v>54</v>
      </c>
      <c r="C1425">
        <v>3</v>
      </c>
      <c r="D1425">
        <v>74.599999999999994</v>
      </c>
      <c r="E1425">
        <v>223.79999999999998</v>
      </c>
      <c r="F1425" s="1">
        <v>45711</v>
      </c>
      <c r="G1425" s="1">
        <v>45711</v>
      </c>
      <c r="H1425" t="s">
        <v>27</v>
      </c>
      <c r="I1425" t="s">
        <v>40</v>
      </c>
      <c r="J1425">
        <v>4</v>
      </c>
      <c r="K1425" t="s">
        <v>19</v>
      </c>
      <c r="L1425" t="s">
        <v>77</v>
      </c>
      <c r="M1425">
        <f>orders[[#This Row],[Ship Date]]-orders[[#This Row],[Order Date]]</f>
        <v>0</v>
      </c>
      <c r="N1425">
        <f>WEEKNUM(orders[[#This Row],[Order Date]])</f>
        <v>9</v>
      </c>
      <c r="O1425" t="str">
        <f>_xlfn.IFS(orders[[#This Row],[Customer Gender]]="M","Male", orders[[#This Row],[Customer Gender]]="F","Female", orders[[#This Row],[Customer Gender]]="O","Other", TRUE,"Unknown")</f>
        <v>Female</v>
      </c>
    </row>
    <row r="1426" spans="1:15">
      <c r="A1426" t="s">
        <v>1525</v>
      </c>
      <c r="B1426" t="s">
        <v>128</v>
      </c>
      <c r="C1426">
        <v>15</v>
      </c>
      <c r="D1426">
        <v>72.599999999999994</v>
      </c>
      <c r="E1426">
        <v>1089</v>
      </c>
      <c r="F1426" s="1">
        <v>45711</v>
      </c>
      <c r="G1426" s="1">
        <v>45711</v>
      </c>
      <c r="H1426" t="s">
        <v>17</v>
      </c>
      <c r="I1426" t="s">
        <v>35</v>
      </c>
      <c r="J1426">
        <v>3</v>
      </c>
      <c r="K1426" t="s">
        <v>19</v>
      </c>
      <c r="L1426" t="s">
        <v>77</v>
      </c>
      <c r="M1426">
        <f>orders[[#This Row],[Ship Date]]-orders[[#This Row],[Order Date]]</f>
        <v>0</v>
      </c>
      <c r="N1426">
        <f>WEEKNUM(orders[[#This Row],[Order Date]])</f>
        <v>9</v>
      </c>
      <c r="O1426" t="str">
        <f>_xlfn.IFS(orders[[#This Row],[Customer Gender]]="M","Male", orders[[#This Row],[Customer Gender]]="F","Female", orders[[#This Row],[Customer Gender]]="O","Other", TRUE,"Unknown")</f>
        <v>Unknown</v>
      </c>
    </row>
    <row r="1427" spans="1:15">
      <c r="A1427" t="s">
        <v>1526</v>
      </c>
      <c r="B1427" t="s">
        <v>42</v>
      </c>
      <c r="C1427">
        <v>1</v>
      </c>
      <c r="D1427">
        <v>62.3</v>
      </c>
      <c r="E1427">
        <v>62.3</v>
      </c>
      <c r="F1427" s="1">
        <v>45711</v>
      </c>
      <c r="G1427" s="1">
        <v>45712</v>
      </c>
      <c r="H1427" t="s">
        <v>27</v>
      </c>
      <c r="I1427" t="s">
        <v>35</v>
      </c>
      <c r="J1427">
        <v>4</v>
      </c>
      <c r="K1427" t="s">
        <v>19</v>
      </c>
      <c r="L1427" t="s">
        <v>77</v>
      </c>
      <c r="M1427">
        <f>orders[[#This Row],[Ship Date]]-orders[[#This Row],[Order Date]]</f>
        <v>1</v>
      </c>
      <c r="N1427">
        <f>WEEKNUM(orders[[#This Row],[Order Date]])</f>
        <v>9</v>
      </c>
      <c r="O1427" t="str">
        <f>_xlfn.IFS(orders[[#This Row],[Customer Gender]]="M","Male", orders[[#This Row],[Customer Gender]]="F","Female", orders[[#This Row],[Customer Gender]]="O","Other", TRUE,"Unknown")</f>
        <v>Female</v>
      </c>
    </row>
    <row r="1428" spans="1:15">
      <c r="A1428" t="s">
        <v>1527</v>
      </c>
      <c r="B1428" t="s">
        <v>30</v>
      </c>
      <c r="C1428">
        <v>3</v>
      </c>
      <c r="D1428">
        <v>33.799999999999997</v>
      </c>
      <c r="E1428">
        <v>101.39999999999999</v>
      </c>
      <c r="F1428" s="1">
        <v>45711</v>
      </c>
      <c r="G1428" s="1">
        <v>45713</v>
      </c>
      <c r="H1428" t="s">
        <v>23</v>
      </c>
      <c r="I1428" t="s">
        <v>18</v>
      </c>
      <c r="J1428">
        <v>5</v>
      </c>
      <c r="K1428" t="s">
        <v>19</v>
      </c>
      <c r="L1428" t="s">
        <v>113</v>
      </c>
      <c r="M1428">
        <f>orders[[#This Row],[Ship Date]]-orders[[#This Row],[Order Date]]</f>
        <v>2</v>
      </c>
      <c r="N1428">
        <f>WEEKNUM(orders[[#This Row],[Order Date]])</f>
        <v>9</v>
      </c>
      <c r="O1428" t="str">
        <f>_xlfn.IFS(orders[[#This Row],[Customer Gender]]="M","Male", orders[[#This Row],[Customer Gender]]="F","Female", orders[[#This Row],[Customer Gender]]="O","Other", TRUE,"Unknown")</f>
        <v>Male</v>
      </c>
    </row>
    <row r="1429" spans="1:15">
      <c r="A1429" t="s">
        <v>1528</v>
      </c>
      <c r="B1429" t="s">
        <v>46</v>
      </c>
      <c r="C1429">
        <v>1</v>
      </c>
      <c r="D1429">
        <v>85.7</v>
      </c>
      <c r="E1429">
        <v>85.7</v>
      </c>
      <c r="F1429" s="1">
        <v>45711</v>
      </c>
      <c r="G1429" s="1">
        <v>45714</v>
      </c>
      <c r="H1429" t="s">
        <v>23</v>
      </c>
      <c r="I1429" t="s">
        <v>51</v>
      </c>
      <c r="J1429">
        <v>3</v>
      </c>
      <c r="K1429" t="s">
        <v>19</v>
      </c>
      <c r="L1429" t="s">
        <v>115</v>
      </c>
      <c r="M1429">
        <f>orders[[#This Row],[Ship Date]]-orders[[#This Row],[Order Date]]</f>
        <v>3</v>
      </c>
      <c r="N1429">
        <f>WEEKNUM(orders[[#This Row],[Order Date]])</f>
        <v>9</v>
      </c>
      <c r="O1429" t="str">
        <f>_xlfn.IFS(orders[[#This Row],[Customer Gender]]="M","Male", orders[[#This Row],[Customer Gender]]="F","Female", orders[[#This Row],[Customer Gender]]="O","Other", TRUE,"Unknown")</f>
        <v>Male</v>
      </c>
    </row>
    <row r="1430" spans="1:15">
      <c r="A1430" t="s">
        <v>1529</v>
      </c>
      <c r="B1430" t="s">
        <v>39</v>
      </c>
      <c r="C1430">
        <v>2</v>
      </c>
      <c r="D1430">
        <v>92.1</v>
      </c>
      <c r="E1430">
        <v>184.2</v>
      </c>
      <c r="F1430" s="1">
        <v>45711</v>
      </c>
      <c r="G1430" s="1">
        <v>45713</v>
      </c>
      <c r="H1430" t="s">
        <v>23</v>
      </c>
      <c r="I1430" t="s">
        <v>35</v>
      </c>
      <c r="J1430">
        <v>4</v>
      </c>
      <c r="K1430" t="s">
        <v>19</v>
      </c>
      <c r="L1430" t="s">
        <v>115</v>
      </c>
      <c r="M1430">
        <f>orders[[#This Row],[Ship Date]]-orders[[#This Row],[Order Date]]</f>
        <v>2</v>
      </c>
      <c r="N1430">
        <f>WEEKNUM(orders[[#This Row],[Order Date]])</f>
        <v>9</v>
      </c>
      <c r="O1430" t="str">
        <f>_xlfn.IFS(orders[[#This Row],[Customer Gender]]="M","Male", orders[[#This Row],[Customer Gender]]="F","Female", orders[[#This Row],[Customer Gender]]="O","Other", TRUE,"Unknown")</f>
        <v>Male</v>
      </c>
    </row>
    <row r="1431" spans="1:15">
      <c r="A1431" t="s">
        <v>1530</v>
      </c>
      <c r="B1431" t="s">
        <v>128</v>
      </c>
      <c r="C1431">
        <v>3</v>
      </c>
      <c r="D1431">
        <v>65.099999999999994</v>
      </c>
      <c r="E1431">
        <v>195.29999999999998</v>
      </c>
      <c r="F1431" s="1">
        <v>45711</v>
      </c>
      <c r="G1431" s="1">
        <v>45714</v>
      </c>
      <c r="H1431" t="s">
        <v>23</v>
      </c>
      <c r="I1431" t="s">
        <v>18</v>
      </c>
      <c r="J1431">
        <v>4</v>
      </c>
      <c r="K1431" t="s">
        <v>19</v>
      </c>
      <c r="L1431" t="s">
        <v>24</v>
      </c>
      <c r="M1431">
        <f>orders[[#This Row],[Ship Date]]-orders[[#This Row],[Order Date]]</f>
        <v>3</v>
      </c>
      <c r="N1431">
        <f>WEEKNUM(orders[[#This Row],[Order Date]])</f>
        <v>9</v>
      </c>
      <c r="O1431" t="str">
        <f>_xlfn.IFS(orders[[#This Row],[Customer Gender]]="M","Male", orders[[#This Row],[Customer Gender]]="F","Female", orders[[#This Row],[Customer Gender]]="O","Other", TRUE,"Unknown")</f>
        <v>Male</v>
      </c>
    </row>
    <row r="1432" spans="1:15">
      <c r="A1432" t="s">
        <v>1531</v>
      </c>
      <c r="B1432" t="s">
        <v>46</v>
      </c>
      <c r="C1432">
        <v>7</v>
      </c>
      <c r="D1432">
        <v>20.3</v>
      </c>
      <c r="E1432">
        <v>142.1</v>
      </c>
      <c r="F1432" s="1">
        <v>45711</v>
      </c>
      <c r="G1432" s="1">
        <v>45712</v>
      </c>
      <c r="H1432" t="s">
        <v>27</v>
      </c>
      <c r="I1432" t="s">
        <v>40</v>
      </c>
      <c r="J1432">
        <v>5</v>
      </c>
      <c r="K1432" t="s">
        <v>19</v>
      </c>
      <c r="L1432" t="s">
        <v>28</v>
      </c>
      <c r="M1432">
        <f>orders[[#This Row],[Ship Date]]-orders[[#This Row],[Order Date]]</f>
        <v>1</v>
      </c>
      <c r="N1432">
        <f>WEEKNUM(orders[[#This Row],[Order Date]])</f>
        <v>9</v>
      </c>
      <c r="O1432" t="str">
        <f>_xlfn.IFS(orders[[#This Row],[Customer Gender]]="M","Male", orders[[#This Row],[Customer Gender]]="F","Female", orders[[#This Row],[Customer Gender]]="O","Other", TRUE,"Unknown")</f>
        <v>Female</v>
      </c>
    </row>
    <row r="1433" spans="1:15">
      <c r="A1433" t="s">
        <v>1532</v>
      </c>
      <c r="B1433" t="s">
        <v>171</v>
      </c>
      <c r="C1433">
        <v>2</v>
      </c>
      <c r="D1433">
        <v>29.8</v>
      </c>
      <c r="E1433">
        <v>59.6</v>
      </c>
      <c r="F1433" s="1">
        <v>45711</v>
      </c>
      <c r="G1433" s="1">
        <v>45713</v>
      </c>
      <c r="H1433" t="s">
        <v>27</v>
      </c>
      <c r="I1433" t="s">
        <v>35</v>
      </c>
      <c r="J1433">
        <v>5</v>
      </c>
      <c r="K1433" t="s">
        <v>19</v>
      </c>
      <c r="L1433" t="s">
        <v>334</v>
      </c>
      <c r="M1433">
        <f>orders[[#This Row],[Ship Date]]-orders[[#This Row],[Order Date]]</f>
        <v>2</v>
      </c>
      <c r="N1433">
        <f>WEEKNUM(orders[[#This Row],[Order Date]])</f>
        <v>9</v>
      </c>
      <c r="O1433" t="str">
        <f>_xlfn.IFS(orders[[#This Row],[Customer Gender]]="M","Male", orders[[#This Row],[Customer Gender]]="F","Female", orders[[#This Row],[Customer Gender]]="O","Other", TRUE,"Unknown")</f>
        <v>Female</v>
      </c>
    </row>
    <row r="1434" spans="1:15">
      <c r="A1434" t="s">
        <v>1533</v>
      </c>
      <c r="B1434" t="s">
        <v>16</v>
      </c>
      <c r="C1434">
        <v>2</v>
      </c>
      <c r="D1434">
        <v>24.2</v>
      </c>
      <c r="E1434">
        <v>48.4</v>
      </c>
      <c r="F1434" s="1">
        <v>45711</v>
      </c>
      <c r="G1434" s="1">
        <v>45713</v>
      </c>
      <c r="H1434" t="s">
        <v>27</v>
      </c>
      <c r="I1434" t="s">
        <v>51</v>
      </c>
      <c r="J1434">
        <v>5</v>
      </c>
      <c r="K1434" t="s">
        <v>19</v>
      </c>
      <c r="L1434" t="s">
        <v>33</v>
      </c>
      <c r="M1434">
        <f>orders[[#This Row],[Ship Date]]-orders[[#This Row],[Order Date]]</f>
        <v>2</v>
      </c>
      <c r="N1434">
        <f>WEEKNUM(orders[[#This Row],[Order Date]])</f>
        <v>9</v>
      </c>
      <c r="O1434" t="str">
        <f>_xlfn.IFS(orders[[#This Row],[Customer Gender]]="M","Male", orders[[#This Row],[Customer Gender]]="F","Female", orders[[#This Row],[Customer Gender]]="O","Other", TRUE,"Unknown")</f>
        <v>Female</v>
      </c>
    </row>
    <row r="1435" spans="1:15">
      <c r="A1435" t="s">
        <v>1534</v>
      </c>
      <c r="B1435" t="s">
        <v>30</v>
      </c>
      <c r="C1435">
        <v>1</v>
      </c>
      <c r="D1435">
        <v>57.3</v>
      </c>
      <c r="E1435">
        <v>57.3</v>
      </c>
      <c r="F1435" s="1">
        <v>45711</v>
      </c>
      <c r="G1435" s="1">
        <v>45713</v>
      </c>
      <c r="H1435" t="s">
        <v>23</v>
      </c>
      <c r="I1435" t="s">
        <v>18</v>
      </c>
      <c r="J1435">
        <v>4</v>
      </c>
      <c r="K1435" t="s">
        <v>19</v>
      </c>
      <c r="L1435" t="s">
        <v>33</v>
      </c>
      <c r="M1435">
        <f>orders[[#This Row],[Ship Date]]-orders[[#This Row],[Order Date]]</f>
        <v>2</v>
      </c>
      <c r="N1435">
        <f>WEEKNUM(orders[[#This Row],[Order Date]])</f>
        <v>9</v>
      </c>
      <c r="O1435" t="str">
        <f>_xlfn.IFS(orders[[#This Row],[Customer Gender]]="M","Male", orders[[#This Row],[Customer Gender]]="F","Female", orders[[#This Row],[Customer Gender]]="O","Other", TRUE,"Unknown")</f>
        <v>Male</v>
      </c>
    </row>
    <row r="1436" spans="1:15">
      <c r="A1436" t="s">
        <v>1535</v>
      </c>
      <c r="B1436" t="s">
        <v>26</v>
      </c>
      <c r="C1436">
        <v>1</v>
      </c>
      <c r="D1436">
        <v>108.9</v>
      </c>
      <c r="E1436">
        <v>108.9</v>
      </c>
      <c r="F1436" s="1">
        <v>45711</v>
      </c>
      <c r="G1436" s="1">
        <v>45713</v>
      </c>
      <c r="H1436" t="s">
        <v>27</v>
      </c>
      <c r="I1436" t="s">
        <v>35</v>
      </c>
      <c r="J1436">
        <v>4</v>
      </c>
      <c r="K1436" t="s">
        <v>19</v>
      </c>
      <c r="L1436" t="s">
        <v>33</v>
      </c>
      <c r="M1436">
        <f>orders[[#This Row],[Ship Date]]-orders[[#This Row],[Order Date]]</f>
        <v>2</v>
      </c>
      <c r="N1436">
        <f>WEEKNUM(orders[[#This Row],[Order Date]])</f>
        <v>9</v>
      </c>
      <c r="O1436" t="str">
        <f>_xlfn.IFS(orders[[#This Row],[Customer Gender]]="M","Male", orders[[#This Row],[Customer Gender]]="F","Female", orders[[#This Row],[Customer Gender]]="O","Other", TRUE,"Unknown")</f>
        <v>Female</v>
      </c>
    </row>
    <row r="1437" spans="1:15">
      <c r="A1437" t="s">
        <v>1536</v>
      </c>
      <c r="B1437" t="s">
        <v>42</v>
      </c>
      <c r="C1437">
        <v>5</v>
      </c>
      <c r="D1437">
        <v>50.7</v>
      </c>
      <c r="E1437">
        <v>253.5</v>
      </c>
      <c r="F1437" s="1">
        <v>45711</v>
      </c>
      <c r="G1437" s="1">
        <v>45712</v>
      </c>
      <c r="H1437" t="s">
        <v>27</v>
      </c>
      <c r="I1437" t="s">
        <v>18</v>
      </c>
      <c r="J1437">
        <v>4</v>
      </c>
      <c r="K1437" t="s">
        <v>19</v>
      </c>
      <c r="L1437" t="s">
        <v>33</v>
      </c>
      <c r="M1437">
        <f>orders[[#This Row],[Ship Date]]-orders[[#This Row],[Order Date]]</f>
        <v>1</v>
      </c>
      <c r="N1437">
        <f>WEEKNUM(orders[[#This Row],[Order Date]])</f>
        <v>9</v>
      </c>
      <c r="O1437" t="str">
        <f>_xlfn.IFS(orders[[#This Row],[Customer Gender]]="M","Male", orders[[#This Row],[Customer Gender]]="F","Female", orders[[#This Row],[Customer Gender]]="O","Other", TRUE,"Unknown")</f>
        <v>Female</v>
      </c>
    </row>
    <row r="1438" spans="1:15">
      <c r="A1438" t="s">
        <v>1537</v>
      </c>
      <c r="B1438" t="s">
        <v>42</v>
      </c>
      <c r="C1438">
        <v>9</v>
      </c>
      <c r="D1438">
        <v>66.099999999999994</v>
      </c>
      <c r="E1438">
        <v>594.9</v>
      </c>
      <c r="F1438" s="1">
        <v>45711</v>
      </c>
      <c r="G1438" s="1">
        <v>45725</v>
      </c>
      <c r="H1438" t="s">
        <v>27</v>
      </c>
      <c r="I1438" t="s">
        <v>35</v>
      </c>
      <c r="J1438">
        <v>4</v>
      </c>
      <c r="K1438" t="s">
        <v>19</v>
      </c>
      <c r="L1438" t="s">
        <v>33</v>
      </c>
      <c r="M1438">
        <f>orders[[#This Row],[Ship Date]]-orders[[#This Row],[Order Date]]</f>
        <v>14</v>
      </c>
      <c r="N1438">
        <f>WEEKNUM(orders[[#This Row],[Order Date]])</f>
        <v>9</v>
      </c>
      <c r="O1438" t="str">
        <f>_xlfn.IFS(orders[[#This Row],[Customer Gender]]="M","Male", orders[[#This Row],[Customer Gender]]="F","Female", orders[[#This Row],[Customer Gender]]="O","Other", TRUE,"Unknown")</f>
        <v>Female</v>
      </c>
    </row>
    <row r="1439" spans="1:15">
      <c r="A1439" t="s">
        <v>1538</v>
      </c>
      <c r="B1439" t="s">
        <v>69</v>
      </c>
      <c r="C1439">
        <v>5</v>
      </c>
      <c r="D1439">
        <v>36.700000000000003</v>
      </c>
      <c r="E1439">
        <v>183.5</v>
      </c>
      <c r="F1439" s="1">
        <v>45711</v>
      </c>
      <c r="G1439" s="1">
        <v>45715</v>
      </c>
      <c r="H1439" t="s">
        <v>27</v>
      </c>
      <c r="I1439" t="s">
        <v>70</v>
      </c>
      <c r="J1439">
        <v>4</v>
      </c>
      <c r="K1439" t="s">
        <v>19</v>
      </c>
      <c r="L1439" t="s">
        <v>33</v>
      </c>
      <c r="M1439">
        <f>orders[[#This Row],[Ship Date]]-orders[[#This Row],[Order Date]]</f>
        <v>4</v>
      </c>
      <c r="N1439">
        <f>WEEKNUM(orders[[#This Row],[Order Date]])</f>
        <v>9</v>
      </c>
      <c r="O1439" t="str">
        <f>_xlfn.IFS(orders[[#This Row],[Customer Gender]]="M","Male", orders[[#This Row],[Customer Gender]]="F","Female", orders[[#This Row],[Customer Gender]]="O","Other", TRUE,"Unknown")</f>
        <v>Female</v>
      </c>
    </row>
    <row r="1440" spans="1:15">
      <c r="A1440" t="s">
        <v>1539</v>
      </c>
      <c r="B1440" t="s">
        <v>44</v>
      </c>
      <c r="C1440">
        <v>17</v>
      </c>
      <c r="D1440">
        <v>19.3</v>
      </c>
      <c r="E1440">
        <v>328.1</v>
      </c>
      <c r="F1440" s="1">
        <v>45711</v>
      </c>
      <c r="G1440" s="1">
        <v>45713</v>
      </c>
      <c r="H1440" t="s">
        <v>23</v>
      </c>
      <c r="I1440" t="s">
        <v>18</v>
      </c>
      <c r="J1440">
        <v>4</v>
      </c>
      <c r="K1440" t="s">
        <v>19</v>
      </c>
      <c r="L1440" t="s">
        <v>545</v>
      </c>
      <c r="M1440">
        <f>orders[[#This Row],[Ship Date]]-orders[[#This Row],[Order Date]]</f>
        <v>2</v>
      </c>
      <c r="N1440">
        <f>WEEKNUM(orders[[#This Row],[Order Date]])</f>
        <v>9</v>
      </c>
      <c r="O1440" t="str">
        <f>_xlfn.IFS(orders[[#This Row],[Customer Gender]]="M","Male", orders[[#This Row],[Customer Gender]]="F","Female", orders[[#This Row],[Customer Gender]]="O","Other", TRUE,"Unknown")</f>
        <v>Male</v>
      </c>
    </row>
    <row r="1441" spans="1:15">
      <c r="A1441" t="s">
        <v>1540</v>
      </c>
      <c r="B1441" t="s">
        <v>44</v>
      </c>
      <c r="C1441">
        <v>4</v>
      </c>
      <c r="D1441">
        <v>20.7</v>
      </c>
      <c r="E1441">
        <v>82.8</v>
      </c>
      <c r="F1441" s="1">
        <v>45711</v>
      </c>
      <c r="G1441" s="1">
        <v>45712</v>
      </c>
      <c r="H1441" t="s">
        <v>23</v>
      </c>
      <c r="I1441" t="s">
        <v>35</v>
      </c>
      <c r="J1441">
        <v>5</v>
      </c>
      <c r="K1441" t="s">
        <v>19</v>
      </c>
      <c r="L1441" t="s">
        <v>55</v>
      </c>
      <c r="M1441">
        <f>orders[[#This Row],[Ship Date]]-orders[[#This Row],[Order Date]]</f>
        <v>1</v>
      </c>
      <c r="N1441">
        <f>WEEKNUM(orders[[#This Row],[Order Date]])</f>
        <v>9</v>
      </c>
      <c r="O1441" t="str">
        <f>_xlfn.IFS(orders[[#This Row],[Customer Gender]]="M","Male", orders[[#This Row],[Customer Gender]]="F","Female", orders[[#This Row],[Customer Gender]]="O","Other", TRUE,"Unknown")</f>
        <v>Male</v>
      </c>
    </row>
    <row r="1442" spans="1:15">
      <c r="A1442" t="s">
        <v>1541</v>
      </c>
      <c r="B1442" t="s">
        <v>37</v>
      </c>
      <c r="C1442">
        <v>3</v>
      </c>
      <c r="D1442">
        <v>54.7</v>
      </c>
      <c r="E1442">
        <v>164.10000000000002</v>
      </c>
      <c r="F1442" s="1">
        <v>45711</v>
      </c>
      <c r="G1442" s="1">
        <v>45711</v>
      </c>
      <c r="H1442" t="s">
        <v>89</v>
      </c>
      <c r="I1442" t="s">
        <v>35</v>
      </c>
      <c r="J1442">
        <v>2</v>
      </c>
      <c r="K1442" t="s">
        <v>19</v>
      </c>
      <c r="L1442" t="s">
        <v>55</v>
      </c>
      <c r="M1442">
        <f>orders[[#This Row],[Ship Date]]-orders[[#This Row],[Order Date]]</f>
        <v>0</v>
      </c>
      <c r="N1442">
        <f>WEEKNUM(orders[[#This Row],[Order Date]])</f>
        <v>9</v>
      </c>
      <c r="O1442" t="str">
        <f>_xlfn.IFS(orders[[#This Row],[Customer Gender]]="M","Male", orders[[#This Row],[Customer Gender]]="F","Female", orders[[#This Row],[Customer Gender]]="O","Other", TRUE,"Unknown")</f>
        <v>Other</v>
      </c>
    </row>
    <row r="1443" spans="1:15">
      <c r="A1443" t="s">
        <v>1542</v>
      </c>
      <c r="B1443" t="s">
        <v>32</v>
      </c>
      <c r="C1443">
        <v>2</v>
      </c>
      <c r="D1443">
        <v>19.8</v>
      </c>
      <c r="E1443">
        <v>39.6</v>
      </c>
      <c r="F1443" s="1">
        <v>45711</v>
      </c>
      <c r="G1443" s="1">
        <v>45715</v>
      </c>
      <c r="H1443" t="s">
        <v>27</v>
      </c>
      <c r="I1443" t="s">
        <v>70</v>
      </c>
      <c r="J1443">
        <v>3</v>
      </c>
      <c r="K1443" t="s">
        <v>19</v>
      </c>
      <c r="L1443" t="s">
        <v>62</v>
      </c>
      <c r="M1443">
        <f>orders[[#This Row],[Ship Date]]-orders[[#This Row],[Order Date]]</f>
        <v>4</v>
      </c>
      <c r="N1443">
        <f>WEEKNUM(orders[[#This Row],[Order Date]])</f>
        <v>9</v>
      </c>
      <c r="O1443" t="str">
        <f>_xlfn.IFS(orders[[#This Row],[Customer Gender]]="M","Male", orders[[#This Row],[Customer Gender]]="F","Female", orders[[#This Row],[Customer Gender]]="O","Other", TRUE,"Unknown")</f>
        <v>Female</v>
      </c>
    </row>
    <row r="1444" spans="1:15">
      <c r="A1444" t="s">
        <v>1543</v>
      </c>
      <c r="B1444" t="s">
        <v>42</v>
      </c>
      <c r="C1444">
        <v>1</v>
      </c>
      <c r="D1444">
        <v>41.1</v>
      </c>
      <c r="E1444">
        <v>41.1</v>
      </c>
      <c r="F1444" s="1">
        <v>45711</v>
      </c>
      <c r="G1444" s="1">
        <v>45713</v>
      </c>
      <c r="H1444" t="s">
        <v>27</v>
      </c>
      <c r="I1444" t="s">
        <v>18</v>
      </c>
      <c r="J1444">
        <v>5</v>
      </c>
      <c r="K1444" t="s">
        <v>19</v>
      </c>
      <c r="L1444" t="s">
        <v>62</v>
      </c>
      <c r="M1444">
        <f>orders[[#This Row],[Ship Date]]-orders[[#This Row],[Order Date]]</f>
        <v>2</v>
      </c>
      <c r="N1444">
        <f>WEEKNUM(orders[[#This Row],[Order Date]])</f>
        <v>9</v>
      </c>
      <c r="O1444" t="str">
        <f>_xlfn.IFS(orders[[#This Row],[Customer Gender]]="M","Male", orders[[#This Row],[Customer Gender]]="F","Female", orders[[#This Row],[Customer Gender]]="O","Other", TRUE,"Unknown")</f>
        <v>Female</v>
      </c>
    </row>
    <row r="1445" spans="1:15">
      <c r="A1445" t="s">
        <v>1544</v>
      </c>
      <c r="B1445" t="s">
        <v>67</v>
      </c>
      <c r="C1445">
        <v>8</v>
      </c>
      <c r="D1445">
        <v>43.5</v>
      </c>
      <c r="E1445">
        <v>348</v>
      </c>
      <c r="F1445" s="1">
        <v>45711</v>
      </c>
      <c r="G1445" s="1">
        <v>45715</v>
      </c>
      <c r="H1445" t="s">
        <v>27</v>
      </c>
      <c r="I1445" t="s">
        <v>51</v>
      </c>
      <c r="J1445">
        <v>4</v>
      </c>
      <c r="K1445" t="s">
        <v>19</v>
      </c>
      <c r="L1445" t="s">
        <v>62</v>
      </c>
      <c r="M1445">
        <f>orders[[#This Row],[Ship Date]]-orders[[#This Row],[Order Date]]</f>
        <v>4</v>
      </c>
      <c r="N1445">
        <f>WEEKNUM(orders[[#This Row],[Order Date]])</f>
        <v>9</v>
      </c>
      <c r="O1445" t="str">
        <f>_xlfn.IFS(orders[[#This Row],[Customer Gender]]="M","Male", orders[[#This Row],[Customer Gender]]="F","Female", orders[[#This Row],[Customer Gender]]="O","Other", TRUE,"Unknown")</f>
        <v>Female</v>
      </c>
    </row>
    <row r="1446" spans="1:15">
      <c r="A1446" t="s">
        <v>1545</v>
      </c>
      <c r="B1446" t="s">
        <v>44</v>
      </c>
      <c r="C1446">
        <v>14</v>
      </c>
      <c r="D1446">
        <v>19</v>
      </c>
      <c r="E1446">
        <v>266</v>
      </c>
      <c r="F1446" s="1">
        <v>45711</v>
      </c>
      <c r="G1446" s="1">
        <v>45712</v>
      </c>
      <c r="H1446" t="s">
        <v>23</v>
      </c>
      <c r="I1446" t="s">
        <v>18</v>
      </c>
      <c r="J1446">
        <v>4</v>
      </c>
      <c r="K1446" t="s">
        <v>19</v>
      </c>
      <c r="L1446" t="s">
        <v>201</v>
      </c>
      <c r="M1446">
        <f>orders[[#This Row],[Ship Date]]-orders[[#This Row],[Order Date]]</f>
        <v>1</v>
      </c>
      <c r="N1446">
        <f>WEEKNUM(orders[[#This Row],[Order Date]])</f>
        <v>9</v>
      </c>
      <c r="O1446" t="str">
        <f>_xlfn.IFS(orders[[#This Row],[Customer Gender]]="M","Male", orders[[#This Row],[Customer Gender]]="F","Female", orders[[#This Row],[Customer Gender]]="O","Other", TRUE,"Unknown")</f>
        <v>Male</v>
      </c>
    </row>
    <row r="1447" spans="1:15">
      <c r="A1447" t="s">
        <v>1546</v>
      </c>
      <c r="B1447" t="s">
        <v>26</v>
      </c>
      <c r="C1447">
        <v>4</v>
      </c>
      <c r="D1447">
        <v>51.4</v>
      </c>
      <c r="E1447">
        <v>205.6</v>
      </c>
      <c r="F1447" s="1">
        <v>45711</v>
      </c>
      <c r="G1447" s="1">
        <v>45711</v>
      </c>
      <c r="H1447" t="s">
        <v>27</v>
      </c>
      <c r="I1447" t="s">
        <v>18</v>
      </c>
      <c r="J1447">
        <v>4</v>
      </c>
      <c r="K1447" t="s">
        <v>19</v>
      </c>
      <c r="L1447" t="s">
        <v>201</v>
      </c>
      <c r="M1447">
        <f>orders[[#This Row],[Ship Date]]-orders[[#This Row],[Order Date]]</f>
        <v>0</v>
      </c>
      <c r="N1447">
        <f>WEEKNUM(orders[[#This Row],[Order Date]])</f>
        <v>9</v>
      </c>
      <c r="O1447" t="str">
        <f>_xlfn.IFS(orders[[#This Row],[Customer Gender]]="M","Male", orders[[#This Row],[Customer Gender]]="F","Female", orders[[#This Row],[Customer Gender]]="O","Other", TRUE,"Unknown")</f>
        <v>Female</v>
      </c>
    </row>
    <row r="1448" spans="1:15">
      <c r="A1448" t="s">
        <v>1547</v>
      </c>
      <c r="B1448" t="s">
        <v>54</v>
      </c>
      <c r="C1448">
        <v>2</v>
      </c>
      <c r="D1448">
        <v>39.799999999999997</v>
      </c>
      <c r="E1448">
        <v>79.599999999999994</v>
      </c>
      <c r="F1448" s="1">
        <v>45711</v>
      </c>
      <c r="G1448" s="1">
        <v>45714</v>
      </c>
      <c r="H1448" t="s">
        <v>23</v>
      </c>
      <c r="I1448" t="s">
        <v>51</v>
      </c>
      <c r="J1448">
        <v>3</v>
      </c>
      <c r="K1448" t="s">
        <v>19</v>
      </c>
      <c r="L1448" t="s">
        <v>82</v>
      </c>
      <c r="M1448">
        <f>orders[[#This Row],[Ship Date]]-orders[[#This Row],[Order Date]]</f>
        <v>3</v>
      </c>
      <c r="N1448">
        <f>WEEKNUM(orders[[#This Row],[Order Date]])</f>
        <v>9</v>
      </c>
      <c r="O1448" t="str">
        <f>_xlfn.IFS(orders[[#This Row],[Customer Gender]]="M","Male", orders[[#This Row],[Customer Gender]]="F","Female", orders[[#This Row],[Customer Gender]]="O","Other", TRUE,"Unknown")</f>
        <v>Male</v>
      </c>
    </row>
    <row r="1449" spans="1:15">
      <c r="A1449" t="s">
        <v>1548</v>
      </c>
      <c r="B1449" t="s">
        <v>39</v>
      </c>
      <c r="C1449">
        <v>5</v>
      </c>
      <c r="D1449">
        <v>61</v>
      </c>
      <c r="E1449">
        <v>305</v>
      </c>
      <c r="F1449" s="1">
        <v>45711</v>
      </c>
      <c r="G1449" s="1">
        <v>45712</v>
      </c>
      <c r="H1449" t="s">
        <v>17</v>
      </c>
      <c r="I1449" t="s">
        <v>18</v>
      </c>
      <c r="J1449">
        <v>5</v>
      </c>
      <c r="K1449" t="s">
        <v>19</v>
      </c>
      <c r="L1449" t="s">
        <v>115</v>
      </c>
      <c r="M1449">
        <f>orders[[#This Row],[Ship Date]]-orders[[#This Row],[Order Date]]</f>
        <v>1</v>
      </c>
      <c r="N1449">
        <f>WEEKNUM(orders[[#This Row],[Order Date]])</f>
        <v>9</v>
      </c>
      <c r="O1449" t="str">
        <f>_xlfn.IFS(orders[[#This Row],[Customer Gender]]="M","Male", orders[[#This Row],[Customer Gender]]="F","Female", orders[[#This Row],[Customer Gender]]="O","Other", TRUE,"Unknown")</f>
        <v>Unknown</v>
      </c>
    </row>
    <row r="1450" spans="1:15">
      <c r="A1450" t="s">
        <v>1549</v>
      </c>
      <c r="B1450" t="s">
        <v>44</v>
      </c>
      <c r="C1450">
        <v>11</v>
      </c>
      <c r="D1450">
        <v>15.1</v>
      </c>
      <c r="E1450">
        <v>166.1</v>
      </c>
      <c r="F1450" s="1">
        <v>45712</v>
      </c>
      <c r="G1450" s="1">
        <v>45717</v>
      </c>
      <c r="H1450" t="s">
        <v>23</v>
      </c>
      <c r="I1450" t="s">
        <v>51</v>
      </c>
      <c r="J1450">
        <v>5</v>
      </c>
      <c r="K1450" t="s">
        <v>19</v>
      </c>
      <c r="L1450" t="s">
        <v>28</v>
      </c>
      <c r="M1450">
        <f>orders[[#This Row],[Ship Date]]-orders[[#This Row],[Order Date]]</f>
        <v>5</v>
      </c>
      <c r="N1450">
        <f>WEEKNUM(orders[[#This Row],[Order Date]])</f>
        <v>9</v>
      </c>
      <c r="O1450" t="str">
        <f>_xlfn.IFS(orders[[#This Row],[Customer Gender]]="M","Male", orders[[#This Row],[Customer Gender]]="F","Female", orders[[#This Row],[Customer Gender]]="O","Other", TRUE,"Unknown")</f>
        <v>Male</v>
      </c>
    </row>
    <row r="1451" spans="1:15">
      <c r="A1451" t="s">
        <v>1550</v>
      </c>
      <c r="B1451" t="s">
        <v>22</v>
      </c>
      <c r="C1451">
        <v>7</v>
      </c>
      <c r="D1451">
        <v>71.3</v>
      </c>
      <c r="E1451">
        <v>499.09999999999997</v>
      </c>
      <c r="F1451" s="1">
        <v>45712</v>
      </c>
      <c r="G1451" s="1">
        <v>45713</v>
      </c>
      <c r="H1451" t="s">
        <v>23</v>
      </c>
      <c r="I1451" t="s">
        <v>70</v>
      </c>
      <c r="J1451">
        <v>4</v>
      </c>
      <c r="K1451" t="s">
        <v>19</v>
      </c>
      <c r="L1451" t="s">
        <v>33</v>
      </c>
      <c r="M1451">
        <f>orders[[#This Row],[Ship Date]]-orders[[#This Row],[Order Date]]</f>
        <v>1</v>
      </c>
      <c r="N1451">
        <f>WEEKNUM(orders[[#This Row],[Order Date]])</f>
        <v>9</v>
      </c>
      <c r="O1451" t="str">
        <f>_xlfn.IFS(orders[[#This Row],[Customer Gender]]="M","Male", orders[[#This Row],[Customer Gender]]="F","Female", orders[[#This Row],[Customer Gender]]="O","Other", TRUE,"Unknown")</f>
        <v>Male</v>
      </c>
    </row>
    <row r="1452" spans="1:15">
      <c r="A1452" t="s">
        <v>1551</v>
      </c>
      <c r="B1452" t="s">
        <v>54</v>
      </c>
      <c r="C1452">
        <v>1</v>
      </c>
      <c r="D1452">
        <v>25.8</v>
      </c>
      <c r="E1452">
        <v>25.8</v>
      </c>
      <c r="F1452" s="1">
        <v>45712</v>
      </c>
      <c r="G1452" s="1">
        <v>45714</v>
      </c>
      <c r="H1452" t="s">
        <v>27</v>
      </c>
      <c r="I1452" t="s">
        <v>18</v>
      </c>
      <c r="J1452">
        <v>5</v>
      </c>
      <c r="K1452" t="s">
        <v>19</v>
      </c>
      <c r="L1452" t="s">
        <v>33</v>
      </c>
      <c r="M1452">
        <f>orders[[#This Row],[Ship Date]]-orders[[#This Row],[Order Date]]</f>
        <v>2</v>
      </c>
      <c r="N1452">
        <f>WEEKNUM(orders[[#This Row],[Order Date]])</f>
        <v>9</v>
      </c>
      <c r="O1452" t="str">
        <f>_xlfn.IFS(orders[[#This Row],[Customer Gender]]="M","Male", orders[[#This Row],[Customer Gender]]="F","Female", orders[[#This Row],[Customer Gender]]="O","Other", TRUE,"Unknown")</f>
        <v>Female</v>
      </c>
    </row>
    <row r="1453" spans="1:15">
      <c r="A1453" t="s">
        <v>1552</v>
      </c>
      <c r="B1453" t="s">
        <v>44</v>
      </c>
      <c r="C1453">
        <v>5</v>
      </c>
      <c r="D1453">
        <v>39.6</v>
      </c>
      <c r="E1453">
        <v>198</v>
      </c>
      <c r="F1453" s="1">
        <v>45712</v>
      </c>
      <c r="G1453" s="1">
        <v>45714</v>
      </c>
      <c r="H1453" t="s">
        <v>23</v>
      </c>
      <c r="I1453" t="s">
        <v>35</v>
      </c>
      <c r="J1453">
        <v>5</v>
      </c>
      <c r="K1453" t="s">
        <v>19</v>
      </c>
      <c r="L1453" t="s">
        <v>33</v>
      </c>
      <c r="M1453">
        <f>orders[[#This Row],[Ship Date]]-orders[[#This Row],[Order Date]]</f>
        <v>2</v>
      </c>
      <c r="N1453">
        <f>WEEKNUM(orders[[#This Row],[Order Date]])</f>
        <v>9</v>
      </c>
      <c r="O1453" t="str">
        <f>_xlfn.IFS(orders[[#This Row],[Customer Gender]]="M","Male", orders[[#This Row],[Customer Gender]]="F","Female", orders[[#This Row],[Customer Gender]]="O","Other", TRUE,"Unknown")</f>
        <v>Male</v>
      </c>
    </row>
    <row r="1454" spans="1:15">
      <c r="A1454" t="s">
        <v>1553</v>
      </c>
      <c r="B1454" t="s">
        <v>37</v>
      </c>
      <c r="C1454">
        <v>2</v>
      </c>
      <c r="D1454">
        <v>64</v>
      </c>
      <c r="E1454">
        <v>128</v>
      </c>
      <c r="F1454" s="1">
        <v>45712</v>
      </c>
      <c r="G1454" s="1">
        <v>45712</v>
      </c>
      <c r="H1454" t="s">
        <v>23</v>
      </c>
      <c r="I1454" t="s">
        <v>35</v>
      </c>
      <c r="J1454">
        <v>3</v>
      </c>
      <c r="K1454" t="s">
        <v>19</v>
      </c>
      <c r="L1454" t="s">
        <v>33</v>
      </c>
      <c r="M1454">
        <f>orders[[#This Row],[Ship Date]]-orders[[#This Row],[Order Date]]</f>
        <v>0</v>
      </c>
      <c r="N1454">
        <f>WEEKNUM(orders[[#This Row],[Order Date]])</f>
        <v>9</v>
      </c>
      <c r="O1454" t="str">
        <f>_xlfn.IFS(orders[[#This Row],[Customer Gender]]="M","Male", orders[[#This Row],[Customer Gender]]="F","Female", orders[[#This Row],[Customer Gender]]="O","Other", TRUE,"Unknown")</f>
        <v>Male</v>
      </c>
    </row>
    <row r="1455" spans="1:15">
      <c r="A1455" t="s">
        <v>1554</v>
      </c>
      <c r="B1455" t="s">
        <v>44</v>
      </c>
      <c r="C1455">
        <v>2</v>
      </c>
      <c r="D1455">
        <v>30.6</v>
      </c>
      <c r="E1455">
        <v>61.2</v>
      </c>
      <c r="F1455" s="1">
        <v>45712</v>
      </c>
      <c r="G1455" s="1">
        <v>45715</v>
      </c>
      <c r="H1455" t="s">
        <v>23</v>
      </c>
      <c r="I1455" t="s">
        <v>18</v>
      </c>
      <c r="J1455">
        <v>5</v>
      </c>
      <c r="K1455" t="s">
        <v>19</v>
      </c>
      <c r="L1455" t="s">
        <v>33</v>
      </c>
      <c r="M1455">
        <f>orders[[#This Row],[Ship Date]]-orders[[#This Row],[Order Date]]</f>
        <v>3</v>
      </c>
      <c r="N1455">
        <f>WEEKNUM(orders[[#This Row],[Order Date]])</f>
        <v>9</v>
      </c>
      <c r="O1455" t="str">
        <f>_xlfn.IFS(orders[[#This Row],[Customer Gender]]="M","Male", orders[[#This Row],[Customer Gender]]="F","Female", orders[[#This Row],[Customer Gender]]="O","Other", TRUE,"Unknown")</f>
        <v>Male</v>
      </c>
    </row>
    <row r="1456" spans="1:15">
      <c r="A1456" t="s">
        <v>1555</v>
      </c>
      <c r="B1456" t="s">
        <v>44</v>
      </c>
      <c r="C1456">
        <v>2</v>
      </c>
      <c r="D1456">
        <v>21.3</v>
      </c>
      <c r="E1456">
        <v>42.6</v>
      </c>
      <c r="F1456" s="1">
        <v>45712</v>
      </c>
      <c r="G1456" s="1">
        <v>45713</v>
      </c>
      <c r="H1456" t="s">
        <v>23</v>
      </c>
      <c r="I1456" t="s">
        <v>18</v>
      </c>
      <c r="J1456">
        <v>3</v>
      </c>
      <c r="K1456" t="s">
        <v>19</v>
      </c>
      <c r="L1456" t="s">
        <v>33</v>
      </c>
      <c r="M1456">
        <f>orders[[#This Row],[Ship Date]]-orders[[#This Row],[Order Date]]</f>
        <v>1</v>
      </c>
      <c r="N1456">
        <f>WEEKNUM(orders[[#This Row],[Order Date]])</f>
        <v>9</v>
      </c>
      <c r="O1456" t="str">
        <f>_xlfn.IFS(orders[[#This Row],[Customer Gender]]="M","Male", orders[[#This Row],[Customer Gender]]="F","Female", orders[[#This Row],[Customer Gender]]="O","Other", TRUE,"Unknown")</f>
        <v>Male</v>
      </c>
    </row>
    <row r="1457" spans="1:15">
      <c r="A1457" t="s">
        <v>1556</v>
      </c>
      <c r="B1457" t="s">
        <v>42</v>
      </c>
      <c r="C1457">
        <v>1</v>
      </c>
      <c r="D1457">
        <v>40.799999999999997</v>
      </c>
      <c r="E1457">
        <v>40.799999999999997</v>
      </c>
      <c r="F1457" s="1">
        <v>45712</v>
      </c>
      <c r="G1457" s="1">
        <v>45714</v>
      </c>
      <c r="H1457" t="s">
        <v>27</v>
      </c>
      <c r="I1457" t="s">
        <v>70</v>
      </c>
      <c r="J1457">
        <v>4</v>
      </c>
      <c r="K1457" t="s">
        <v>19</v>
      </c>
      <c r="L1457" t="s">
        <v>33</v>
      </c>
      <c r="M1457">
        <f>orders[[#This Row],[Ship Date]]-orders[[#This Row],[Order Date]]</f>
        <v>2</v>
      </c>
      <c r="N1457">
        <f>WEEKNUM(orders[[#This Row],[Order Date]])</f>
        <v>9</v>
      </c>
      <c r="O1457" t="str">
        <f>_xlfn.IFS(orders[[#This Row],[Customer Gender]]="M","Male", orders[[#This Row],[Customer Gender]]="F","Female", orders[[#This Row],[Customer Gender]]="O","Other", TRUE,"Unknown")</f>
        <v>Female</v>
      </c>
    </row>
    <row r="1458" spans="1:15">
      <c r="A1458" t="s">
        <v>1557</v>
      </c>
      <c r="B1458" t="s">
        <v>46</v>
      </c>
      <c r="C1458">
        <v>4</v>
      </c>
      <c r="D1458">
        <v>27.7</v>
      </c>
      <c r="E1458">
        <v>110.8</v>
      </c>
      <c r="F1458" s="1">
        <v>45712</v>
      </c>
      <c r="G1458" s="1">
        <v>45713</v>
      </c>
      <c r="H1458" t="s">
        <v>27</v>
      </c>
      <c r="I1458" t="s">
        <v>18</v>
      </c>
      <c r="J1458">
        <v>3</v>
      </c>
      <c r="K1458" t="s">
        <v>19</v>
      </c>
      <c r="L1458" t="s">
        <v>33</v>
      </c>
      <c r="M1458">
        <f>orders[[#This Row],[Ship Date]]-orders[[#This Row],[Order Date]]</f>
        <v>1</v>
      </c>
      <c r="N1458">
        <f>WEEKNUM(orders[[#This Row],[Order Date]])</f>
        <v>9</v>
      </c>
      <c r="O1458" t="str">
        <f>_xlfn.IFS(orders[[#This Row],[Customer Gender]]="M","Male", orders[[#This Row],[Customer Gender]]="F","Female", orders[[#This Row],[Customer Gender]]="O","Other", TRUE,"Unknown")</f>
        <v>Female</v>
      </c>
    </row>
    <row r="1459" spans="1:15">
      <c r="A1459" t="s">
        <v>1558</v>
      </c>
      <c r="B1459" t="s">
        <v>39</v>
      </c>
      <c r="C1459">
        <v>2</v>
      </c>
      <c r="D1459">
        <v>64.599999999999994</v>
      </c>
      <c r="E1459">
        <v>129.19999999999999</v>
      </c>
      <c r="F1459" s="1">
        <v>45712</v>
      </c>
      <c r="G1459" s="1">
        <v>45713</v>
      </c>
      <c r="H1459" t="s">
        <v>23</v>
      </c>
      <c r="I1459" t="s">
        <v>18</v>
      </c>
      <c r="J1459">
        <v>3</v>
      </c>
      <c r="K1459" t="s">
        <v>19</v>
      </c>
      <c r="L1459" t="s">
        <v>33</v>
      </c>
      <c r="M1459">
        <f>orders[[#This Row],[Ship Date]]-orders[[#This Row],[Order Date]]</f>
        <v>1</v>
      </c>
      <c r="N1459">
        <f>WEEKNUM(orders[[#This Row],[Order Date]])</f>
        <v>9</v>
      </c>
      <c r="O1459" t="str">
        <f>_xlfn.IFS(orders[[#This Row],[Customer Gender]]="M","Male", orders[[#This Row],[Customer Gender]]="F","Female", orders[[#This Row],[Customer Gender]]="O","Other", TRUE,"Unknown")</f>
        <v>Male</v>
      </c>
    </row>
    <row r="1460" spans="1:15">
      <c r="A1460" t="s">
        <v>1559</v>
      </c>
      <c r="B1460" t="s">
        <v>39</v>
      </c>
      <c r="C1460">
        <v>16</v>
      </c>
      <c r="D1460">
        <v>91.1</v>
      </c>
      <c r="E1460">
        <v>1457.6</v>
      </c>
      <c r="F1460" s="1">
        <v>45712</v>
      </c>
      <c r="G1460" s="1">
        <v>45713</v>
      </c>
      <c r="H1460" t="s">
        <v>27</v>
      </c>
      <c r="I1460" t="s">
        <v>35</v>
      </c>
      <c r="J1460">
        <v>5</v>
      </c>
      <c r="K1460" t="s">
        <v>19</v>
      </c>
      <c r="L1460" t="s">
        <v>33</v>
      </c>
      <c r="M1460">
        <f>orders[[#This Row],[Ship Date]]-orders[[#This Row],[Order Date]]</f>
        <v>1</v>
      </c>
      <c r="N1460">
        <f>WEEKNUM(orders[[#This Row],[Order Date]])</f>
        <v>9</v>
      </c>
      <c r="O1460" t="str">
        <f>_xlfn.IFS(orders[[#This Row],[Customer Gender]]="M","Male", orders[[#This Row],[Customer Gender]]="F","Female", orders[[#This Row],[Customer Gender]]="O","Other", TRUE,"Unknown")</f>
        <v>Female</v>
      </c>
    </row>
    <row r="1461" spans="1:15">
      <c r="A1461" t="s">
        <v>1560</v>
      </c>
      <c r="B1461" t="s">
        <v>22</v>
      </c>
      <c r="C1461">
        <v>1</v>
      </c>
      <c r="D1461">
        <v>39.5</v>
      </c>
      <c r="E1461">
        <v>39.5</v>
      </c>
      <c r="F1461" s="1">
        <v>45712</v>
      </c>
      <c r="G1461" s="1">
        <v>45720</v>
      </c>
      <c r="H1461" t="s">
        <v>27</v>
      </c>
      <c r="I1461" t="s">
        <v>18</v>
      </c>
      <c r="J1461">
        <v>4</v>
      </c>
      <c r="K1461" t="s">
        <v>19</v>
      </c>
      <c r="L1461" t="s">
        <v>33</v>
      </c>
      <c r="M1461">
        <f>orders[[#This Row],[Ship Date]]-orders[[#This Row],[Order Date]]</f>
        <v>8</v>
      </c>
      <c r="N1461">
        <f>WEEKNUM(orders[[#This Row],[Order Date]])</f>
        <v>9</v>
      </c>
      <c r="O1461" t="str">
        <f>_xlfn.IFS(orders[[#This Row],[Customer Gender]]="M","Male", orders[[#This Row],[Customer Gender]]="F","Female", orders[[#This Row],[Customer Gender]]="O","Other", TRUE,"Unknown")</f>
        <v>Female</v>
      </c>
    </row>
    <row r="1462" spans="1:15">
      <c r="A1462" t="s">
        <v>1561</v>
      </c>
      <c r="B1462" t="s">
        <v>46</v>
      </c>
      <c r="C1462">
        <v>2</v>
      </c>
      <c r="D1462">
        <v>21.8</v>
      </c>
      <c r="E1462">
        <v>43.6</v>
      </c>
      <c r="F1462" s="1">
        <v>45712</v>
      </c>
      <c r="G1462" s="1">
        <v>45716</v>
      </c>
      <c r="H1462" t="s">
        <v>23</v>
      </c>
      <c r="I1462" t="s">
        <v>70</v>
      </c>
      <c r="J1462">
        <v>5</v>
      </c>
      <c r="K1462" t="s">
        <v>19</v>
      </c>
      <c r="L1462" t="s">
        <v>33</v>
      </c>
      <c r="M1462">
        <f>orders[[#This Row],[Ship Date]]-orders[[#This Row],[Order Date]]</f>
        <v>4</v>
      </c>
      <c r="N1462">
        <f>WEEKNUM(orders[[#This Row],[Order Date]])</f>
        <v>9</v>
      </c>
      <c r="O1462" t="str">
        <f>_xlfn.IFS(orders[[#This Row],[Customer Gender]]="M","Male", orders[[#This Row],[Customer Gender]]="F","Female", orders[[#This Row],[Customer Gender]]="O","Other", TRUE,"Unknown")</f>
        <v>Male</v>
      </c>
    </row>
    <row r="1463" spans="1:15">
      <c r="A1463" t="s">
        <v>1562</v>
      </c>
      <c r="B1463" t="s">
        <v>44</v>
      </c>
      <c r="C1463">
        <v>2</v>
      </c>
      <c r="D1463">
        <v>51</v>
      </c>
      <c r="E1463">
        <v>102</v>
      </c>
      <c r="F1463" s="1">
        <v>45712</v>
      </c>
      <c r="G1463" s="1">
        <v>45715</v>
      </c>
      <c r="H1463" t="s">
        <v>23</v>
      </c>
      <c r="I1463" t="s">
        <v>51</v>
      </c>
      <c r="J1463">
        <v>5</v>
      </c>
      <c r="K1463" t="s">
        <v>19</v>
      </c>
      <c r="L1463" t="s">
        <v>33</v>
      </c>
      <c r="M1463">
        <f>orders[[#This Row],[Ship Date]]-orders[[#This Row],[Order Date]]</f>
        <v>3</v>
      </c>
      <c r="N1463">
        <f>WEEKNUM(orders[[#This Row],[Order Date]])</f>
        <v>9</v>
      </c>
      <c r="O1463" t="str">
        <f>_xlfn.IFS(orders[[#This Row],[Customer Gender]]="M","Male", orders[[#This Row],[Customer Gender]]="F","Female", orders[[#This Row],[Customer Gender]]="O","Other", TRUE,"Unknown")</f>
        <v>Male</v>
      </c>
    </row>
    <row r="1464" spans="1:15">
      <c r="A1464" t="s">
        <v>1563</v>
      </c>
      <c r="B1464" t="s">
        <v>26</v>
      </c>
      <c r="C1464">
        <v>1</v>
      </c>
      <c r="D1464">
        <v>92.6</v>
      </c>
      <c r="E1464">
        <v>92.6</v>
      </c>
      <c r="F1464" s="1">
        <v>45712</v>
      </c>
      <c r="G1464" s="1">
        <v>45715</v>
      </c>
      <c r="H1464" t="s">
        <v>27</v>
      </c>
      <c r="I1464" t="s">
        <v>18</v>
      </c>
      <c r="J1464">
        <v>5</v>
      </c>
      <c r="K1464" t="s">
        <v>19</v>
      </c>
      <c r="L1464" t="s">
        <v>338</v>
      </c>
      <c r="M1464">
        <f>orders[[#This Row],[Ship Date]]-orders[[#This Row],[Order Date]]</f>
        <v>3</v>
      </c>
      <c r="N1464">
        <f>WEEKNUM(orders[[#This Row],[Order Date]])</f>
        <v>9</v>
      </c>
      <c r="O1464" t="str">
        <f>_xlfn.IFS(orders[[#This Row],[Customer Gender]]="M","Male", orders[[#This Row],[Customer Gender]]="F","Female", orders[[#This Row],[Customer Gender]]="O","Other", TRUE,"Unknown")</f>
        <v>Female</v>
      </c>
    </row>
    <row r="1465" spans="1:15">
      <c r="A1465" t="s">
        <v>1564</v>
      </c>
      <c r="B1465" t="s">
        <v>46</v>
      </c>
      <c r="C1465">
        <v>2</v>
      </c>
      <c r="D1465">
        <v>31.1</v>
      </c>
      <c r="E1465">
        <v>62.2</v>
      </c>
      <c r="F1465" s="1">
        <v>45712</v>
      </c>
      <c r="G1465" s="1">
        <v>45717</v>
      </c>
      <c r="H1465" t="s">
        <v>17</v>
      </c>
      <c r="I1465" t="s">
        <v>35</v>
      </c>
      <c r="J1465">
        <v>1</v>
      </c>
      <c r="K1465" t="s">
        <v>19</v>
      </c>
      <c r="L1465" t="s">
        <v>158</v>
      </c>
      <c r="M1465">
        <f>orders[[#This Row],[Ship Date]]-orders[[#This Row],[Order Date]]</f>
        <v>5</v>
      </c>
      <c r="N1465">
        <f>WEEKNUM(orders[[#This Row],[Order Date]])</f>
        <v>9</v>
      </c>
      <c r="O1465" t="str">
        <f>_xlfn.IFS(orders[[#This Row],[Customer Gender]]="M","Male", orders[[#This Row],[Customer Gender]]="F","Female", orders[[#This Row],[Customer Gender]]="O","Other", TRUE,"Unknown")</f>
        <v>Unknown</v>
      </c>
    </row>
    <row r="1466" spans="1:15">
      <c r="A1466" t="s">
        <v>1565</v>
      </c>
      <c r="B1466" t="s">
        <v>37</v>
      </c>
      <c r="C1466">
        <v>3</v>
      </c>
      <c r="D1466">
        <v>56.4</v>
      </c>
      <c r="E1466">
        <v>169.2</v>
      </c>
      <c r="F1466" s="1">
        <v>45712</v>
      </c>
      <c r="G1466" s="1">
        <v>45713</v>
      </c>
      <c r="H1466" t="s">
        <v>17</v>
      </c>
      <c r="I1466" t="s">
        <v>35</v>
      </c>
      <c r="J1466">
        <v>4</v>
      </c>
      <c r="K1466" t="s">
        <v>19</v>
      </c>
      <c r="L1466" t="s">
        <v>55</v>
      </c>
      <c r="M1466">
        <f>orders[[#This Row],[Ship Date]]-orders[[#This Row],[Order Date]]</f>
        <v>1</v>
      </c>
      <c r="N1466">
        <f>WEEKNUM(orders[[#This Row],[Order Date]])</f>
        <v>9</v>
      </c>
      <c r="O1466" t="str">
        <f>_xlfn.IFS(orders[[#This Row],[Customer Gender]]="M","Male", orders[[#This Row],[Customer Gender]]="F","Female", orders[[#This Row],[Customer Gender]]="O","Other", TRUE,"Unknown")</f>
        <v>Unknown</v>
      </c>
    </row>
    <row r="1467" spans="1:15">
      <c r="A1467" t="s">
        <v>1566</v>
      </c>
      <c r="B1467" t="s">
        <v>46</v>
      </c>
      <c r="C1467">
        <v>1</v>
      </c>
      <c r="D1467">
        <v>41.9</v>
      </c>
      <c r="E1467">
        <v>41.9</v>
      </c>
      <c r="F1467" s="1">
        <v>45712</v>
      </c>
      <c r="G1467" s="1">
        <v>45712</v>
      </c>
      <c r="H1467" t="s">
        <v>23</v>
      </c>
      <c r="I1467" t="s">
        <v>35</v>
      </c>
      <c r="J1467">
        <v>4</v>
      </c>
      <c r="K1467" t="s">
        <v>19</v>
      </c>
      <c r="L1467" t="s">
        <v>55</v>
      </c>
      <c r="M1467">
        <f>orders[[#This Row],[Ship Date]]-orders[[#This Row],[Order Date]]</f>
        <v>0</v>
      </c>
      <c r="N1467">
        <f>WEEKNUM(orders[[#This Row],[Order Date]])</f>
        <v>9</v>
      </c>
      <c r="O1467" t="str">
        <f>_xlfn.IFS(orders[[#This Row],[Customer Gender]]="M","Male", orders[[#This Row],[Customer Gender]]="F","Female", orders[[#This Row],[Customer Gender]]="O","Other", TRUE,"Unknown")</f>
        <v>Male</v>
      </c>
    </row>
    <row r="1468" spans="1:15">
      <c r="A1468" t="s">
        <v>1567</v>
      </c>
      <c r="B1468" t="s">
        <v>54</v>
      </c>
      <c r="C1468">
        <v>7</v>
      </c>
      <c r="D1468">
        <v>45.9</v>
      </c>
      <c r="E1468">
        <v>321.3</v>
      </c>
      <c r="F1468" s="1">
        <v>45712</v>
      </c>
      <c r="G1468" s="1">
        <v>45713</v>
      </c>
      <c r="H1468" t="s">
        <v>23</v>
      </c>
      <c r="I1468" t="s">
        <v>51</v>
      </c>
      <c r="J1468">
        <v>5</v>
      </c>
      <c r="K1468" t="s">
        <v>19</v>
      </c>
      <c r="L1468" t="s">
        <v>62</v>
      </c>
      <c r="M1468">
        <f>orders[[#This Row],[Ship Date]]-orders[[#This Row],[Order Date]]</f>
        <v>1</v>
      </c>
      <c r="N1468">
        <f>WEEKNUM(orders[[#This Row],[Order Date]])</f>
        <v>9</v>
      </c>
      <c r="O1468" t="str">
        <f>_xlfn.IFS(orders[[#This Row],[Customer Gender]]="M","Male", orders[[#This Row],[Customer Gender]]="F","Female", orders[[#This Row],[Customer Gender]]="O","Other", TRUE,"Unknown")</f>
        <v>Male</v>
      </c>
    </row>
    <row r="1469" spans="1:15">
      <c r="A1469" t="s">
        <v>1568</v>
      </c>
      <c r="B1469" t="s">
        <v>81</v>
      </c>
      <c r="C1469">
        <v>9</v>
      </c>
      <c r="D1469">
        <v>24.4</v>
      </c>
      <c r="E1469">
        <v>219.6</v>
      </c>
      <c r="F1469" s="1">
        <v>45712</v>
      </c>
      <c r="G1469" s="1">
        <v>45716</v>
      </c>
      <c r="H1469" t="s">
        <v>23</v>
      </c>
      <c r="I1469" t="s">
        <v>51</v>
      </c>
      <c r="J1469">
        <v>5</v>
      </c>
      <c r="K1469" t="s">
        <v>19</v>
      </c>
      <c r="L1469" t="s">
        <v>62</v>
      </c>
      <c r="M1469">
        <f>orders[[#This Row],[Ship Date]]-orders[[#This Row],[Order Date]]</f>
        <v>4</v>
      </c>
      <c r="N1469">
        <f>WEEKNUM(orders[[#This Row],[Order Date]])</f>
        <v>9</v>
      </c>
      <c r="O1469" t="str">
        <f>_xlfn.IFS(orders[[#This Row],[Customer Gender]]="M","Male", orders[[#This Row],[Customer Gender]]="F","Female", orders[[#This Row],[Customer Gender]]="O","Other", TRUE,"Unknown")</f>
        <v>Male</v>
      </c>
    </row>
    <row r="1470" spans="1:15">
      <c r="A1470" t="s">
        <v>1569</v>
      </c>
      <c r="B1470" t="s">
        <v>44</v>
      </c>
      <c r="C1470">
        <v>1</v>
      </c>
      <c r="D1470">
        <v>18.2</v>
      </c>
      <c r="E1470">
        <v>18.2</v>
      </c>
      <c r="F1470" s="1">
        <v>45712</v>
      </c>
      <c r="G1470" s="1">
        <v>45713</v>
      </c>
      <c r="H1470" t="s">
        <v>27</v>
      </c>
      <c r="I1470" t="s">
        <v>40</v>
      </c>
      <c r="J1470">
        <v>5</v>
      </c>
      <c r="K1470" t="s">
        <v>19</v>
      </c>
      <c r="L1470" t="s">
        <v>62</v>
      </c>
      <c r="M1470">
        <f>orders[[#This Row],[Ship Date]]-orders[[#This Row],[Order Date]]</f>
        <v>1</v>
      </c>
      <c r="N1470">
        <f>WEEKNUM(orders[[#This Row],[Order Date]])</f>
        <v>9</v>
      </c>
      <c r="O1470" t="str">
        <f>_xlfn.IFS(orders[[#This Row],[Customer Gender]]="M","Male", orders[[#This Row],[Customer Gender]]="F","Female", orders[[#This Row],[Customer Gender]]="O","Other", TRUE,"Unknown")</f>
        <v>Female</v>
      </c>
    </row>
    <row r="1471" spans="1:15">
      <c r="A1471" t="s">
        <v>1570</v>
      </c>
      <c r="B1471" t="s">
        <v>44</v>
      </c>
      <c r="C1471">
        <v>4</v>
      </c>
      <c r="D1471">
        <v>51.2</v>
      </c>
      <c r="E1471">
        <v>204.8</v>
      </c>
      <c r="F1471" s="1">
        <v>45712</v>
      </c>
      <c r="G1471" s="1">
        <v>45713</v>
      </c>
      <c r="H1471" t="s">
        <v>27</v>
      </c>
      <c r="I1471" t="s">
        <v>18</v>
      </c>
      <c r="J1471">
        <v>4</v>
      </c>
      <c r="K1471" t="s">
        <v>19</v>
      </c>
      <c r="L1471" t="s">
        <v>62</v>
      </c>
      <c r="M1471">
        <f>orders[[#This Row],[Ship Date]]-orders[[#This Row],[Order Date]]</f>
        <v>1</v>
      </c>
      <c r="N1471">
        <f>WEEKNUM(orders[[#This Row],[Order Date]])</f>
        <v>9</v>
      </c>
      <c r="O1471" t="str">
        <f>_xlfn.IFS(orders[[#This Row],[Customer Gender]]="M","Male", orders[[#This Row],[Customer Gender]]="F","Female", orders[[#This Row],[Customer Gender]]="O","Other", TRUE,"Unknown")</f>
        <v>Female</v>
      </c>
    </row>
    <row r="1472" spans="1:15">
      <c r="A1472" t="s">
        <v>1571</v>
      </c>
      <c r="B1472" t="s">
        <v>39</v>
      </c>
      <c r="C1472">
        <v>1</v>
      </c>
      <c r="D1472">
        <v>59.7</v>
      </c>
      <c r="E1472">
        <v>59.7</v>
      </c>
      <c r="F1472" s="1">
        <v>45712</v>
      </c>
      <c r="G1472" s="1">
        <v>45715</v>
      </c>
      <c r="H1472" t="s">
        <v>23</v>
      </c>
      <c r="I1472" t="s">
        <v>18</v>
      </c>
      <c r="J1472">
        <v>5</v>
      </c>
      <c r="K1472" t="s">
        <v>19</v>
      </c>
      <c r="L1472" t="s">
        <v>62</v>
      </c>
      <c r="M1472">
        <f>orders[[#This Row],[Ship Date]]-orders[[#This Row],[Order Date]]</f>
        <v>3</v>
      </c>
      <c r="N1472">
        <f>WEEKNUM(orders[[#This Row],[Order Date]])</f>
        <v>9</v>
      </c>
      <c r="O1472" t="str">
        <f>_xlfn.IFS(orders[[#This Row],[Customer Gender]]="M","Male", orders[[#This Row],[Customer Gender]]="F","Female", orders[[#This Row],[Customer Gender]]="O","Other", TRUE,"Unknown")</f>
        <v>Male</v>
      </c>
    </row>
    <row r="1473" spans="1:15">
      <c r="A1473" t="s">
        <v>1572</v>
      </c>
      <c r="B1473" t="s">
        <v>32</v>
      </c>
      <c r="C1473">
        <v>2</v>
      </c>
      <c r="D1473">
        <v>33.6</v>
      </c>
      <c r="E1473">
        <v>67.2</v>
      </c>
      <c r="F1473" s="1">
        <v>45712</v>
      </c>
      <c r="G1473" s="1">
        <v>45714</v>
      </c>
      <c r="H1473" t="s">
        <v>27</v>
      </c>
      <c r="I1473" t="s">
        <v>18</v>
      </c>
      <c r="J1473">
        <v>4</v>
      </c>
      <c r="K1473" t="s">
        <v>19</v>
      </c>
      <c r="L1473" t="s">
        <v>103</v>
      </c>
      <c r="M1473">
        <f>orders[[#This Row],[Ship Date]]-orders[[#This Row],[Order Date]]</f>
        <v>2</v>
      </c>
      <c r="N1473">
        <f>WEEKNUM(orders[[#This Row],[Order Date]])</f>
        <v>9</v>
      </c>
      <c r="O1473" t="str">
        <f>_xlfn.IFS(orders[[#This Row],[Customer Gender]]="M","Male", orders[[#This Row],[Customer Gender]]="F","Female", orders[[#This Row],[Customer Gender]]="O","Other", TRUE,"Unknown")</f>
        <v>Female</v>
      </c>
    </row>
    <row r="1474" spans="1:15">
      <c r="A1474" t="s">
        <v>1573</v>
      </c>
      <c r="B1474" t="s">
        <v>69</v>
      </c>
      <c r="C1474">
        <v>1</v>
      </c>
      <c r="D1474">
        <v>90.4</v>
      </c>
      <c r="E1474">
        <v>90.4</v>
      </c>
      <c r="F1474" s="1">
        <v>45712</v>
      </c>
      <c r="G1474" s="1">
        <v>45716</v>
      </c>
      <c r="H1474" t="s">
        <v>23</v>
      </c>
      <c r="I1474" t="s">
        <v>35</v>
      </c>
      <c r="J1474">
        <v>5</v>
      </c>
      <c r="K1474" t="s">
        <v>19</v>
      </c>
      <c r="L1474" t="s">
        <v>74</v>
      </c>
      <c r="M1474">
        <f>orders[[#This Row],[Ship Date]]-orders[[#This Row],[Order Date]]</f>
        <v>4</v>
      </c>
      <c r="N1474">
        <f>WEEKNUM(orders[[#This Row],[Order Date]])</f>
        <v>9</v>
      </c>
      <c r="O1474" t="str">
        <f>_xlfn.IFS(orders[[#This Row],[Customer Gender]]="M","Male", orders[[#This Row],[Customer Gender]]="F","Female", orders[[#This Row],[Customer Gender]]="O","Other", TRUE,"Unknown")</f>
        <v>Male</v>
      </c>
    </row>
    <row r="1475" spans="1:15">
      <c r="A1475" t="s">
        <v>1574</v>
      </c>
      <c r="B1475" t="s">
        <v>67</v>
      </c>
      <c r="C1475">
        <v>3</v>
      </c>
      <c r="D1475">
        <v>70.3</v>
      </c>
      <c r="E1475">
        <v>210.89999999999998</v>
      </c>
      <c r="F1475" s="1">
        <v>45712</v>
      </c>
      <c r="G1475" s="1">
        <v>45712</v>
      </c>
      <c r="H1475" t="s">
        <v>23</v>
      </c>
      <c r="I1475" t="s">
        <v>35</v>
      </c>
      <c r="J1475">
        <v>5</v>
      </c>
      <c r="K1475" t="s">
        <v>19</v>
      </c>
      <c r="L1475" t="s">
        <v>77</v>
      </c>
      <c r="M1475">
        <f>orders[[#This Row],[Ship Date]]-orders[[#This Row],[Order Date]]</f>
        <v>0</v>
      </c>
      <c r="N1475">
        <f>WEEKNUM(orders[[#This Row],[Order Date]])</f>
        <v>9</v>
      </c>
      <c r="O1475" t="str">
        <f>_xlfn.IFS(orders[[#This Row],[Customer Gender]]="M","Male", orders[[#This Row],[Customer Gender]]="F","Female", orders[[#This Row],[Customer Gender]]="O","Other", TRUE,"Unknown")</f>
        <v>Male</v>
      </c>
    </row>
    <row r="1476" spans="1:15">
      <c r="A1476" t="s">
        <v>1575</v>
      </c>
      <c r="B1476" t="s">
        <v>32</v>
      </c>
      <c r="C1476">
        <v>2</v>
      </c>
      <c r="D1476">
        <v>20.5</v>
      </c>
      <c r="E1476">
        <v>41</v>
      </c>
      <c r="F1476" s="1">
        <v>45712</v>
      </c>
      <c r="G1476" s="1">
        <v>45715</v>
      </c>
      <c r="H1476" t="s">
        <v>27</v>
      </c>
      <c r="I1476" t="s">
        <v>18</v>
      </c>
      <c r="J1476">
        <v>3</v>
      </c>
      <c r="K1476" t="s">
        <v>19</v>
      </c>
      <c r="L1476" t="s">
        <v>77</v>
      </c>
      <c r="M1476">
        <f>orders[[#This Row],[Ship Date]]-orders[[#This Row],[Order Date]]</f>
        <v>3</v>
      </c>
      <c r="N1476">
        <f>WEEKNUM(orders[[#This Row],[Order Date]])</f>
        <v>9</v>
      </c>
      <c r="O1476" t="str">
        <f>_xlfn.IFS(orders[[#This Row],[Customer Gender]]="M","Male", orders[[#This Row],[Customer Gender]]="F","Female", orders[[#This Row],[Customer Gender]]="O","Other", TRUE,"Unknown")</f>
        <v>Female</v>
      </c>
    </row>
    <row r="1477" spans="1:15">
      <c r="A1477" t="s">
        <v>1576</v>
      </c>
      <c r="B1477" t="s">
        <v>37</v>
      </c>
      <c r="C1477">
        <v>11</v>
      </c>
      <c r="D1477">
        <v>37.6</v>
      </c>
      <c r="E1477">
        <v>413.6</v>
      </c>
      <c r="F1477" s="1">
        <v>45712</v>
      </c>
      <c r="G1477" s="1">
        <v>45713</v>
      </c>
      <c r="H1477" t="s">
        <v>23</v>
      </c>
      <c r="I1477" t="s">
        <v>18</v>
      </c>
      <c r="J1477">
        <v>4</v>
      </c>
      <c r="K1477" t="s">
        <v>19</v>
      </c>
      <c r="L1477" t="s">
        <v>377</v>
      </c>
      <c r="M1477">
        <f>orders[[#This Row],[Ship Date]]-orders[[#This Row],[Order Date]]</f>
        <v>1</v>
      </c>
      <c r="N1477">
        <f>WEEKNUM(orders[[#This Row],[Order Date]])</f>
        <v>9</v>
      </c>
      <c r="O1477" t="str">
        <f>_xlfn.IFS(orders[[#This Row],[Customer Gender]]="M","Male", orders[[#This Row],[Customer Gender]]="F","Female", orders[[#This Row],[Customer Gender]]="O","Other", TRUE,"Unknown")</f>
        <v>Male</v>
      </c>
    </row>
    <row r="1478" spans="1:15">
      <c r="A1478" t="s">
        <v>1577</v>
      </c>
      <c r="B1478" t="s">
        <v>37</v>
      </c>
      <c r="C1478">
        <v>4</v>
      </c>
      <c r="D1478">
        <v>61.5</v>
      </c>
      <c r="E1478">
        <v>246</v>
      </c>
      <c r="F1478" s="1">
        <v>45712</v>
      </c>
      <c r="G1478" s="1">
        <v>45719</v>
      </c>
      <c r="H1478" t="s">
        <v>27</v>
      </c>
      <c r="I1478" t="s">
        <v>35</v>
      </c>
      <c r="J1478">
        <v>2</v>
      </c>
      <c r="K1478" t="s">
        <v>19</v>
      </c>
      <c r="L1478" t="s">
        <v>82</v>
      </c>
      <c r="M1478">
        <f>orders[[#This Row],[Ship Date]]-orders[[#This Row],[Order Date]]</f>
        <v>7</v>
      </c>
      <c r="N1478">
        <f>WEEKNUM(orders[[#This Row],[Order Date]])</f>
        <v>9</v>
      </c>
      <c r="O1478" t="str">
        <f>_xlfn.IFS(orders[[#This Row],[Customer Gender]]="M","Male", orders[[#This Row],[Customer Gender]]="F","Female", orders[[#This Row],[Customer Gender]]="O","Other", TRUE,"Unknown")</f>
        <v>Female</v>
      </c>
    </row>
    <row r="1479" spans="1:15">
      <c r="A1479" t="s">
        <v>1578</v>
      </c>
      <c r="B1479" t="s">
        <v>46</v>
      </c>
      <c r="C1479">
        <v>1</v>
      </c>
      <c r="D1479">
        <v>33.5</v>
      </c>
      <c r="E1479">
        <v>33.5</v>
      </c>
      <c r="F1479" s="1">
        <v>45713</v>
      </c>
      <c r="G1479" s="1">
        <v>45717</v>
      </c>
      <c r="H1479" t="s">
        <v>23</v>
      </c>
      <c r="I1479" t="s">
        <v>70</v>
      </c>
      <c r="J1479">
        <v>3</v>
      </c>
      <c r="K1479" t="s">
        <v>19</v>
      </c>
      <c r="L1479" t="s">
        <v>115</v>
      </c>
      <c r="M1479">
        <f>orders[[#This Row],[Ship Date]]-orders[[#This Row],[Order Date]]</f>
        <v>4</v>
      </c>
      <c r="N1479">
        <f>WEEKNUM(orders[[#This Row],[Order Date]])</f>
        <v>9</v>
      </c>
      <c r="O1479" t="str">
        <f>_xlfn.IFS(orders[[#This Row],[Customer Gender]]="M","Male", orders[[#This Row],[Customer Gender]]="F","Female", orders[[#This Row],[Customer Gender]]="O","Other", TRUE,"Unknown")</f>
        <v>Male</v>
      </c>
    </row>
    <row r="1480" spans="1:15">
      <c r="A1480" t="s">
        <v>1579</v>
      </c>
      <c r="B1480" t="s">
        <v>32</v>
      </c>
      <c r="C1480">
        <v>3</v>
      </c>
      <c r="D1480">
        <v>29.3</v>
      </c>
      <c r="E1480">
        <v>87.9</v>
      </c>
      <c r="F1480" s="1">
        <v>45713</v>
      </c>
      <c r="G1480" s="1">
        <v>45715</v>
      </c>
      <c r="H1480" t="s">
        <v>27</v>
      </c>
      <c r="I1480" t="s">
        <v>35</v>
      </c>
      <c r="J1480">
        <v>5</v>
      </c>
      <c r="K1480" t="s">
        <v>19</v>
      </c>
      <c r="L1480" t="s">
        <v>24</v>
      </c>
      <c r="M1480">
        <f>orders[[#This Row],[Ship Date]]-orders[[#This Row],[Order Date]]</f>
        <v>2</v>
      </c>
      <c r="N1480">
        <f>WEEKNUM(orders[[#This Row],[Order Date]])</f>
        <v>9</v>
      </c>
      <c r="O1480" t="str">
        <f>_xlfn.IFS(orders[[#This Row],[Customer Gender]]="M","Male", orders[[#This Row],[Customer Gender]]="F","Female", orders[[#This Row],[Customer Gender]]="O","Other", TRUE,"Unknown")</f>
        <v>Female</v>
      </c>
    </row>
    <row r="1481" spans="1:15">
      <c r="A1481" t="s">
        <v>1580</v>
      </c>
      <c r="B1481" t="s">
        <v>26</v>
      </c>
      <c r="C1481">
        <v>2</v>
      </c>
      <c r="D1481">
        <v>125.9</v>
      </c>
      <c r="E1481">
        <v>251.8</v>
      </c>
      <c r="F1481" s="1">
        <v>45713</v>
      </c>
      <c r="G1481" s="1">
        <v>45718</v>
      </c>
      <c r="H1481" t="s">
        <v>27</v>
      </c>
      <c r="I1481" t="s">
        <v>70</v>
      </c>
      <c r="J1481">
        <v>3</v>
      </c>
      <c r="K1481" t="s">
        <v>19</v>
      </c>
      <c r="L1481" t="s">
        <v>24</v>
      </c>
      <c r="M1481">
        <f>orders[[#This Row],[Ship Date]]-orders[[#This Row],[Order Date]]</f>
        <v>5</v>
      </c>
      <c r="N1481">
        <f>WEEKNUM(orders[[#This Row],[Order Date]])</f>
        <v>9</v>
      </c>
      <c r="O1481" t="str">
        <f>_xlfn.IFS(orders[[#This Row],[Customer Gender]]="M","Male", orders[[#This Row],[Customer Gender]]="F","Female", orders[[#This Row],[Customer Gender]]="O","Other", TRUE,"Unknown")</f>
        <v>Female</v>
      </c>
    </row>
    <row r="1482" spans="1:15">
      <c r="A1482" t="s">
        <v>1581</v>
      </c>
      <c r="B1482" t="s">
        <v>37</v>
      </c>
      <c r="C1482">
        <v>5</v>
      </c>
      <c r="D1482">
        <v>29.3</v>
      </c>
      <c r="E1482">
        <v>146.5</v>
      </c>
      <c r="F1482" s="1">
        <v>45713</v>
      </c>
      <c r="G1482" s="1">
        <v>45713</v>
      </c>
      <c r="H1482" t="s">
        <v>23</v>
      </c>
      <c r="I1482" t="s">
        <v>40</v>
      </c>
      <c r="J1482">
        <v>4</v>
      </c>
      <c r="K1482" t="s">
        <v>19</v>
      </c>
      <c r="L1482" t="s">
        <v>587</v>
      </c>
      <c r="M1482">
        <f>orders[[#This Row],[Ship Date]]-orders[[#This Row],[Order Date]]</f>
        <v>0</v>
      </c>
      <c r="N1482">
        <f>WEEKNUM(orders[[#This Row],[Order Date]])</f>
        <v>9</v>
      </c>
      <c r="O1482" t="str">
        <f>_xlfn.IFS(orders[[#This Row],[Customer Gender]]="M","Male", orders[[#This Row],[Customer Gender]]="F","Female", orders[[#This Row],[Customer Gender]]="O","Other", TRUE,"Unknown")</f>
        <v>Male</v>
      </c>
    </row>
    <row r="1483" spans="1:15">
      <c r="A1483" t="s">
        <v>1582</v>
      </c>
      <c r="B1483" t="s">
        <v>46</v>
      </c>
      <c r="C1483">
        <v>1</v>
      </c>
      <c r="D1483">
        <v>37.799999999999997</v>
      </c>
      <c r="E1483">
        <v>37.799999999999997</v>
      </c>
      <c r="F1483" s="1">
        <v>45713</v>
      </c>
      <c r="G1483" s="1">
        <v>45716</v>
      </c>
      <c r="H1483" t="s">
        <v>27</v>
      </c>
      <c r="I1483" t="s">
        <v>18</v>
      </c>
      <c r="J1483">
        <v>5</v>
      </c>
      <c r="K1483" t="s">
        <v>19</v>
      </c>
      <c r="L1483" t="s">
        <v>33</v>
      </c>
      <c r="M1483">
        <f>orders[[#This Row],[Ship Date]]-orders[[#This Row],[Order Date]]</f>
        <v>3</v>
      </c>
      <c r="N1483">
        <f>WEEKNUM(orders[[#This Row],[Order Date]])</f>
        <v>9</v>
      </c>
      <c r="O1483" t="str">
        <f>_xlfn.IFS(orders[[#This Row],[Customer Gender]]="M","Male", orders[[#This Row],[Customer Gender]]="F","Female", orders[[#This Row],[Customer Gender]]="O","Other", TRUE,"Unknown")</f>
        <v>Female</v>
      </c>
    </row>
    <row r="1484" spans="1:15">
      <c r="A1484" t="s">
        <v>1583</v>
      </c>
      <c r="B1484" t="s">
        <v>16</v>
      </c>
      <c r="C1484">
        <v>4</v>
      </c>
      <c r="D1484">
        <v>31.7</v>
      </c>
      <c r="E1484">
        <v>126.8</v>
      </c>
      <c r="F1484" s="1">
        <v>45713</v>
      </c>
      <c r="G1484" s="1">
        <v>45714</v>
      </c>
      <c r="H1484" t="s">
        <v>23</v>
      </c>
      <c r="I1484" t="s">
        <v>40</v>
      </c>
      <c r="J1484">
        <v>5</v>
      </c>
      <c r="K1484" t="s">
        <v>19</v>
      </c>
      <c r="L1484" t="s">
        <v>33</v>
      </c>
      <c r="M1484">
        <f>orders[[#This Row],[Ship Date]]-orders[[#This Row],[Order Date]]</f>
        <v>1</v>
      </c>
      <c r="N1484">
        <f>WEEKNUM(orders[[#This Row],[Order Date]])</f>
        <v>9</v>
      </c>
      <c r="O1484" t="str">
        <f>_xlfn.IFS(orders[[#This Row],[Customer Gender]]="M","Male", orders[[#This Row],[Customer Gender]]="F","Female", orders[[#This Row],[Customer Gender]]="O","Other", TRUE,"Unknown")</f>
        <v>Male</v>
      </c>
    </row>
    <row r="1485" spans="1:15">
      <c r="A1485" t="s">
        <v>1584</v>
      </c>
      <c r="B1485" t="s">
        <v>44</v>
      </c>
      <c r="C1485">
        <v>5</v>
      </c>
      <c r="D1485">
        <v>26.3</v>
      </c>
      <c r="E1485">
        <v>131.5</v>
      </c>
      <c r="F1485" s="1">
        <v>45713</v>
      </c>
      <c r="G1485" s="1">
        <v>45714</v>
      </c>
      <c r="H1485" t="s">
        <v>27</v>
      </c>
      <c r="I1485" t="s">
        <v>51</v>
      </c>
      <c r="J1485">
        <v>5</v>
      </c>
      <c r="K1485" t="s">
        <v>19</v>
      </c>
      <c r="L1485" t="s">
        <v>33</v>
      </c>
      <c r="M1485">
        <f>orders[[#This Row],[Ship Date]]-orders[[#This Row],[Order Date]]</f>
        <v>1</v>
      </c>
      <c r="N1485">
        <f>WEEKNUM(orders[[#This Row],[Order Date]])</f>
        <v>9</v>
      </c>
      <c r="O1485" t="str">
        <f>_xlfn.IFS(orders[[#This Row],[Customer Gender]]="M","Male", orders[[#This Row],[Customer Gender]]="F","Female", orders[[#This Row],[Customer Gender]]="O","Other", TRUE,"Unknown")</f>
        <v>Female</v>
      </c>
    </row>
    <row r="1486" spans="1:15">
      <c r="A1486" t="s">
        <v>1585</v>
      </c>
      <c r="B1486" t="s">
        <v>44</v>
      </c>
      <c r="C1486">
        <v>3</v>
      </c>
      <c r="D1486">
        <v>23.1</v>
      </c>
      <c r="E1486">
        <v>69.300000000000011</v>
      </c>
      <c r="F1486" s="1">
        <v>45713</v>
      </c>
      <c r="G1486" s="1">
        <v>45714</v>
      </c>
      <c r="H1486" t="s">
        <v>89</v>
      </c>
      <c r="I1486" t="s">
        <v>40</v>
      </c>
      <c r="J1486">
        <v>3</v>
      </c>
      <c r="K1486" t="s">
        <v>19</v>
      </c>
      <c r="L1486" t="s">
        <v>33</v>
      </c>
      <c r="M1486">
        <f>orders[[#This Row],[Ship Date]]-orders[[#This Row],[Order Date]]</f>
        <v>1</v>
      </c>
      <c r="N1486">
        <f>WEEKNUM(orders[[#This Row],[Order Date]])</f>
        <v>9</v>
      </c>
      <c r="O1486" t="str">
        <f>_xlfn.IFS(orders[[#This Row],[Customer Gender]]="M","Male", orders[[#This Row],[Customer Gender]]="F","Female", orders[[#This Row],[Customer Gender]]="O","Other", TRUE,"Unknown")</f>
        <v>Other</v>
      </c>
    </row>
    <row r="1487" spans="1:15">
      <c r="A1487" t="s">
        <v>1586</v>
      </c>
      <c r="B1487" t="s">
        <v>32</v>
      </c>
      <c r="C1487">
        <v>1</v>
      </c>
      <c r="D1487">
        <v>22.3</v>
      </c>
      <c r="E1487">
        <v>22.3</v>
      </c>
      <c r="F1487" s="1">
        <v>45713</v>
      </c>
      <c r="G1487" s="1">
        <v>45715</v>
      </c>
      <c r="H1487" t="s">
        <v>27</v>
      </c>
      <c r="I1487" t="s">
        <v>40</v>
      </c>
      <c r="J1487">
        <v>4</v>
      </c>
      <c r="K1487" t="s">
        <v>19</v>
      </c>
      <c r="L1487" t="s">
        <v>33</v>
      </c>
      <c r="M1487">
        <f>orders[[#This Row],[Ship Date]]-orders[[#This Row],[Order Date]]</f>
        <v>2</v>
      </c>
      <c r="N1487">
        <f>WEEKNUM(orders[[#This Row],[Order Date]])</f>
        <v>9</v>
      </c>
      <c r="O1487" t="str">
        <f>_xlfn.IFS(orders[[#This Row],[Customer Gender]]="M","Male", orders[[#This Row],[Customer Gender]]="F","Female", orders[[#This Row],[Customer Gender]]="O","Other", TRUE,"Unknown")</f>
        <v>Female</v>
      </c>
    </row>
    <row r="1488" spans="1:15">
      <c r="A1488" t="s">
        <v>1587</v>
      </c>
      <c r="B1488" t="s">
        <v>69</v>
      </c>
      <c r="C1488">
        <v>2</v>
      </c>
      <c r="D1488">
        <v>99.5</v>
      </c>
      <c r="E1488">
        <v>199</v>
      </c>
      <c r="F1488" s="1">
        <v>45713</v>
      </c>
      <c r="G1488" s="1">
        <v>45715</v>
      </c>
      <c r="H1488" t="s">
        <v>27</v>
      </c>
      <c r="I1488" t="s">
        <v>40</v>
      </c>
      <c r="J1488">
        <v>4</v>
      </c>
      <c r="K1488" t="s">
        <v>19</v>
      </c>
      <c r="L1488" t="s">
        <v>33</v>
      </c>
      <c r="M1488">
        <f>orders[[#This Row],[Ship Date]]-orders[[#This Row],[Order Date]]</f>
        <v>2</v>
      </c>
      <c r="N1488">
        <f>WEEKNUM(orders[[#This Row],[Order Date]])</f>
        <v>9</v>
      </c>
      <c r="O1488" t="str">
        <f>_xlfn.IFS(orders[[#This Row],[Customer Gender]]="M","Male", orders[[#This Row],[Customer Gender]]="F","Female", orders[[#This Row],[Customer Gender]]="O","Other", TRUE,"Unknown")</f>
        <v>Female</v>
      </c>
    </row>
    <row r="1489" spans="1:15">
      <c r="A1489" t="s">
        <v>1588</v>
      </c>
      <c r="B1489" t="s">
        <v>69</v>
      </c>
      <c r="C1489">
        <v>4</v>
      </c>
      <c r="D1489">
        <v>47.4</v>
      </c>
      <c r="E1489">
        <v>189.6</v>
      </c>
      <c r="F1489" s="1">
        <v>45713</v>
      </c>
      <c r="G1489" s="1">
        <v>45716</v>
      </c>
      <c r="H1489" t="s">
        <v>27</v>
      </c>
      <c r="I1489" t="s">
        <v>35</v>
      </c>
      <c r="J1489">
        <v>4</v>
      </c>
      <c r="K1489" t="s">
        <v>19</v>
      </c>
      <c r="L1489" t="s">
        <v>33</v>
      </c>
      <c r="M1489">
        <f>orders[[#This Row],[Ship Date]]-orders[[#This Row],[Order Date]]</f>
        <v>3</v>
      </c>
      <c r="N1489">
        <f>WEEKNUM(orders[[#This Row],[Order Date]])</f>
        <v>9</v>
      </c>
      <c r="O1489" t="str">
        <f>_xlfn.IFS(orders[[#This Row],[Customer Gender]]="M","Male", orders[[#This Row],[Customer Gender]]="F","Female", orders[[#This Row],[Customer Gender]]="O","Other", TRUE,"Unknown")</f>
        <v>Female</v>
      </c>
    </row>
    <row r="1490" spans="1:15">
      <c r="A1490" t="s">
        <v>1589</v>
      </c>
      <c r="B1490" t="s">
        <v>16</v>
      </c>
      <c r="C1490">
        <v>11</v>
      </c>
      <c r="D1490">
        <v>37.5</v>
      </c>
      <c r="E1490">
        <v>412.5</v>
      </c>
      <c r="F1490" s="1">
        <v>45713</v>
      </c>
      <c r="G1490" s="1">
        <v>45715</v>
      </c>
      <c r="H1490" t="s">
        <v>27</v>
      </c>
      <c r="I1490" t="s">
        <v>18</v>
      </c>
      <c r="J1490">
        <v>1</v>
      </c>
      <c r="K1490" t="s">
        <v>19</v>
      </c>
      <c r="L1490" t="s">
        <v>33</v>
      </c>
      <c r="M1490">
        <f>orders[[#This Row],[Ship Date]]-orders[[#This Row],[Order Date]]</f>
        <v>2</v>
      </c>
      <c r="N1490">
        <f>WEEKNUM(orders[[#This Row],[Order Date]])</f>
        <v>9</v>
      </c>
      <c r="O1490" t="str">
        <f>_xlfn.IFS(orders[[#This Row],[Customer Gender]]="M","Male", orders[[#This Row],[Customer Gender]]="F","Female", orders[[#This Row],[Customer Gender]]="O","Other", TRUE,"Unknown")</f>
        <v>Female</v>
      </c>
    </row>
    <row r="1491" spans="1:15">
      <c r="A1491" t="s">
        <v>1590</v>
      </c>
      <c r="B1491" t="s">
        <v>54</v>
      </c>
      <c r="C1491">
        <v>1</v>
      </c>
      <c r="D1491">
        <v>45.1</v>
      </c>
      <c r="E1491">
        <v>45.1</v>
      </c>
      <c r="F1491" s="1">
        <v>45713</v>
      </c>
      <c r="G1491" s="1">
        <v>45718</v>
      </c>
      <c r="H1491" t="s">
        <v>23</v>
      </c>
      <c r="I1491" t="s">
        <v>51</v>
      </c>
      <c r="J1491">
        <v>5</v>
      </c>
      <c r="K1491" t="s">
        <v>19</v>
      </c>
      <c r="L1491" t="s">
        <v>186</v>
      </c>
      <c r="M1491">
        <f>orders[[#This Row],[Ship Date]]-orders[[#This Row],[Order Date]]</f>
        <v>5</v>
      </c>
      <c r="N1491">
        <f>WEEKNUM(orders[[#This Row],[Order Date]])</f>
        <v>9</v>
      </c>
      <c r="O1491" t="str">
        <f>_xlfn.IFS(orders[[#This Row],[Customer Gender]]="M","Male", orders[[#This Row],[Customer Gender]]="F","Female", orders[[#This Row],[Customer Gender]]="O","Other", TRUE,"Unknown")</f>
        <v>Male</v>
      </c>
    </row>
    <row r="1492" spans="1:15">
      <c r="A1492" t="s">
        <v>1591</v>
      </c>
      <c r="B1492" t="s">
        <v>37</v>
      </c>
      <c r="C1492">
        <v>10</v>
      </c>
      <c r="D1492">
        <v>34.4</v>
      </c>
      <c r="E1492">
        <v>344</v>
      </c>
      <c r="F1492" s="1">
        <v>45713</v>
      </c>
      <c r="G1492" s="1">
        <v>45716</v>
      </c>
      <c r="H1492" t="s">
        <v>23</v>
      </c>
      <c r="I1492" t="s">
        <v>40</v>
      </c>
      <c r="J1492">
        <v>4</v>
      </c>
      <c r="K1492" t="s">
        <v>19</v>
      </c>
      <c r="L1492" t="s">
        <v>98</v>
      </c>
      <c r="M1492">
        <f>orders[[#This Row],[Ship Date]]-orders[[#This Row],[Order Date]]</f>
        <v>3</v>
      </c>
      <c r="N1492">
        <f>WEEKNUM(orders[[#This Row],[Order Date]])</f>
        <v>9</v>
      </c>
      <c r="O1492" t="str">
        <f>_xlfn.IFS(orders[[#This Row],[Customer Gender]]="M","Male", orders[[#This Row],[Customer Gender]]="F","Female", orders[[#This Row],[Customer Gender]]="O","Other", TRUE,"Unknown")</f>
        <v>Male</v>
      </c>
    </row>
    <row r="1493" spans="1:15">
      <c r="A1493" t="s">
        <v>1592</v>
      </c>
      <c r="B1493" t="s">
        <v>32</v>
      </c>
      <c r="C1493">
        <v>2</v>
      </c>
      <c r="D1493">
        <v>38</v>
      </c>
      <c r="E1493">
        <v>76</v>
      </c>
      <c r="F1493" s="1">
        <v>45713</v>
      </c>
      <c r="G1493" s="1">
        <v>45715</v>
      </c>
      <c r="H1493" t="s">
        <v>27</v>
      </c>
      <c r="I1493" t="s">
        <v>35</v>
      </c>
      <c r="J1493">
        <v>4</v>
      </c>
      <c r="K1493" t="s">
        <v>19</v>
      </c>
      <c r="L1493" t="s">
        <v>52</v>
      </c>
      <c r="M1493">
        <f>orders[[#This Row],[Ship Date]]-orders[[#This Row],[Order Date]]</f>
        <v>2</v>
      </c>
      <c r="N1493">
        <f>WEEKNUM(orders[[#This Row],[Order Date]])</f>
        <v>9</v>
      </c>
      <c r="O1493" t="str">
        <f>_xlfn.IFS(orders[[#This Row],[Customer Gender]]="M","Male", orders[[#This Row],[Customer Gender]]="F","Female", orders[[#This Row],[Customer Gender]]="O","Other", TRUE,"Unknown")</f>
        <v>Female</v>
      </c>
    </row>
    <row r="1494" spans="1:15">
      <c r="A1494" t="s">
        <v>1593</v>
      </c>
      <c r="B1494" t="s">
        <v>30</v>
      </c>
      <c r="C1494">
        <v>14</v>
      </c>
      <c r="D1494">
        <v>32.4</v>
      </c>
      <c r="E1494">
        <v>453.59999999999997</v>
      </c>
      <c r="F1494" s="1">
        <v>45713</v>
      </c>
      <c r="G1494" s="1">
        <v>45716</v>
      </c>
      <c r="H1494" t="s">
        <v>23</v>
      </c>
      <c r="I1494" t="s">
        <v>70</v>
      </c>
      <c r="J1494">
        <v>4</v>
      </c>
      <c r="K1494" t="s">
        <v>19</v>
      </c>
      <c r="L1494" t="s">
        <v>55</v>
      </c>
      <c r="M1494">
        <f>orders[[#This Row],[Ship Date]]-orders[[#This Row],[Order Date]]</f>
        <v>3</v>
      </c>
      <c r="N1494">
        <f>WEEKNUM(orders[[#This Row],[Order Date]])</f>
        <v>9</v>
      </c>
      <c r="O1494" t="str">
        <f>_xlfn.IFS(orders[[#This Row],[Customer Gender]]="M","Male", orders[[#This Row],[Customer Gender]]="F","Female", orders[[#This Row],[Customer Gender]]="O","Other", TRUE,"Unknown")</f>
        <v>Male</v>
      </c>
    </row>
    <row r="1495" spans="1:15">
      <c r="A1495" t="s">
        <v>1594</v>
      </c>
      <c r="B1495" t="s">
        <v>39</v>
      </c>
      <c r="C1495">
        <v>3</v>
      </c>
      <c r="D1495">
        <v>40.9</v>
      </c>
      <c r="E1495">
        <v>122.69999999999999</v>
      </c>
      <c r="F1495" s="1">
        <v>45713</v>
      </c>
      <c r="G1495" s="1">
        <v>45713</v>
      </c>
      <c r="H1495" t="s">
        <v>17</v>
      </c>
      <c r="I1495" t="s">
        <v>35</v>
      </c>
      <c r="J1495">
        <v>4</v>
      </c>
      <c r="K1495" t="s">
        <v>19</v>
      </c>
      <c r="L1495" t="s">
        <v>62</v>
      </c>
      <c r="M1495">
        <f>orders[[#This Row],[Ship Date]]-orders[[#This Row],[Order Date]]</f>
        <v>0</v>
      </c>
      <c r="N1495">
        <f>WEEKNUM(orders[[#This Row],[Order Date]])</f>
        <v>9</v>
      </c>
      <c r="O1495" t="str">
        <f>_xlfn.IFS(orders[[#This Row],[Customer Gender]]="M","Male", orders[[#This Row],[Customer Gender]]="F","Female", orders[[#This Row],[Customer Gender]]="O","Other", TRUE,"Unknown")</f>
        <v>Unknown</v>
      </c>
    </row>
    <row r="1496" spans="1:15">
      <c r="A1496" t="s">
        <v>1595</v>
      </c>
      <c r="B1496" t="s">
        <v>42</v>
      </c>
      <c r="C1496">
        <v>7</v>
      </c>
      <c r="D1496">
        <v>76.2</v>
      </c>
      <c r="E1496">
        <v>533.4</v>
      </c>
      <c r="F1496" s="1">
        <v>45713</v>
      </c>
      <c r="G1496" s="1">
        <v>45715</v>
      </c>
      <c r="H1496" t="s">
        <v>27</v>
      </c>
      <c r="I1496" t="s">
        <v>40</v>
      </c>
      <c r="J1496">
        <v>3</v>
      </c>
      <c r="K1496" t="s">
        <v>19</v>
      </c>
      <c r="L1496" t="s">
        <v>62</v>
      </c>
      <c r="M1496">
        <f>orders[[#This Row],[Ship Date]]-orders[[#This Row],[Order Date]]</f>
        <v>2</v>
      </c>
      <c r="N1496">
        <f>WEEKNUM(orders[[#This Row],[Order Date]])</f>
        <v>9</v>
      </c>
      <c r="O1496" t="str">
        <f>_xlfn.IFS(orders[[#This Row],[Customer Gender]]="M","Male", orders[[#This Row],[Customer Gender]]="F","Female", orders[[#This Row],[Customer Gender]]="O","Other", TRUE,"Unknown")</f>
        <v>Female</v>
      </c>
    </row>
    <row r="1497" spans="1:15">
      <c r="A1497" t="s">
        <v>1596</v>
      </c>
      <c r="B1497" t="s">
        <v>26</v>
      </c>
      <c r="C1497">
        <v>1</v>
      </c>
      <c r="D1497">
        <v>85.6</v>
      </c>
      <c r="E1497">
        <v>85.6</v>
      </c>
      <c r="F1497" s="1">
        <v>45713</v>
      </c>
      <c r="G1497" s="1">
        <v>45715</v>
      </c>
      <c r="H1497" t="s">
        <v>23</v>
      </c>
      <c r="I1497" t="s">
        <v>40</v>
      </c>
      <c r="J1497">
        <v>4</v>
      </c>
      <c r="K1497" t="s">
        <v>19</v>
      </c>
      <c r="L1497" t="s">
        <v>62</v>
      </c>
      <c r="M1497">
        <f>orders[[#This Row],[Ship Date]]-orders[[#This Row],[Order Date]]</f>
        <v>2</v>
      </c>
      <c r="N1497">
        <f>WEEKNUM(orders[[#This Row],[Order Date]])</f>
        <v>9</v>
      </c>
      <c r="O1497" t="str">
        <f>_xlfn.IFS(orders[[#This Row],[Customer Gender]]="M","Male", orders[[#This Row],[Customer Gender]]="F","Female", orders[[#This Row],[Customer Gender]]="O","Other", TRUE,"Unknown")</f>
        <v>Male</v>
      </c>
    </row>
    <row r="1498" spans="1:15">
      <c r="A1498" t="s">
        <v>1597</v>
      </c>
      <c r="B1498" t="s">
        <v>32</v>
      </c>
      <c r="C1498">
        <v>4</v>
      </c>
      <c r="D1498">
        <v>25</v>
      </c>
      <c r="E1498">
        <v>100</v>
      </c>
      <c r="F1498" s="1">
        <v>45713</v>
      </c>
      <c r="G1498" s="1">
        <v>45715</v>
      </c>
      <c r="H1498" t="s">
        <v>27</v>
      </c>
      <c r="I1498" t="s">
        <v>40</v>
      </c>
      <c r="J1498">
        <v>5</v>
      </c>
      <c r="K1498" t="s">
        <v>19</v>
      </c>
      <c r="L1498" t="s">
        <v>62</v>
      </c>
      <c r="M1498">
        <f>orders[[#This Row],[Ship Date]]-orders[[#This Row],[Order Date]]</f>
        <v>2</v>
      </c>
      <c r="N1498">
        <f>WEEKNUM(orders[[#This Row],[Order Date]])</f>
        <v>9</v>
      </c>
      <c r="O1498" t="str">
        <f>_xlfn.IFS(orders[[#This Row],[Customer Gender]]="M","Male", orders[[#This Row],[Customer Gender]]="F","Female", orders[[#This Row],[Customer Gender]]="O","Other", TRUE,"Unknown")</f>
        <v>Female</v>
      </c>
    </row>
    <row r="1499" spans="1:15">
      <c r="A1499" t="s">
        <v>1598</v>
      </c>
      <c r="B1499" t="s">
        <v>26</v>
      </c>
      <c r="C1499">
        <v>5</v>
      </c>
      <c r="D1499">
        <v>150.69999999999999</v>
      </c>
      <c r="E1499">
        <v>753.5</v>
      </c>
      <c r="F1499" s="1">
        <v>45713</v>
      </c>
      <c r="G1499" s="1">
        <v>45714</v>
      </c>
      <c r="H1499" t="s">
        <v>17</v>
      </c>
      <c r="I1499" t="s">
        <v>18</v>
      </c>
      <c r="J1499">
        <v>5</v>
      </c>
      <c r="K1499" t="s">
        <v>19</v>
      </c>
      <c r="L1499" t="s">
        <v>62</v>
      </c>
      <c r="M1499">
        <f>orders[[#This Row],[Ship Date]]-orders[[#This Row],[Order Date]]</f>
        <v>1</v>
      </c>
      <c r="N1499">
        <f>WEEKNUM(orders[[#This Row],[Order Date]])</f>
        <v>9</v>
      </c>
      <c r="O1499" t="str">
        <f>_xlfn.IFS(orders[[#This Row],[Customer Gender]]="M","Male", orders[[#This Row],[Customer Gender]]="F","Female", orders[[#This Row],[Customer Gender]]="O","Other", TRUE,"Unknown")</f>
        <v>Unknown</v>
      </c>
    </row>
    <row r="1500" spans="1:15">
      <c r="A1500" t="s">
        <v>1599</v>
      </c>
      <c r="B1500" t="s">
        <v>44</v>
      </c>
      <c r="C1500">
        <v>1</v>
      </c>
      <c r="D1500">
        <v>19.600000000000001</v>
      </c>
      <c r="E1500">
        <v>19.600000000000001</v>
      </c>
      <c r="F1500" s="1">
        <v>45713</v>
      </c>
      <c r="G1500" s="1">
        <v>45714</v>
      </c>
      <c r="H1500" t="s">
        <v>23</v>
      </c>
      <c r="I1500" t="s">
        <v>35</v>
      </c>
      <c r="J1500">
        <v>2</v>
      </c>
      <c r="K1500" t="s">
        <v>19</v>
      </c>
      <c r="L1500" t="s">
        <v>62</v>
      </c>
      <c r="M1500">
        <f>orders[[#This Row],[Ship Date]]-orders[[#This Row],[Order Date]]</f>
        <v>1</v>
      </c>
      <c r="N1500">
        <f>WEEKNUM(orders[[#This Row],[Order Date]])</f>
        <v>9</v>
      </c>
      <c r="O1500" t="str">
        <f>_xlfn.IFS(orders[[#This Row],[Customer Gender]]="M","Male", orders[[#This Row],[Customer Gender]]="F","Female", orders[[#This Row],[Customer Gender]]="O","Other", TRUE,"Unknown")</f>
        <v>Male</v>
      </c>
    </row>
    <row r="1501" spans="1:15">
      <c r="A1501" t="s">
        <v>1600</v>
      </c>
      <c r="B1501" t="s">
        <v>76</v>
      </c>
      <c r="C1501">
        <v>2</v>
      </c>
      <c r="D1501">
        <v>37.5</v>
      </c>
      <c r="E1501">
        <v>75</v>
      </c>
      <c r="F1501" s="1">
        <v>45713</v>
      </c>
      <c r="G1501" s="1">
        <v>45716</v>
      </c>
      <c r="H1501" t="s">
        <v>27</v>
      </c>
      <c r="I1501" t="s">
        <v>35</v>
      </c>
      <c r="J1501">
        <v>5</v>
      </c>
      <c r="K1501" t="s">
        <v>19</v>
      </c>
      <c r="L1501" t="s">
        <v>103</v>
      </c>
      <c r="M1501">
        <f>orders[[#This Row],[Ship Date]]-orders[[#This Row],[Order Date]]</f>
        <v>3</v>
      </c>
      <c r="N1501">
        <f>WEEKNUM(orders[[#This Row],[Order Date]])</f>
        <v>9</v>
      </c>
      <c r="O1501" t="str">
        <f>_xlfn.IFS(orders[[#This Row],[Customer Gender]]="M","Male", orders[[#This Row],[Customer Gender]]="F","Female", orders[[#This Row],[Customer Gender]]="O","Other", TRUE,"Unknown")</f>
        <v>Female</v>
      </c>
    </row>
    <row r="1502" spans="1:15">
      <c r="A1502" t="s">
        <v>1601</v>
      </c>
      <c r="B1502" t="s">
        <v>46</v>
      </c>
      <c r="C1502">
        <v>3</v>
      </c>
      <c r="D1502">
        <v>51.9</v>
      </c>
      <c r="E1502">
        <v>155.69999999999999</v>
      </c>
      <c r="F1502" s="1">
        <v>45713</v>
      </c>
      <c r="G1502" s="1">
        <v>45719</v>
      </c>
      <c r="H1502" t="s">
        <v>27</v>
      </c>
      <c r="I1502" t="s">
        <v>18</v>
      </c>
      <c r="J1502">
        <v>2</v>
      </c>
      <c r="K1502" t="s">
        <v>19</v>
      </c>
      <c r="L1502" t="s">
        <v>77</v>
      </c>
      <c r="M1502">
        <f>orders[[#This Row],[Ship Date]]-orders[[#This Row],[Order Date]]</f>
        <v>6</v>
      </c>
      <c r="N1502">
        <f>WEEKNUM(orders[[#This Row],[Order Date]])</f>
        <v>9</v>
      </c>
      <c r="O1502" t="str">
        <f>_xlfn.IFS(orders[[#This Row],[Customer Gender]]="M","Male", orders[[#This Row],[Customer Gender]]="F","Female", orders[[#This Row],[Customer Gender]]="O","Other", TRUE,"Unknown")</f>
        <v>Female</v>
      </c>
    </row>
    <row r="1503" spans="1:15">
      <c r="A1503" t="s">
        <v>1602</v>
      </c>
      <c r="B1503" t="s">
        <v>22</v>
      </c>
      <c r="C1503">
        <v>2</v>
      </c>
      <c r="D1503">
        <v>30.9</v>
      </c>
      <c r="E1503">
        <v>61.8</v>
      </c>
      <c r="F1503" s="1">
        <v>45713</v>
      </c>
      <c r="G1503" s="1">
        <v>45715</v>
      </c>
      <c r="H1503" t="s">
        <v>27</v>
      </c>
      <c r="I1503" t="s">
        <v>35</v>
      </c>
      <c r="J1503">
        <v>4</v>
      </c>
      <c r="K1503" t="s">
        <v>19</v>
      </c>
      <c r="L1503" t="s">
        <v>108</v>
      </c>
      <c r="M1503">
        <f>orders[[#This Row],[Ship Date]]-orders[[#This Row],[Order Date]]</f>
        <v>2</v>
      </c>
      <c r="N1503">
        <f>WEEKNUM(orders[[#This Row],[Order Date]])</f>
        <v>9</v>
      </c>
      <c r="O1503" t="str">
        <f>_xlfn.IFS(orders[[#This Row],[Customer Gender]]="M","Male", orders[[#This Row],[Customer Gender]]="F","Female", orders[[#This Row],[Customer Gender]]="O","Other", TRUE,"Unknown")</f>
        <v>Female</v>
      </c>
    </row>
    <row r="1504" spans="1:15">
      <c r="A1504" t="s">
        <v>1603</v>
      </c>
      <c r="B1504" t="s">
        <v>32</v>
      </c>
      <c r="C1504">
        <v>3</v>
      </c>
      <c r="D1504">
        <v>21.2</v>
      </c>
      <c r="E1504">
        <v>63.599999999999994</v>
      </c>
      <c r="F1504" s="1">
        <v>45713</v>
      </c>
      <c r="G1504" s="1">
        <v>45716</v>
      </c>
      <c r="H1504" t="s">
        <v>27</v>
      </c>
      <c r="I1504" t="s">
        <v>35</v>
      </c>
      <c r="J1504">
        <v>4</v>
      </c>
      <c r="K1504" t="s">
        <v>19</v>
      </c>
      <c r="L1504" t="s">
        <v>110</v>
      </c>
      <c r="M1504">
        <f>orders[[#This Row],[Ship Date]]-orders[[#This Row],[Order Date]]</f>
        <v>3</v>
      </c>
      <c r="N1504">
        <f>WEEKNUM(orders[[#This Row],[Order Date]])</f>
        <v>9</v>
      </c>
      <c r="O1504" t="str">
        <f>_xlfn.IFS(orders[[#This Row],[Customer Gender]]="M","Male", orders[[#This Row],[Customer Gender]]="F","Female", orders[[#This Row],[Customer Gender]]="O","Other", TRUE,"Unknown")</f>
        <v>Female</v>
      </c>
    </row>
    <row r="1505" spans="1:15">
      <c r="A1505" t="s">
        <v>1604</v>
      </c>
      <c r="B1505" t="s">
        <v>76</v>
      </c>
      <c r="C1505">
        <v>17</v>
      </c>
      <c r="D1505">
        <v>17.5</v>
      </c>
      <c r="E1505">
        <v>297.5</v>
      </c>
      <c r="F1505" s="1">
        <v>45713</v>
      </c>
      <c r="G1505" s="1">
        <v>45714</v>
      </c>
      <c r="H1505" t="s">
        <v>23</v>
      </c>
      <c r="I1505" t="s">
        <v>35</v>
      </c>
      <c r="J1505">
        <v>3</v>
      </c>
      <c r="K1505" t="s">
        <v>19</v>
      </c>
      <c r="L1505" t="s">
        <v>82</v>
      </c>
      <c r="M1505">
        <f>orders[[#This Row],[Ship Date]]-orders[[#This Row],[Order Date]]</f>
        <v>1</v>
      </c>
      <c r="N1505">
        <f>WEEKNUM(orders[[#This Row],[Order Date]])</f>
        <v>9</v>
      </c>
      <c r="O1505" t="str">
        <f>_xlfn.IFS(orders[[#This Row],[Customer Gender]]="M","Male", orders[[#This Row],[Customer Gender]]="F","Female", orders[[#This Row],[Customer Gender]]="O","Other", TRUE,"Unknown")</f>
        <v>Male</v>
      </c>
    </row>
    <row r="1506" spans="1:15">
      <c r="A1506" t="s">
        <v>1605</v>
      </c>
      <c r="B1506" t="s">
        <v>69</v>
      </c>
      <c r="C1506">
        <v>2</v>
      </c>
      <c r="D1506">
        <v>53.8</v>
      </c>
      <c r="E1506">
        <v>107.6</v>
      </c>
      <c r="F1506" s="1">
        <v>45713</v>
      </c>
      <c r="G1506" s="1">
        <v>45718</v>
      </c>
      <c r="H1506" t="s">
        <v>27</v>
      </c>
      <c r="I1506" t="s">
        <v>18</v>
      </c>
      <c r="J1506">
        <v>5</v>
      </c>
      <c r="K1506" t="s">
        <v>19</v>
      </c>
      <c r="L1506" t="s">
        <v>115</v>
      </c>
      <c r="M1506">
        <f>orders[[#This Row],[Ship Date]]-orders[[#This Row],[Order Date]]</f>
        <v>5</v>
      </c>
      <c r="N1506">
        <f>WEEKNUM(orders[[#This Row],[Order Date]])</f>
        <v>9</v>
      </c>
      <c r="O1506" t="str">
        <f>_xlfn.IFS(orders[[#This Row],[Customer Gender]]="M","Male", orders[[#This Row],[Customer Gender]]="F","Female", orders[[#This Row],[Customer Gender]]="O","Other", TRUE,"Unknown")</f>
        <v>Female</v>
      </c>
    </row>
    <row r="1507" spans="1:15">
      <c r="A1507" t="s">
        <v>1606</v>
      </c>
      <c r="B1507" t="s">
        <v>171</v>
      </c>
      <c r="C1507">
        <v>2</v>
      </c>
      <c r="D1507">
        <v>17</v>
      </c>
      <c r="E1507">
        <v>34</v>
      </c>
      <c r="F1507" s="1">
        <v>45713</v>
      </c>
      <c r="G1507" s="1">
        <v>45714</v>
      </c>
      <c r="H1507" t="s">
        <v>23</v>
      </c>
      <c r="I1507" t="s">
        <v>51</v>
      </c>
      <c r="J1507">
        <v>4</v>
      </c>
      <c r="K1507" t="s">
        <v>19</v>
      </c>
      <c r="L1507" t="s">
        <v>115</v>
      </c>
      <c r="M1507">
        <f>orders[[#This Row],[Ship Date]]-orders[[#This Row],[Order Date]]</f>
        <v>1</v>
      </c>
      <c r="N1507">
        <f>WEEKNUM(orders[[#This Row],[Order Date]])</f>
        <v>9</v>
      </c>
      <c r="O1507" t="str">
        <f>_xlfn.IFS(orders[[#This Row],[Customer Gender]]="M","Male", orders[[#This Row],[Customer Gender]]="F","Female", orders[[#This Row],[Customer Gender]]="O","Other", TRUE,"Unknown")</f>
        <v>Male</v>
      </c>
    </row>
    <row r="1508" spans="1:15">
      <c r="A1508" t="s">
        <v>1607</v>
      </c>
      <c r="B1508" t="s">
        <v>39</v>
      </c>
      <c r="C1508">
        <v>1</v>
      </c>
      <c r="D1508">
        <v>103.2</v>
      </c>
      <c r="E1508">
        <v>103.2</v>
      </c>
      <c r="F1508" s="1">
        <v>45713</v>
      </c>
      <c r="G1508" s="1">
        <v>45721</v>
      </c>
      <c r="H1508" t="s">
        <v>23</v>
      </c>
      <c r="I1508" t="s">
        <v>40</v>
      </c>
      <c r="J1508">
        <v>3</v>
      </c>
      <c r="K1508" t="s">
        <v>19</v>
      </c>
      <c r="L1508" t="s">
        <v>24</v>
      </c>
      <c r="M1508">
        <f>orders[[#This Row],[Ship Date]]-orders[[#This Row],[Order Date]]</f>
        <v>8</v>
      </c>
      <c r="N1508">
        <f>WEEKNUM(orders[[#This Row],[Order Date]])</f>
        <v>9</v>
      </c>
      <c r="O1508" t="str">
        <f>_xlfn.IFS(orders[[#This Row],[Customer Gender]]="M","Male", orders[[#This Row],[Customer Gender]]="F","Female", orders[[#This Row],[Customer Gender]]="O","Other", TRUE,"Unknown")</f>
        <v>Male</v>
      </c>
    </row>
    <row r="1509" spans="1:15">
      <c r="A1509" t="s">
        <v>1608</v>
      </c>
      <c r="B1509" t="s">
        <v>39</v>
      </c>
      <c r="C1509">
        <v>4</v>
      </c>
      <c r="D1509">
        <v>70.3</v>
      </c>
      <c r="E1509">
        <v>281.2</v>
      </c>
      <c r="F1509" s="1">
        <v>45713</v>
      </c>
      <c r="G1509" s="1">
        <v>45714</v>
      </c>
      <c r="H1509" t="s">
        <v>23</v>
      </c>
      <c r="I1509" t="s">
        <v>18</v>
      </c>
      <c r="J1509">
        <v>4</v>
      </c>
      <c r="K1509" t="s">
        <v>19</v>
      </c>
      <c r="L1509" t="s">
        <v>33</v>
      </c>
      <c r="M1509">
        <f>orders[[#This Row],[Ship Date]]-orders[[#This Row],[Order Date]]</f>
        <v>1</v>
      </c>
      <c r="N1509">
        <f>WEEKNUM(orders[[#This Row],[Order Date]])</f>
        <v>9</v>
      </c>
      <c r="O1509" t="str">
        <f>_xlfn.IFS(orders[[#This Row],[Customer Gender]]="M","Male", orders[[#This Row],[Customer Gender]]="F","Female", orders[[#This Row],[Customer Gender]]="O","Other", TRUE,"Unknown")</f>
        <v>Male</v>
      </c>
    </row>
    <row r="1510" spans="1:15">
      <c r="A1510" t="s">
        <v>1609</v>
      </c>
      <c r="B1510" t="s">
        <v>26</v>
      </c>
      <c r="C1510">
        <v>2</v>
      </c>
      <c r="D1510">
        <v>73.8</v>
      </c>
      <c r="E1510">
        <v>147.6</v>
      </c>
      <c r="F1510" s="1">
        <v>45713</v>
      </c>
      <c r="G1510" s="1">
        <v>45713</v>
      </c>
      <c r="H1510" t="s">
        <v>23</v>
      </c>
      <c r="I1510" t="s">
        <v>51</v>
      </c>
      <c r="J1510">
        <v>5</v>
      </c>
      <c r="K1510" t="s">
        <v>19</v>
      </c>
      <c r="L1510" t="s">
        <v>33</v>
      </c>
      <c r="M1510">
        <f>orders[[#This Row],[Ship Date]]-orders[[#This Row],[Order Date]]</f>
        <v>0</v>
      </c>
      <c r="N1510">
        <f>WEEKNUM(orders[[#This Row],[Order Date]])</f>
        <v>9</v>
      </c>
      <c r="O1510" t="str">
        <f>_xlfn.IFS(orders[[#This Row],[Customer Gender]]="M","Male", orders[[#This Row],[Customer Gender]]="F","Female", orders[[#This Row],[Customer Gender]]="O","Other", TRUE,"Unknown")</f>
        <v>Male</v>
      </c>
    </row>
    <row r="1511" spans="1:15">
      <c r="A1511" t="s">
        <v>1610</v>
      </c>
      <c r="B1511" t="s">
        <v>22</v>
      </c>
      <c r="C1511">
        <v>12</v>
      </c>
      <c r="D1511">
        <v>67.7</v>
      </c>
      <c r="E1511">
        <v>812.40000000000009</v>
      </c>
      <c r="F1511" s="1">
        <v>45713</v>
      </c>
      <c r="G1511" s="1">
        <v>45717</v>
      </c>
      <c r="H1511" t="s">
        <v>23</v>
      </c>
      <c r="I1511" t="s">
        <v>35</v>
      </c>
      <c r="J1511">
        <v>3</v>
      </c>
      <c r="K1511" t="s">
        <v>19</v>
      </c>
      <c r="L1511" t="s">
        <v>33</v>
      </c>
      <c r="M1511">
        <f>orders[[#This Row],[Ship Date]]-orders[[#This Row],[Order Date]]</f>
        <v>4</v>
      </c>
      <c r="N1511">
        <f>WEEKNUM(orders[[#This Row],[Order Date]])</f>
        <v>9</v>
      </c>
      <c r="O1511" t="str">
        <f>_xlfn.IFS(orders[[#This Row],[Customer Gender]]="M","Male", orders[[#This Row],[Customer Gender]]="F","Female", orders[[#This Row],[Customer Gender]]="O","Other", TRUE,"Unknown")</f>
        <v>Male</v>
      </c>
    </row>
    <row r="1512" spans="1:15">
      <c r="A1512" t="s">
        <v>1611</v>
      </c>
      <c r="B1512" t="s">
        <v>76</v>
      </c>
      <c r="C1512">
        <v>7</v>
      </c>
      <c r="D1512">
        <v>43.8</v>
      </c>
      <c r="E1512">
        <v>306.59999999999997</v>
      </c>
      <c r="F1512" s="1">
        <v>45713</v>
      </c>
      <c r="G1512" s="1">
        <v>45715</v>
      </c>
      <c r="H1512" t="s">
        <v>23</v>
      </c>
      <c r="I1512" t="s">
        <v>35</v>
      </c>
      <c r="J1512">
        <v>4</v>
      </c>
      <c r="K1512" t="s">
        <v>19</v>
      </c>
      <c r="L1512" t="s">
        <v>33</v>
      </c>
      <c r="M1512">
        <f>orders[[#This Row],[Ship Date]]-orders[[#This Row],[Order Date]]</f>
        <v>2</v>
      </c>
      <c r="N1512">
        <f>WEEKNUM(orders[[#This Row],[Order Date]])</f>
        <v>9</v>
      </c>
      <c r="O1512" t="str">
        <f>_xlfn.IFS(orders[[#This Row],[Customer Gender]]="M","Male", orders[[#This Row],[Customer Gender]]="F","Female", orders[[#This Row],[Customer Gender]]="O","Other", TRUE,"Unknown")</f>
        <v>Male</v>
      </c>
    </row>
    <row r="1513" spans="1:15">
      <c r="A1513" t="s">
        <v>1612</v>
      </c>
      <c r="B1513" t="s">
        <v>135</v>
      </c>
      <c r="C1513">
        <v>6</v>
      </c>
      <c r="D1513">
        <v>71.900000000000006</v>
      </c>
      <c r="E1513">
        <v>431.40000000000003</v>
      </c>
      <c r="F1513" s="1">
        <v>45713</v>
      </c>
      <c r="G1513" s="1">
        <v>45714</v>
      </c>
      <c r="H1513" t="s">
        <v>27</v>
      </c>
      <c r="I1513" t="s">
        <v>40</v>
      </c>
      <c r="J1513">
        <v>4</v>
      </c>
      <c r="K1513" t="s">
        <v>19</v>
      </c>
      <c r="L1513" t="s">
        <v>33</v>
      </c>
      <c r="M1513">
        <f>orders[[#This Row],[Ship Date]]-orders[[#This Row],[Order Date]]</f>
        <v>1</v>
      </c>
      <c r="N1513">
        <f>WEEKNUM(orders[[#This Row],[Order Date]])</f>
        <v>9</v>
      </c>
      <c r="O1513" t="str">
        <f>_xlfn.IFS(orders[[#This Row],[Customer Gender]]="M","Male", orders[[#This Row],[Customer Gender]]="F","Female", orders[[#This Row],[Customer Gender]]="O","Other", TRUE,"Unknown")</f>
        <v>Female</v>
      </c>
    </row>
    <row r="1514" spans="1:15">
      <c r="A1514" t="s">
        <v>1613</v>
      </c>
      <c r="B1514" t="s">
        <v>44</v>
      </c>
      <c r="C1514">
        <v>2</v>
      </c>
      <c r="D1514">
        <v>26.3</v>
      </c>
      <c r="E1514">
        <v>52.6</v>
      </c>
      <c r="F1514" s="1">
        <v>45714</v>
      </c>
      <c r="G1514" s="1">
        <v>45716</v>
      </c>
      <c r="H1514" t="s">
        <v>27</v>
      </c>
      <c r="I1514" t="s">
        <v>18</v>
      </c>
      <c r="J1514">
        <v>3</v>
      </c>
      <c r="K1514" t="s">
        <v>19</v>
      </c>
      <c r="L1514" t="s">
        <v>33</v>
      </c>
      <c r="M1514">
        <f>orders[[#This Row],[Ship Date]]-orders[[#This Row],[Order Date]]</f>
        <v>2</v>
      </c>
      <c r="N1514">
        <f>WEEKNUM(orders[[#This Row],[Order Date]])</f>
        <v>9</v>
      </c>
      <c r="O1514" t="str">
        <f>_xlfn.IFS(orders[[#This Row],[Customer Gender]]="M","Male", orders[[#This Row],[Customer Gender]]="F","Female", orders[[#This Row],[Customer Gender]]="O","Other", TRUE,"Unknown")</f>
        <v>Female</v>
      </c>
    </row>
    <row r="1515" spans="1:15">
      <c r="A1515" t="s">
        <v>1614</v>
      </c>
      <c r="B1515" t="s">
        <v>39</v>
      </c>
      <c r="C1515">
        <v>4</v>
      </c>
      <c r="D1515">
        <v>52.6</v>
      </c>
      <c r="E1515">
        <v>210.4</v>
      </c>
      <c r="F1515" s="1">
        <v>45714</v>
      </c>
      <c r="G1515" s="1">
        <v>45716</v>
      </c>
      <c r="H1515" t="s">
        <v>27</v>
      </c>
      <c r="I1515" t="s">
        <v>40</v>
      </c>
      <c r="J1515">
        <v>3</v>
      </c>
      <c r="K1515" t="s">
        <v>19</v>
      </c>
      <c r="L1515" t="s">
        <v>33</v>
      </c>
      <c r="M1515">
        <f>orders[[#This Row],[Ship Date]]-orders[[#This Row],[Order Date]]</f>
        <v>2</v>
      </c>
      <c r="N1515">
        <f>WEEKNUM(orders[[#This Row],[Order Date]])</f>
        <v>9</v>
      </c>
      <c r="O1515" t="str">
        <f>_xlfn.IFS(orders[[#This Row],[Customer Gender]]="M","Male", orders[[#This Row],[Customer Gender]]="F","Female", orders[[#This Row],[Customer Gender]]="O","Other", TRUE,"Unknown")</f>
        <v>Female</v>
      </c>
    </row>
    <row r="1516" spans="1:15">
      <c r="A1516" t="s">
        <v>1615</v>
      </c>
      <c r="B1516" t="s">
        <v>54</v>
      </c>
      <c r="C1516">
        <v>1</v>
      </c>
      <c r="D1516">
        <v>32.700000000000003</v>
      </c>
      <c r="E1516">
        <v>32.700000000000003</v>
      </c>
      <c r="F1516" s="1">
        <v>45714</v>
      </c>
      <c r="G1516" s="1">
        <v>45721</v>
      </c>
      <c r="H1516" t="s">
        <v>27</v>
      </c>
      <c r="I1516" t="s">
        <v>18</v>
      </c>
      <c r="J1516">
        <v>5</v>
      </c>
      <c r="K1516" t="s">
        <v>19</v>
      </c>
      <c r="L1516" t="s">
        <v>33</v>
      </c>
      <c r="M1516">
        <f>orders[[#This Row],[Ship Date]]-orders[[#This Row],[Order Date]]</f>
        <v>7</v>
      </c>
      <c r="N1516">
        <f>WEEKNUM(orders[[#This Row],[Order Date]])</f>
        <v>9</v>
      </c>
      <c r="O1516" t="str">
        <f>_xlfn.IFS(orders[[#This Row],[Customer Gender]]="M","Male", orders[[#This Row],[Customer Gender]]="F","Female", orders[[#This Row],[Customer Gender]]="O","Other", TRUE,"Unknown")</f>
        <v>Female</v>
      </c>
    </row>
    <row r="1517" spans="1:15">
      <c r="A1517" t="s">
        <v>1616</v>
      </c>
      <c r="B1517" t="s">
        <v>37</v>
      </c>
      <c r="C1517">
        <v>4</v>
      </c>
      <c r="D1517">
        <v>38.9</v>
      </c>
      <c r="E1517">
        <v>155.6</v>
      </c>
      <c r="F1517" s="1">
        <v>45714</v>
      </c>
      <c r="G1517" s="1">
        <v>45715</v>
      </c>
      <c r="H1517" t="s">
        <v>27</v>
      </c>
      <c r="I1517" t="s">
        <v>18</v>
      </c>
      <c r="J1517">
        <v>4</v>
      </c>
      <c r="K1517" t="s">
        <v>19</v>
      </c>
      <c r="L1517" t="s">
        <v>33</v>
      </c>
      <c r="M1517">
        <f>orders[[#This Row],[Ship Date]]-orders[[#This Row],[Order Date]]</f>
        <v>1</v>
      </c>
      <c r="N1517">
        <f>WEEKNUM(orders[[#This Row],[Order Date]])</f>
        <v>9</v>
      </c>
      <c r="O1517" t="str">
        <f>_xlfn.IFS(orders[[#This Row],[Customer Gender]]="M","Male", orders[[#This Row],[Customer Gender]]="F","Female", orders[[#This Row],[Customer Gender]]="O","Other", TRUE,"Unknown")</f>
        <v>Female</v>
      </c>
    </row>
    <row r="1518" spans="1:15">
      <c r="A1518" t="s">
        <v>1617</v>
      </c>
      <c r="B1518" t="s">
        <v>46</v>
      </c>
      <c r="C1518">
        <v>5</v>
      </c>
      <c r="D1518">
        <v>35</v>
      </c>
      <c r="E1518">
        <v>175</v>
      </c>
      <c r="F1518" s="1">
        <v>45714</v>
      </c>
      <c r="G1518" s="1">
        <v>45716</v>
      </c>
      <c r="H1518" t="s">
        <v>23</v>
      </c>
      <c r="I1518" t="s">
        <v>18</v>
      </c>
      <c r="J1518">
        <v>4</v>
      </c>
      <c r="K1518" t="s">
        <v>19</v>
      </c>
      <c r="L1518" t="s">
        <v>33</v>
      </c>
      <c r="M1518">
        <f>orders[[#This Row],[Ship Date]]-orders[[#This Row],[Order Date]]</f>
        <v>2</v>
      </c>
      <c r="N1518">
        <f>WEEKNUM(orders[[#This Row],[Order Date]])</f>
        <v>9</v>
      </c>
      <c r="O1518" t="str">
        <f>_xlfn.IFS(orders[[#This Row],[Customer Gender]]="M","Male", orders[[#This Row],[Customer Gender]]="F","Female", orders[[#This Row],[Customer Gender]]="O","Other", TRUE,"Unknown")</f>
        <v>Male</v>
      </c>
    </row>
    <row r="1519" spans="1:15">
      <c r="A1519" t="s">
        <v>1618</v>
      </c>
      <c r="B1519" t="s">
        <v>26</v>
      </c>
      <c r="C1519">
        <v>2</v>
      </c>
      <c r="D1519">
        <v>121</v>
      </c>
      <c r="E1519">
        <v>242</v>
      </c>
      <c r="F1519" s="1">
        <v>45714</v>
      </c>
      <c r="G1519" s="1">
        <v>45715</v>
      </c>
      <c r="H1519" t="s">
        <v>27</v>
      </c>
      <c r="I1519" t="s">
        <v>35</v>
      </c>
      <c r="J1519">
        <v>3</v>
      </c>
      <c r="K1519" t="s">
        <v>19</v>
      </c>
      <c r="L1519" t="s">
        <v>33</v>
      </c>
      <c r="M1519">
        <f>orders[[#This Row],[Ship Date]]-orders[[#This Row],[Order Date]]</f>
        <v>1</v>
      </c>
      <c r="N1519">
        <f>WEEKNUM(orders[[#This Row],[Order Date]])</f>
        <v>9</v>
      </c>
      <c r="O1519" t="str">
        <f>_xlfn.IFS(orders[[#This Row],[Customer Gender]]="M","Male", orders[[#This Row],[Customer Gender]]="F","Female", orders[[#This Row],[Customer Gender]]="O","Other", TRUE,"Unknown")</f>
        <v>Female</v>
      </c>
    </row>
    <row r="1520" spans="1:15">
      <c r="A1520" t="s">
        <v>1619</v>
      </c>
      <c r="B1520" t="s">
        <v>39</v>
      </c>
      <c r="C1520">
        <v>3</v>
      </c>
      <c r="D1520">
        <v>65.099999999999994</v>
      </c>
      <c r="E1520">
        <v>195.29999999999998</v>
      </c>
      <c r="F1520" s="1">
        <v>45714</v>
      </c>
      <c r="G1520" s="1">
        <v>45718</v>
      </c>
      <c r="H1520" t="s">
        <v>23</v>
      </c>
      <c r="I1520" t="s">
        <v>40</v>
      </c>
      <c r="J1520">
        <v>4</v>
      </c>
      <c r="K1520" t="s">
        <v>19</v>
      </c>
      <c r="L1520" t="s">
        <v>342</v>
      </c>
      <c r="M1520">
        <f>orders[[#This Row],[Ship Date]]-orders[[#This Row],[Order Date]]</f>
        <v>4</v>
      </c>
      <c r="N1520">
        <f>WEEKNUM(orders[[#This Row],[Order Date]])</f>
        <v>9</v>
      </c>
      <c r="O1520" t="str">
        <f>_xlfn.IFS(orders[[#This Row],[Customer Gender]]="M","Male", orders[[#This Row],[Customer Gender]]="F","Female", orders[[#This Row],[Customer Gender]]="O","Other", TRUE,"Unknown")</f>
        <v>Male</v>
      </c>
    </row>
    <row r="1521" spans="1:15">
      <c r="A1521" t="s">
        <v>1620</v>
      </c>
      <c r="B1521" t="s">
        <v>22</v>
      </c>
      <c r="C1521">
        <v>21</v>
      </c>
      <c r="D1521">
        <v>63.8</v>
      </c>
      <c r="E1521">
        <v>1339.8</v>
      </c>
      <c r="F1521" s="1">
        <v>45714</v>
      </c>
      <c r="G1521" s="1">
        <v>45716</v>
      </c>
      <c r="H1521" t="s">
        <v>27</v>
      </c>
      <c r="I1521" t="s">
        <v>18</v>
      </c>
      <c r="J1521">
        <v>4</v>
      </c>
      <c r="K1521" t="s">
        <v>19</v>
      </c>
      <c r="L1521" t="s">
        <v>62</v>
      </c>
      <c r="M1521">
        <f>orders[[#This Row],[Ship Date]]-orders[[#This Row],[Order Date]]</f>
        <v>2</v>
      </c>
      <c r="N1521">
        <f>WEEKNUM(orders[[#This Row],[Order Date]])</f>
        <v>9</v>
      </c>
      <c r="O1521" t="str">
        <f>_xlfn.IFS(orders[[#This Row],[Customer Gender]]="M","Male", orders[[#This Row],[Customer Gender]]="F","Female", orders[[#This Row],[Customer Gender]]="O","Other", TRUE,"Unknown")</f>
        <v>Female</v>
      </c>
    </row>
    <row r="1522" spans="1:15">
      <c r="A1522" t="s">
        <v>1621</v>
      </c>
      <c r="B1522" t="s">
        <v>42</v>
      </c>
      <c r="C1522">
        <v>1</v>
      </c>
      <c r="D1522">
        <v>77.7</v>
      </c>
      <c r="E1522">
        <v>77.7</v>
      </c>
      <c r="F1522" s="1">
        <v>45714</v>
      </c>
      <c r="G1522" s="1">
        <v>45716</v>
      </c>
      <c r="H1522" t="s">
        <v>23</v>
      </c>
      <c r="I1522" t="s">
        <v>18</v>
      </c>
      <c r="J1522">
        <v>4</v>
      </c>
      <c r="K1522" t="s">
        <v>19</v>
      </c>
      <c r="L1522" t="s">
        <v>62</v>
      </c>
      <c r="M1522">
        <f>orders[[#This Row],[Ship Date]]-orders[[#This Row],[Order Date]]</f>
        <v>2</v>
      </c>
      <c r="N1522">
        <f>WEEKNUM(orders[[#This Row],[Order Date]])</f>
        <v>9</v>
      </c>
      <c r="O1522" t="str">
        <f>_xlfn.IFS(orders[[#This Row],[Customer Gender]]="M","Male", orders[[#This Row],[Customer Gender]]="F","Female", orders[[#This Row],[Customer Gender]]="O","Other", TRUE,"Unknown")</f>
        <v>Male</v>
      </c>
    </row>
    <row r="1523" spans="1:15">
      <c r="A1523" t="s">
        <v>1622</v>
      </c>
      <c r="B1523" t="s">
        <v>37</v>
      </c>
      <c r="C1523">
        <v>4</v>
      </c>
      <c r="D1523">
        <v>60.3</v>
      </c>
      <c r="E1523">
        <v>241.2</v>
      </c>
      <c r="F1523" s="1">
        <v>45714</v>
      </c>
      <c r="G1523" s="1">
        <v>45714</v>
      </c>
      <c r="H1523" t="s">
        <v>23</v>
      </c>
      <c r="I1523" t="s">
        <v>18</v>
      </c>
      <c r="J1523">
        <v>5</v>
      </c>
      <c r="K1523" t="s">
        <v>19</v>
      </c>
      <c r="L1523" t="s">
        <v>62</v>
      </c>
      <c r="M1523">
        <f>orders[[#This Row],[Ship Date]]-orders[[#This Row],[Order Date]]</f>
        <v>0</v>
      </c>
      <c r="N1523">
        <f>WEEKNUM(orders[[#This Row],[Order Date]])</f>
        <v>9</v>
      </c>
      <c r="O1523" t="str">
        <f>_xlfn.IFS(orders[[#This Row],[Customer Gender]]="M","Male", orders[[#This Row],[Customer Gender]]="F","Female", orders[[#This Row],[Customer Gender]]="O","Other", TRUE,"Unknown")</f>
        <v>Male</v>
      </c>
    </row>
    <row r="1524" spans="1:15">
      <c r="A1524" t="s">
        <v>1623</v>
      </c>
      <c r="B1524" t="s">
        <v>37</v>
      </c>
      <c r="C1524">
        <v>2</v>
      </c>
      <c r="D1524">
        <v>124.1</v>
      </c>
      <c r="E1524">
        <v>248.2</v>
      </c>
      <c r="F1524" s="1">
        <v>45714</v>
      </c>
      <c r="G1524" s="1">
        <v>45717</v>
      </c>
      <c r="H1524" t="s">
        <v>27</v>
      </c>
      <c r="I1524" t="s">
        <v>18</v>
      </c>
      <c r="J1524">
        <v>5</v>
      </c>
      <c r="K1524" t="s">
        <v>19</v>
      </c>
      <c r="L1524" t="s">
        <v>62</v>
      </c>
      <c r="M1524">
        <f>orders[[#This Row],[Ship Date]]-orders[[#This Row],[Order Date]]</f>
        <v>3</v>
      </c>
      <c r="N1524">
        <f>WEEKNUM(orders[[#This Row],[Order Date]])</f>
        <v>9</v>
      </c>
      <c r="O1524" t="str">
        <f>_xlfn.IFS(orders[[#This Row],[Customer Gender]]="M","Male", orders[[#This Row],[Customer Gender]]="F","Female", orders[[#This Row],[Customer Gender]]="O","Other", TRUE,"Unknown")</f>
        <v>Female</v>
      </c>
    </row>
    <row r="1525" spans="1:15">
      <c r="A1525" t="s">
        <v>1624</v>
      </c>
      <c r="B1525" t="s">
        <v>128</v>
      </c>
      <c r="C1525">
        <v>7</v>
      </c>
      <c r="D1525">
        <v>66</v>
      </c>
      <c r="E1525">
        <v>462</v>
      </c>
      <c r="F1525" s="1">
        <v>45714</v>
      </c>
      <c r="G1525" s="1">
        <v>45714</v>
      </c>
      <c r="H1525" t="s">
        <v>17</v>
      </c>
      <c r="I1525" t="s">
        <v>51</v>
      </c>
      <c r="J1525">
        <v>4</v>
      </c>
      <c r="K1525" t="s">
        <v>19</v>
      </c>
      <c r="L1525" t="s">
        <v>103</v>
      </c>
      <c r="M1525">
        <f>orders[[#This Row],[Ship Date]]-orders[[#This Row],[Order Date]]</f>
        <v>0</v>
      </c>
      <c r="N1525">
        <f>WEEKNUM(orders[[#This Row],[Order Date]])</f>
        <v>9</v>
      </c>
      <c r="O1525" t="str">
        <f>_xlfn.IFS(orders[[#This Row],[Customer Gender]]="M","Male", orders[[#This Row],[Customer Gender]]="F","Female", orders[[#This Row],[Customer Gender]]="O","Other", TRUE,"Unknown")</f>
        <v>Unknown</v>
      </c>
    </row>
    <row r="1526" spans="1:15">
      <c r="A1526" t="s">
        <v>1625</v>
      </c>
      <c r="B1526" t="s">
        <v>26</v>
      </c>
      <c r="C1526">
        <v>63</v>
      </c>
      <c r="D1526">
        <v>118.2</v>
      </c>
      <c r="E1526">
        <v>7446.6</v>
      </c>
      <c r="F1526" s="1">
        <v>45714</v>
      </c>
      <c r="G1526" s="1">
        <v>45719</v>
      </c>
      <c r="H1526" t="s">
        <v>17</v>
      </c>
      <c r="I1526" t="s">
        <v>18</v>
      </c>
      <c r="J1526">
        <v>4</v>
      </c>
      <c r="K1526" t="s">
        <v>19</v>
      </c>
      <c r="L1526" t="s">
        <v>103</v>
      </c>
      <c r="M1526">
        <f>orders[[#This Row],[Ship Date]]-orders[[#This Row],[Order Date]]</f>
        <v>5</v>
      </c>
      <c r="N1526">
        <f>WEEKNUM(orders[[#This Row],[Order Date]])</f>
        <v>9</v>
      </c>
      <c r="O1526" t="str">
        <f>_xlfn.IFS(orders[[#This Row],[Customer Gender]]="M","Male", orders[[#This Row],[Customer Gender]]="F","Female", orders[[#This Row],[Customer Gender]]="O","Other", TRUE,"Unknown")</f>
        <v>Unknown</v>
      </c>
    </row>
    <row r="1527" spans="1:15">
      <c r="A1527" t="s">
        <v>1626</v>
      </c>
      <c r="B1527" t="s">
        <v>37</v>
      </c>
      <c r="C1527">
        <v>5</v>
      </c>
      <c r="D1527">
        <v>64.3</v>
      </c>
      <c r="E1527">
        <v>321.5</v>
      </c>
      <c r="F1527" s="1">
        <v>45714</v>
      </c>
      <c r="G1527" s="1">
        <v>45715</v>
      </c>
      <c r="H1527" t="s">
        <v>23</v>
      </c>
      <c r="I1527" t="s">
        <v>70</v>
      </c>
      <c r="J1527">
        <v>2</v>
      </c>
      <c r="K1527" t="s">
        <v>19</v>
      </c>
      <c r="L1527" t="s">
        <v>201</v>
      </c>
      <c r="M1527">
        <f>orders[[#This Row],[Ship Date]]-orders[[#This Row],[Order Date]]</f>
        <v>1</v>
      </c>
      <c r="N1527">
        <f>WEEKNUM(orders[[#This Row],[Order Date]])</f>
        <v>9</v>
      </c>
      <c r="O1527" t="str">
        <f>_xlfn.IFS(orders[[#This Row],[Customer Gender]]="M","Male", orders[[#This Row],[Customer Gender]]="F","Female", orders[[#This Row],[Customer Gender]]="O","Other", TRUE,"Unknown")</f>
        <v>Male</v>
      </c>
    </row>
    <row r="1528" spans="1:15">
      <c r="A1528" t="s">
        <v>1627</v>
      </c>
      <c r="B1528" t="s">
        <v>22</v>
      </c>
      <c r="C1528">
        <v>2</v>
      </c>
      <c r="D1528">
        <v>54.8</v>
      </c>
      <c r="E1528">
        <v>109.6</v>
      </c>
      <c r="F1528" s="1">
        <v>45714</v>
      </c>
      <c r="G1528" s="1">
        <v>45714</v>
      </c>
      <c r="H1528" t="s">
        <v>23</v>
      </c>
      <c r="I1528" t="s">
        <v>18</v>
      </c>
      <c r="J1528">
        <v>3</v>
      </c>
      <c r="K1528" t="s">
        <v>19</v>
      </c>
      <c r="L1528" t="s">
        <v>201</v>
      </c>
      <c r="M1528">
        <f>orders[[#This Row],[Ship Date]]-orders[[#This Row],[Order Date]]</f>
        <v>0</v>
      </c>
      <c r="N1528">
        <f>WEEKNUM(orders[[#This Row],[Order Date]])</f>
        <v>9</v>
      </c>
      <c r="O1528" t="str">
        <f>_xlfn.IFS(orders[[#This Row],[Customer Gender]]="M","Male", orders[[#This Row],[Customer Gender]]="F","Female", orders[[#This Row],[Customer Gender]]="O","Other", TRUE,"Unknown")</f>
        <v>Male</v>
      </c>
    </row>
    <row r="1529" spans="1:15">
      <c r="A1529" t="s">
        <v>1628</v>
      </c>
      <c r="B1529" t="s">
        <v>42</v>
      </c>
      <c r="C1529">
        <v>2</v>
      </c>
      <c r="D1529">
        <v>78.599999999999994</v>
      </c>
      <c r="E1529">
        <v>157.19999999999999</v>
      </c>
      <c r="F1529" s="1">
        <v>45714</v>
      </c>
      <c r="G1529" s="1">
        <v>45715</v>
      </c>
      <c r="H1529" t="s">
        <v>23</v>
      </c>
      <c r="I1529" t="s">
        <v>18</v>
      </c>
      <c r="J1529">
        <v>5</v>
      </c>
      <c r="K1529" t="s">
        <v>19</v>
      </c>
      <c r="L1529" t="s">
        <v>72</v>
      </c>
      <c r="M1529">
        <f>orders[[#This Row],[Ship Date]]-orders[[#This Row],[Order Date]]</f>
        <v>1</v>
      </c>
      <c r="N1529">
        <f>WEEKNUM(orders[[#This Row],[Order Date]])</f>
        <v>9</v>
      </c>
      <c r="O1529" t="str">
        <f>_xlfn.IFS(orders[[#This Row],[Customer Gender]]="M","Male", orders[[#This Row],[Customer Gender]]="F","Female", orders[[#This Row],[Customer Gender]]="O","Other", TRUE,"Unknown")</f>
        <v>Male</v>
      </c>
    </row>
    <row r="1530" spans="1:15">
      <c r="A1530" t="s">
        <v>1629</v>
      </c>
      <c r="B1530" t="s">
        <v>26</v>
      </c>
      <c r="C1530">
        <v>5</v>
      </c>
      <c r="D1530">
        <v>158.5</v>
      </c>
      <c r="E1530">
        <v>792.5</v>
      </c>
      <c r="F1530" s="1">
        <v>45714</v>
      </c>
      <c r="G1530" s="1">
        <v>45716</v>
      </c>
      <c r="H1530" t="s">
        <v>17</v>
      </c>
      <c r="I1530" t="s">
        <v>40</v>
      </c>
      <c r="J1530">
        <v>5</v>
      </c>
      <c r="K1530" t="s">
        <v>19</v>
      </c>
      <c r="L1530" t="s">
        <v>72</v>
      </c>
      <c r="M1530">
        <f>orders[[#This Row],[Ship Date]]-orders[[#This Row],[Order Date]]</f>
        <v>2</v>
      </c>
      <c r="N1530">
        <f>WEEKNUM(orders[[#This Row],[Order Date]])</f>
        <v>9</v>
      </c>
      <c r="O1530" t="str">
        <f>_xlfn.IFS(orders[[#This Row],[Customer Gender]]="M","Male", orders[[#This Row],[Customer Gender]]="F","Female", orders[[#This Row],[Customer Gender]]="O","Other", TRUE,"Unknown")</f>
        <v>Unknown</v>
      </c>
    </row>
    <row r="1531" spans="1:15">
      <c r="A1531" t="s">
        <v>1630</v>
      </c>
      <c r="B1531" t="s">
        <v>32</v>
      </c>
      <c r="C1531">
        <v>10</v>
      </c>
      <c r="D1531">
        <v>23.5</v>
      </c>
      <c r="E1531">
        <v>235</v>
      </c>
      <c r="F1531" s="1">
        <v>45714</v>
      </c>
      <c r="G1531" s="1">
        <v>45717</v>
      </c>
      <c r="H1531" t="s">
        <v>23</v>
      </c>
      <c r="I1531" t="s">
        <v>18</v>
      </c>
      <c r="J1531">
        <v>2</v>
      </c>
      <c r="K1531" t="s">
        <v>19</v>
      </c>
      <c r="L1531" t="s">
        <v>74</v>
      </c>
      <c r="M1531">
        <f>orders[[#This Row],[Ship Date]]-orders[[#This Row],[Order Date]]</f>
        <v>3</v>
      </c>
      <c r="N1531">
        <f>WEEKNUM(orders[[#This Row],[Order Date]])</f>
        <v>9</v>
      </c>
      <c r="O1531" t="str">
        <f>_xlfn.IFS(orders[[#This Row],[Customer Gender]]="M","Male", orders[[#This Row],[Customer Gender]]="F","Female", orders[[#This Row],[Customer Gender]]="O","Other", TRUE,"Unknown")</f>
        <v>Male</v>
      </c>
    </row>
    <row r="1532" spans="1:15">
      <c r="A1532" t="s">
        <v>1631</v>
      </c>
      <c r="B1532" t="s">
        <v>37</v>
      </c>
      <c r="C1532">
        <v>2</v>
      </c>
      <c r="D1532">
        <v>32.1</v>
      </c>
      <c r="E1532">
        <v>64.2</v>
      </c>
      <c r="F1532" s="1">
        <v>45714</v>
      </c>
      <c r="G1532" s="1">
        <v>45716</v>
      </c>
      <c r="H1532" t="s">
        <v>17</v>
      </c>
      <c r="I1532" t="s">
        <v>51</v>
      </c>
      <c r="J1532">
        <v>4</v>
      </c>
      <c r="K1532" t="s">
        <v>19</v>
      </c>
      <c r="L1532" t="s">
        <v>74</v>
      </c>
      <c r="M1532">
        <f>orders[[#This Row],[Ship Date]]-orders[[#This Row],[Order Date]]</f>
        <v>2</v>
      </c>
      <c r="N1532">
        <f>WEEKNUM(orders[[#This Row],[Order Date]])</f>
        <v>9</v>
      </c>
      <c r="O1532" t="str">
        <f>_xlfn.IFS(orders[[#This Row],[Customer Gender]]="M","Male", orders[[#This Row],[Customer Gender]]="F","Female", orders[[#This Row],[Customer Gender]]="O","Other", TRUE,"Unknown")</f>
        <v>Unknown</v>
      </c>
    </row>
    <row r="1533" spans="1:15">
      <c r="A1533" t="s">
        <v>1632</v>
      </c>
      <c r="B1533" t="s">
        <v>135</v>
      </c>
      <c r="C1533">
        <v>4</v>
      </c>
      <c r="D1533">
        <v>71.900000000000006</v>
      </c>
      <c r="E1533">
        <v>287.60000000000002</v>
      </c>
      <c r="F1533" s="1">
        <v>45714</v>
      </c>
      <c r="G1533" s="1">
        <v>45714</v>
      </c>
      <c r="H1533" t="s">
        <v>23</v>
      </c>
      <c r="I1533" t="s">
        <v>40</v>
      </c>
      <c r="J1533">
        <v>4</v>
      </c>
      <c r="K1533" t="s">
        <v>19</v>
      </c>
      <c r="L1533" t="s">
        <v>110</v>
      </c>
      <c r="M1533">
        <f>orders[[#This Row],[Ship Date]]-orders[[#This Row],[Order Date]]</f>
        <v>0</v>
      </c>
      <c r="N1533">
        <f>WEEKNUM(orders[[#This Row],[Order Date]])</f>
        <v>9</v>
      </c>
      <c r="O1533" t="str">
        <f>_xlfn.IFS(orders[[#This Row],[Customer Gender]]="M","Male", orders[[#This Row],[Customer Gender]]="F","Female", orders[[#This Row],[Customer Gender]]="O","Other", TRUE,"Unknown")</f>
        <v>Male</v>
      </c>
    </row>
    <row r="1534" spans="1:15">
      <c r="A1534" t="s">
        <v>1633</v>
      </c>
      <c r="B1534" t="s">
        <v>32</v>
      </c>
      <c r="C1534">
        <v>6</v>
      </c>
      <c r="D1534">
        <v>22.3</v>
      </c>
      <c r="E1534">
        <v>133.80000000000001</v>
      </c>
      <c r="F1534" s="1">
        <v>45714</v>
      </c>
      <c r="G1534" s="1">
        <v>45715</v>
      </c>
      <c r="H1534" t="s">
        <v>17</v>
      </c>
      <c r="I1534" t="s">
        <v>51</v>
      </c>
      <c r="J1534">
        <v>5</v>
      </c>
      <c r="K1534" t="s">
        <v>19</v>
      </c>
      <c r="L1534" t="s">
        <v>82</v>
      </c>
      <c r="M1534">
        <f>orders[[#This Row],[Ship Date]]-orders[[#This Row],[Order Date]]</f>
        <v>1</v>
      </c>
      <c r="N1534">
        <f>WEEKNUM(orders[[#This Row],[Order Date]])</f>
        <v>9</v>
      </c>
      <c r="O1534" t="str">
        <f>_xlfn.IFS(orders[[#This Row],[Customer Gender]]="M","Male", orders[[#This Row],[Customer Gender]]="F","Female", orders[[#This Row],[Customer Gender]]="O","Other", TRUE,"Unknown")</f>
        <v>Unknown</v>
      </c>
    </row>
    <row r="1535" spans="1:15">
      <c r="A1535" t="s">
        <v>1634</v>
      </c>
      <c r="B1535" t="s">
        <v>67</v>
      </c>
      <c r="C1535">
        <v>2</v>
      </c>
      <c r="D1535">
        <v>29.5</v>
      </c>
      <c r="E1535">
        <v>59</v>
      </c>
      <c r="F1535" s="1">
        <v>45714</v>
      </c>
      <c r="G1535" s="1">
        <v>45715</v>
      </c>
      <c r="H1535" t="s">
        <v>27</v>
      </c>
      <c r="I1535" t="s">
        <v>18</v>
      </c>
      <c r="J1535">
        <v>5</v>
      </c>
      <c r="K1535" t="s">
        <v>19</v>
      </c>
      <c r="L1535" t="s">
        <v>82</v>
      </c>
      <c r="M1535">
        <f>orders[[#This Row],[Ship Date]]-orders[[#This Row],[Order Date]]</f>
        <v>1</v>
      </c>
      <c r="N1535">
        <f>WEEKNUM(orders[[#This Row],[Order Date]])</f>
        <v>9</v>
      </c>
      <c r="O1535" t="str">
        <f>_xlfn.IFS(orders[[#This Row],[Customer Gender]]="M","Male", orders[[#This Row],[Customer Gender]]="F","Female", orders[[#This Row],[Customer Gender]]="O","Other", TRUE,"Unknown")</f>
        <v>Female</v>
      </c>
    </row>
    <row r="1536" spans="1:15">
      <c r="A1536" t="s">
        <v>1635</v>
      </c>
      <c r="B1536" t="s">
        <v>39</v>
      </c>
      <c r="C1536">
        <v>4</v>
      </c>
      <c r="D1536">
        <v>41.9</v>
      </c>
      <c r="E1536">
        <v>167.6</v>
      </c>
      <c r="F1536" s="1">
        <v>45714</v>
      </c>
      <c r="G1536" s="1">
        <v>45718</v>
      </c>
      <c r="H1536" t="s">
        <v>27</v>
      </c>
      <c r="I1536" t="s">
        <v>18</v>
      </c>
      <c r="J1536">
        <v>3</v>
      </c>
      <c r="K1536" t="s">
        <v>19</v>
      </c>
      <c r="L1536" t="s">
        <v>115</v>
      </c>
      <c r="M1536">
        <f>orders[[#This Row],[Ship Date]]-orders[[#This Row],[Order Date]]</f>
        <v>4</v>
      </c>
      <c r="N1536">
        <f>WEEKNUM(orders[[#This Row],[Order Date]])</f>
        <v>9</v>
      </c>
      <c r="O1536" t="str">
        <f>_xlfn.IFS(orders[[#This Row],[Customer Gender]]="M","Male", orders[[#This Row],[Customer Gender]]="F","Female", orders[[#This Row],[Customer Gender]]="O","Other", TRUE,"Unknown")</f>
        <v>Female</v>
      </c>
    </row>
    <row r="1537" spans="1:15">
      <c r="A1537" t="s">
        <v>1636</v>
      </c>
      <c r="B1537" t="s">
        <v>39</v>
      </c>
      <c r="C1537">
        <v>3</v>
      </c>
      <c r="D1537">
        <v>107.8</v>
      </c>
      <c r="E1537">
        <v>323.39999999999998</v>
      </c>
      <c r="F1537" s="1">
        <v>45714</v>
      </c>
      <c r="G1537" s="1">
        <v>45715</v>
      </c>
      <c r="H1537" t="s">
        <v>23</v>
      </c>
      <c r="I1537" t="s">
        <v>35</v>
      </c>
      <c r="J1537">
        <v>5</v>
      </c>
      <c r="K1537" t="s">
        <v>19</v>
      </c>
      <c r="L1537" t="s">
        <v>641</v>
      </c>
      <c r="M1537">
        <f>orders[[#This Row],[Ship Date]]-orders[[#This Row],[Order Date]]</f>
        <v>1</v>
      </c>
      <c r="N1537">
        <f>WEEKNUM(orders[[#This Row],[Order Date]])</f>
        <v>9</v>
      </c>
      <c r="O1537" t="str">
        <f>_xlfn.IFS(orders[[#This Row],[Customer Gender]]="M","Male", orders[[#This Row],[Customer Gender]]="F","Female", orders[[#This Row],[Customer Gender]]="O","Other", TRUE,"Unknown")</f>
        <v>Male</v>
      </c>
    </row>
    <row r="1538" spans="1:15">
      <c r="A1538" t="s">
        <v>1637</v>
      </c>
      <c r="B1538" t="s">
        <v>32</v>
      </c>
      <c r="C1538">
        <v>5</v>
      </c>
      <c r="D1538">
        <v>18.100000000000001</v>
      </c>
      <c r="E1538">
        <v>90.5</v>
      </c>
      <c r="F1538" s="1">
        <v>45714</v>
      </c>
      <c r="G1538" s="1">
        <v>45717</v>
      </c>
      <c r="H1538" t="s">
        <v>23</v>
      </c>
      <c r="I1538" t="s">
        <v>18</v>
      </c>
      <c r="J1538">
        <v>5</v>
      </c>
      <c r="K1538" t="s">
        <v>19</v>
      </c>
      <c r="L1538" t="s">
        <v>28</v>
      </c>
      <c r="M1538">
        <f>orders[[#This Row],[Ship Date]]-orders[[#This Row],[Order Date]]</f>
        <v>3</v>
      </c>
      <c r="N1538">
        <f>WEEKNUM(orders[[#This Row],[Order Date]])</f>
        <v>9</v>
      </c>
      <c r="O1538" t="str">
        <f>_xlfn.IFS(orders[[#This Row],[Customer Gender]]="M","Male", orders[[#This Row],[Customer Gender]]="F","Female", orders[[#This Row],[Customer Gender]]="O","Other", TRUE,"Unknown")</f>
        <v>Male</v>
      </c>
    </row>
    <row r="1539" spans="1:15">
      <c r="A1539" t="s">
        <v>1638</v>
      </c>
      <c r="B1539" t="s">
        <v>69</v>
      </c>
      <c r="C1539">
        <v>9</v>
      </c>
      <c r="D1539">
        <v>79.8</v>
      </c>
      <c r="E1539">
        <v>718.19999999999993</v>
      </c>
      <c r="F1539" s="1">
        <v>45714</v>
      </c>
      <c r="G1539" s="1">
        <v>45715</v>
      </c>
      <c r="H1539" t="s">
        <v>27</v>
      </c>
      <c r="I1539" t="s">
        <v>35</v>
      </c>
      <c r="J1539">
        <v>3</v>
      </c>
      <c r="K1539" t="s">
        <v>19</v>
      </c>
      <c r="L1539" t="s">
        <v>147</v>
      </c>
      <c r="M1539">
        <f>orders[[#This Row],[Ship Date]]-orders[[#This Row],[Order Date]]</f>
        <v>1</v>
      </c>
      <c r="N1539">
        <f>WEEKNUM(orders[[#This Row],[Order Date]])</f>
        <v>9</v>
      </c>
      <c r="O1539" t="str">
        <f>_xlfn.IFS(orders[[#This Row],[Customer Gender]]="M","Male", orders[[#This Row],[Customer Gender]]="F","Female", orders[[#This Row],[Customer Gender]]="O","Other", TRUE,"Unknown")</f>
        <v>Female</v>
      </c>
    </row>
    <row r="1540" spans="1:15">
      <c r="A1540" t="s">
        <v>1639</v>
      </c>
      <c r="B1540" t="s">
        <v>16</v>
      </c>
      <c r="C1540">
        <v>3</v>
      </c>
      <c r="D1540">
        <v>22.3</v>
      </c>
      <c r="E1540">
        <v>66.900000000000006</v>
      </c>
      <c r="F1540" s="1">
        <v>45714</v>
      </c>
      <c r="G1540" s="1">
        <v>45717</v>
      </c>
      <c r="H1540" t="s">
        <v>27</v>
      </c>
      <c r="I1540" t="s">
        <v>18</v>
      </c>
      <c r="J1540">
        <v>5</v>
      </c>
      <c r="K1540" t="s">
        <v>19</v>
      </c>
      <c r="L1540" t="s">
        <v>147</v>
      </c>
      <c r="M1540">
        <f>orders[[#This Row],[Ship Date]]-orders[[#This Row],[Order Date]]</f>
        <v>3</v>
      </c>
      <c r="N1540">
        <f>WEEKNUM(orders[[#This Row],[Order Date]])</f>
        <v>9</v>
      </c>
      <c r="O1540" t="str">
        <f>_xlfn.IFS(orders[[#This Row],[Customer Gender]]="M","Male", orders[[#This Row],[Customer Gender]]="F","Female", orders[[#This Row],[Customer Gender]]="O","Other", TRUE,"Unknown")</f>
        <v>Female</v>
      </c>
    </row>
    <row r="1541" spans="1:15">
      <c r="A1541" t="s">
        <v>1640</v>
      </c>
      <c r="B1541" t="s">
        <v>44</v>
      </c>
      <c r="C1541">
        <v>1</v>
      </c>
      <c r="D1541">
        <v>22.9</v>
      </c>
      <c r="E1541">
        <v>22.9</v>
      </c>
      <c r="F1541" s="1">
        <v>45714</v>
      </c>
      <c r="G1541" s="1">
        <v>45714</v>
      </c>
      <c r="H1541" t="s">
        <v>27</v>
      </c>
      <c r="I1541" t="s">
        <v>35</v>
      </c>
      <c r="J1541">
        <v>4</v>
      </c>
      <c r="K1541" t="s">
        <v>19</v>
      </c>
      <c r="L1541" t="s">
        <v>147</v>
      </c>
      <c r="M1541">
        <f>orders[[#This Row],[Ship Date]]-orders[[#This Row],[Order Date]]</f>
        <v>0</v>
      </c>
      <c r="N1541">
        <f>WEEKNUM(orders[[#This Row],[Order Date]])</f>
        <v>9</v>
      </c>
      <c r="O1541" t="str">
        <f>_xlfn.IFS(orders[[#This Row],[Customer Gender]]="M","Male", orders[[#This Row],[Customer Gender]]="F","Female", orders[[#This Row],[Customer Gender]]="O","Other", TRUE,"Unknown")</f>
        <v>Female</v>
      </c>
    </row>
    <row r="1542" spans="1:15">
      <c r="A1542" t="s">
        <v>1641</v>
      </c>
      <c r="B1542" t="s">
        <v>16</v>
      </c>
      <c r="C1542">
        <v>3</v>
      </c>
      <c r="D1542">
        <v>16.2</v>
      </c>
      <c r="E1542">
        <v>48.599999999999994</v>
      </c>
      <c r="F1542" s="1">
        <v>45715</v>
      </c>
      <c r="G1542" s="1">
        <v>45715</v>
      </c>
      <c r="H1542" t="s">
        <v>23</v>
      </c>
      <c r="I1542" t="s">
        <v>70</v>
      </c>
      <c r="J1542">
        <v>5</v>
      </c>
      <c r="K1542" t="s">
        <v>19</v>
      </c>
      <c r="L1542" t="s">
        <v>33</v>
      </c>
      <c r="M1542">
        <f>orders[[#This Row],[Ship Date]]-orders[[#This Row],[Order Date]]</f>
        <v>0</v>
      </c>
      <c r="N1542">
        <f>WEEKNUM(orders[[#This Row],[Order Date]])</f>
        <v>9</v>
      </c>
      <c r="O1542" t="str">
        <f>_xlfn.IFS(orders[[#This Row],[Customer Gender]]="M","Male", orders[[#This Row],[Customer Gender]]="F","Female", orders[[#This Row],[Customer Gender]]="O","Other", TRUE,"Unknown")</f>
        <v>Male</v>
      </c>
    </row>
    <row r="1543" spans="1:15">
      <c r="A1543" t="s">
        <v>1642</v>
      </c>
      <c r="B1543" t="s">
        <v>54</v>
      </c>
      <c r="C1543">
        <v>4</v>
      </c>
      <c r="D1543">
        <v>59.5</v>
      </c>
      <c r="E1543">
        <v>238</v>
      </c>
      <c r="F1543" s="1">
        <v>45715</v>
      </c>
      <c r="G1543" s="1">
        <v>45716</v>
      </c>
      <c r="H1543" t="s">
        <v>23</v>
      </c>
      <c r="I1543" t="s">
        <v>35</v>
      </c>
      <c r="J1543">
        <v>5</v>
      </c>
      <c r="K1543" t="s">
        <v>19</v>
      </c>
      <c r="L1543" t="s">
        <v>33</v>
      </c>
      <c r="M1543">
        <f>orders[[#This Row],[Ship Date]]-orders[[#This Row],[Order Date]]</f>
        <v>1</v>
      </c>
      <c r="N1543">
        <f>WEEKNUM(orders[[#This Row],[Order Date]])</f>
        <v>9</v>
      </c>
      <c r="O1543" t="str">
        <f>_xlfn.IFS(orders[[#This Row],[Customer Gender]]="M","Male", orders[[#This Row],[Customer Gender]]="F","Female", orders[[#This Row],[Customer Gender]]="O","Other", TRUE,"Unknown")</f>
        <v>Male</v>
      </c>
    </row>
    <row r="1544" spans="1:15">
      <c r="A1544" t="s">
        <v>1643</v>
      </c>
      <c r="B1544" t="s">
        <v>146</v>
      </c>
      <c r="C1544">
        <v>5</v>
      </c>
      <c r="D1544">
        <v>26.2</v>
      </c>
      <c r="E1544">
        <v>131</v>
      </c>
      <c r="F1544" s="1">
        <v>45715</v>
      </c>
      <c r="G1544" s="1">
        <v>45718</v>
      </c>
      <c r="H1544" t="s">
        <v>23</v>
      </c>
      <c r="I1544" t="s">
        <v>51</v>
      </c>
      <c r="J1544">
        <v>2</v>
      </c>
      <c r="K1544" t="s">
        <v>19</v>
      </c>
      <c r="L1544" t="s">
        <v>33</v>
      </c>
      <c r="M1544">
        <f>orders[[#This Row],[Ship Date]]-orders[[#This Row],[Order Date]]</f>
        <v>3</v>
      </c>
      <c r="N1544">
        <f>WEEKNUM(orders[[#This Row],[Order Date]])</f>
        <v>9</v>
      </c>
      <c r="O1544" t="str">
        <f>_xlfn.IFS(orders[[#This Row],[Customer Gender]]="M","Male", orders[[#This Row],[Customer Gender]]="F","Female", orders[[#This Row],[Customer Gender]]="O","Other", TRUE,"Unknown")</f>
        <v>Male</v>
      </c>
    </row>
    <row r="1545" spans="1:15">
      <c r="A1545" t="s">
        <v>1644</v>
      </c>
      <c r="B1545" t="s">
        <v>30</v>
      </c>
      <c r="C1545">
        <v>1</v>
      </c>
      <c r="D1545">
        <v>44.2</v>
      </c>
      <c r="E1545">
        <v>44.2</v>
      </c>
      <c r="F1545" s="1">
        <v>45715</v>
      </c>
      <c r="G1545" s="1">
        <v>45718</v>
      </c>
      <c r="H1545" t="s">
        <v>27</v>
      </c>
      <c r="I1545" t="s">
        <v>35</v>
      </c>
      <c r="J1545">
        <v>4</v>
      </c>
      <c r="K1545" t="s">
        <v>19</v>
      </c>
      <c r="L1545" t="s">
        <v>33</v>
      </c>
      <c r="M1545">
        <f>orders[[#This Row],[Ship Date]]-orders[[#This Row],[Order Date]]</f>
        <v>3</v>
      </c>
      <c r="N1545">
        <f>WEEKNUM(orders[[#This Row],[Order Date]])</f>
        <v>9</v>
      </c>
      <c r="O1545" t="str">
        <f>_xlfn.IFS(orders[[#This Row],[Customer Gender]]="M","Male", orders[[#This Row],[Customer Gender]]="F","Female", orders[[#This Row],[Customer Gender]]="O","Other", TRUE,"Unknown")</f>
        <v>Female</v>
      </c>
    </row>
    <row r="1546" spans="1:15">
      <c r="A1546" t="s">
        <v>1645</v>
      </c>
      <c r="B1546" t="s">
        <v>46</v>
      </c>
      <c r="C1546">
        <v>2</v>
      </c>
      <c r="D1546">
        <v>59.2</v>
      </c>
      <c r="E1546">
        <v>118.4</v>
      </c>
      <c r="F1546" s="1">
        <v>45715</v>
      </c>
      <c r="G1546" s="1">
        <v>45715</v>
      </c>
      <c r="H1546" t="s">
        <v>27</v>
      </c>
      <c r="I1546" t="s">
        <v>35</v>
      </c>
      <c r="J1546">
        <v>2</v>
      </c>
      <c r="K1546" t="s">
        <v>19</v>
      </c>
      <c r="L1546" t="s">
        <v>33</v>
      </c>
      <c r="M1546">
        <f>orders[[#This Row],[Ship Date]]-orders[[#This Row],[Order Date]]</f>
        <v>0</v>
      </c>
      <c r="N1546">
        <f>WEEKNUM(orders[[#This Row],[Order Date]])</f>
        <v>9</v>
      </c>
      <c r="O1546" t="str">
        <f>_xlfn.IFS(orders[[#This Row],[Customer Gender]]="M","Male", orders[[#This Row],[Customer Gender]]="F","Female", orders[[#This Row],[Customer Gender]]="O","Other", TRUE,"Unknown")</f>
        <v>Female</v>
      </c>
    </row>
    <row r="1547" spans="1:15">
      <c r="A1547" t="s">
        <v>1646</v>
      </c>
      <c r="B1547" t="s">
        <v>123</v>
      </c>
      <c r="C1547">
        <v>4</v>
      </c>
      <c r="D1547">
        <v>41.5</v>
      </c>
      <c r="E1547">
        <v>166</v>
      </c>
      <c r="F1547" s="1">
        <v>45715</v>
      </c>
      <c r="G1547" s="1">
        <v>45717</v>
      </c>
      <c r="H1547" t="s">
        <v>27</v>
      </c>
      <c r="I1547" t="s">
        <v>18</v>
      </c>
      <c r="J1547">
        <v>4</v>
      </c>
      <c r="K1547" t="s">
        <v>19</v>
      </c>
      <c r="L1547" t="s">
        <v>98</v>
      </c>
      <c r="M1547">
        <f>orders[[#This Row],[Ship Date]]-orders[[#This Row],[Order Date]]</f>
        <v>2</v>
      </c>
      <c r="N1547">
        <f>WEEKNUM(orders[[#This Row],[Order Date]])</f>
        <v>9</v>
      </c>
      <c r="O1547" t="str">
        <f>_xlfn.IFS(orders[[#This Row],[Customer Gender]]="M","Male", orders[[#This Row],[Customer Gender]]="F","Female", orders[[#This Row],[Customer Gender]]="O","Other", TRUE,"Unknown")</f>
        <v>Female</v>
      </c>
    </row>
    <row r="1548" spans="1:15">
      <c r="A1548" t="s">
        <v>1647</v>
      </c>
      <c r="B1548" t="s">
        <v>39</v>
      </c>
      <c r="C1548">
        <v>12</v>
      </c>
      <c r="D1548">
        <v>67.099999999999994</v>
      </c>
      <c r="E1548">
        <v>805.19999999999993</v>
      </c>
      <c r="F1548" s="1">
        <v>45715</v>
      </c>
      <c r="G1548" s="1">
        <v>45729</v>
      </c>
      <c r="H1548" t="s">
        <v>27</v>
      </c>
      <c r="I1548" t="s">
        <v>18</v>
      </c>
      <c r="J1548">
        <v>5</v>
      </c>
      <c r="K1548" t="s">
        <v>19</v>
      </c>
      <c r="L1548" t="s">
        <v>158</v>
      </c>
      <c r="M1548">
        <f>orders[[#This Row],[Ship Date]]-orders[[#This Row],[Order Date]]</f>
        <v>14</v>
      </c>
      <c r="N1548">
        <f>WEEKNUM(orders[[#This Row],[Order Date]])</f>
        <v>9</v>
      </c>
      <c r="O1548" t="str">
        <f>_xlfn.IFS(orders[[#This Row],[Customer Gender]]="M","Male", orders[[#This Row],[Customer Gender]]="F","Female", orders[[#This Row],[Customer Gender]]="O","Other", TRUE,"Unknown")</f>
        <v>Female</v>
      </c>
    </row>
    <row r="1549" spans="1:15">
      <c r="A1549" t="s">
        <v>1648</v>
      </c>
      <c r="B1549" t="s">
        <v>44</v>
      </c>
      <c r="C1549">
        <v>2</v>
      </c>
      <c r="D1549">
        <v>28.7</v>
      </c>
      <c r="E1549">
        <v>57.4</v>
      </c>
      <c r="F1549" s="1">
        <v>45715</v>
      </c>
      <c r="G1549" s="1">
        <v>45719</v>
      </c>
      <c r="H1549" t="s">
        <v>27</v>
      </c>
      <c r="I1549" t="s">
        <v>35</v>
      </c>
      <c r="J1549">
        <v>4</v>
      </c>
      <c r="K1549" t="s">
        <v>19</v>
      </c>
      <c r="L1549" t="s">
        <v>55</v>
      </c>
      <c r="M1549">
        <f>orders[[#This Row],[Ship Date]]-orders[[#This Row],[Order Date]]</f>
        <v>4</v>
      </c>
      <c r="N1549">
        <f>WEEKNUM(orders[[#This Row],[Order Date]])</f>
        <v>9</v>
      </c>
      <c r="O1549" t="str">
        <f>_xlfn.IFS(orders[[#This Row],[Customer Gender]]="M","Male", orders[[#This Row],[Customer Gender]]="F","Female", orders[[#This Row],[Customer Gender]]="O","Other", TRUE,"Unknown")</f>
        <v>Female</v>
      </c>
    </row>
    <row r="1550" spans="1:15">
      <c r="A1550" t="s">
        <v>1649</v>
      </c>
      <c r="B1550" t="s">
        <v>26</v>
      </c>
      <c r="C1550">
        <v>4</v>
      </c>
      <c r="D1550">
        <v>132.1</v>
      </c>
      <c r="E1550">
        <v>528.4</v>
      </c>
      <c r="F1550" s="1">
        <v>45715</v>
      </c>
      <c r="G1550" s="1">
        <v>45716</v>
      </c>
      <c r="H1550" t="s">
        <v>27</v>
      </c>
      <c r="I1550" t="s">
        <v>18</v>
      </c>
      <c r="J1550">
        <v>3</v>
      </c>
      <c r="K1550" t="s">
        <v>19</v>
      </c>
      <c r="L1550" t="s">
        <v>55</v>
      </c>
      <c r="M1550">
        <f>orders[[#This Row],[Ship Date]]-orders[[#This Row],[Order Date]]</f>
        <v>1</v>
      </c>
      <c r="N1550">
        <f>WEEKNUM(orders[[#This Row],[Order Date]])</f>
        <v>9</v>
      </c>
      <c r="O1550" t="str">
        <f>_xlfn.IFS(orders[[#This Row],[Customer Gender]]="M","Male", orders[[#This Row],[Customer Gender]]="F","Female", orders[[#This Row],[Customer Gender]]="O","Other", TRUE,"Unknown")</f>
        <v>Female</v>
      </c>
    </row>
    <row r="1551" spans="1:15">
      <c r="A1551" t="s">
        <v>1650</v>
      </c>
      <c r="B1551" t="s">
        <v>146</v>
      </c>
      <c r="C1551">
        <v>2</v>
      </c>
      <c r="D1551">
        <v>47</v>
      </c>
      <c r="E1551">
        <v>94</v>
      </c>
      <c r="F1551" s="1">
        <v>45715</v>
      </c>
      <c r="G1551" s="1">
        <v>45717</v>
      </c>
      <c r="H1551" t="s">
        <v>23</v>
      </c>
      <c r="I1551" t="s">
        <v>70</v>
      </c>
      <c r="J1551">
        <v>4</v>
      </c>
      <c r="K1551" t="s">
        <v>19</v>
      </c>
      <c r="L1551" t="s">
        <v>62</v>
      </c>
      <c r="M1551">
        <f>orders[[#This Row],[Ship Date]]-orders[[#This Row],[Order Date]]</f>
        <v>2</v>
      </c>
      <c r="N1551">
        <f>WEEKNUM(orders[[#This Row],[Order Date]])</f>
        <v>9</v>
      </c>
      <c r="O1551" t="str">
        <f>_xlfn.IFS(orders[[#This Row],[Customer Gender]]="M","Male", orders[[#This Row],[Customer Gender]]="F","Female", orders[[#This Row],[Customer Gender]]="O","Other", TRUE,"Unknown")</f>
        <v>Male</v>
      </c>
    </row>
    <row r="1552" spans="1:15">
      <c r="A1552" t="s">
        <v>1651</v>
      </c>
      <c r="B1552" t="s">
        <v>44</v>
      </c>
      <c r="C1552">
        <v>2</v>
      </c>
      <c r="D1552">
        <v>41.6</v>
      </c>
      <c r="E1552">
        <v>83.2</v>
      </c>
      <c r="F1552" s="1">
        <v>45715</v>
      </c>
      <c r="G1552" s="1">
        <v>45719</v>
      </c>
      <c r="H1552" t="s">
        <v>23</v>
      </c>
      <c r="I1552" t="s">
        <v>35</v>
      </c>
      <c r="J1552">
        <v>5</v>
      </c>
      <c r="K1552" t="s">
        <v>19</v>
      </c>
      <c r="L1552" t="s">
        <v>62</v>
      </c>
      <c r="M1552">
        <f>orders[[#This Row],[Ship Date]]-orders[[#This Row],[Order Date]]</f>
        <v>4</v>
      </c>
      <c r="N1552">
        <f>WEEKNUM(orders[[#This Row],[Order Date]])</f>
        <v>9</v>
      </c>
      <c r="O1552" t="str">
        <f>_xlfn.IFS(orders[[#This Row],[Customer Gender]]="M","Male", orders[[#This Row],[Customer Gender]]="F","Female", orders[[#This Row],[Customer Gender]]="O","Other", TRUE,"Unknown")</f>
        <v>Male</v>
      </c>
    </row>
    <row r="1553" spans="1:15">
      <c r="A1553" t="s">
        <v>1652</v>
      </c>
      <c r="B1553" t="s">
        <v>44</v>
      </c>
      <c r="C1553">
        <v>38</v>
      </c>
      <c r="D1553">
        <v>17.3</v>
      </c>
      <c r="E1553">
        <v>657.4</v>
      </c>
      <c r="F1553" s="1">
        <v>45715</v>
      </c>
      <c r="G1553" s="1">
        <v>45717</v>
      </c>
      <c r="H1553" t="s">
        <v>23</v>
      </c>
      <c r="I1553" t="s">
        <v>40</v>
      </c>
      <c r="J1553">
        <v>5</v>
      </c>
      <c r="K1553" t="s">
        <v>19</v>
      </c>
      <c r="L1553" t="s">
        <v>62</v>
      </c>
      <c r="M1553">
        <f>orders[[#This Row],[Ship Date]]-orders[[#This Row],[Order Date]]</f>
        <v>2</v>
      </c>
      <c r="N1553">
        <f>WEEKNUM(orders[[#This Row],[Order Date]])</f>
        <v>9</v>
      </c>
      <c r="O1553" t="str">
        <f>_xlfn.IFS(orders[[#This Row],[Customer Gender]]="M","Male", orders[[#This Row],[Customer Gender]]="F","Female", orders[[#This Row],[Customer Gender]]="O","Other", TRUE,"Unknown")</f>
        <v>Male</v>
      </c>
    </row>
    <row r="1554" spans="1:15">
      <c r="A1554" t="s">
        <v>1653</v>
      </c>
      <c r="B1554" t="s">
        <v>76</v>
      </c>
      <c r="C1554">
        <v>3</v>
      </c>
      <c r="D1554">
        <v>41.8</v>
      </c>
      <c r="E1554">
        <v>125.39999999999999</v>
      </c>
      <c r="F1554" s="1">
        <v>45715</v>
      </c>
      <c r="G1554" s="1">
        <v>45718</v>
      </c>
      <c r="H1554" t="s">
        <v>23</v>
      </c>
      <c r="I1554" t="s">
        <v>18</v>
      </c>
      <c r="J1554">
        <v>5</v>
      </c>
      <c r="K1554" t="s">
        <v>19</v>
      </c>
      <c r="L1554" t="s">
        <v>62</v>
      </c>
      <c r="M1554">
        <f>orders[[#This Row],[Ship Date]]-orders[[#This Row],[Order Date]]</f>
        <v>3</v>
      </c>
      <c r="N1554">
        <f>WEEKNUM(orders[[#This Row],[Order Date]])</f>
        <v>9</v>
      </c>
      <c r="O1554" t="str">
        <f>_xlfn.IFS(orders[[#This Row],[Customer Gender]]="M","Male", orders[[#This Row],[Customer Gender]]="F","Female", orders[[#This Row],[Customer Gender]]="O","Other", TRUE,"Unknown")</f>
        <v>Male</v>
      </c>
    </row>
    <row r="1555" spans="1:15">
      <c r="A1555" t="s">
        <v>1654</v>
      </c>
      <c r="B1555" t="s">
        <v>54</v>
      </c>
      <c r="C1555">
        <v>1</v>
      </c>
      <c r="D1555">
        <v>24</v>
      </c>
      <c r="E1555">
        <v>24</v>
      </c>
      <c r="F1555" s="1">
        <v>45715</v>
      </c>
      <c r="G1555" s="1">
        <v>45716</v>
      </c>
      <c r="H1555" t="s">
        <v>27</v>
      </c>
      <c r="I1555" t="s">
        <v>18</v>
      </c>
      <c r="J1555">
        <v>4</v>
      </c>
      <c r="K1555" t="s">
        <v>19</v>
      </c>
      <c r="L1555" t="s">
        <v>103</v>
      </c>
      <c r="M1555">
        <f>orders[[#This Row],[Ship Date]]-orders[[#This Row],[Order Date]]</f>
        <v>1</v>
      </c>
      <c r="N1555">
        <f>WEEKNUM(orders[[#This Row],[Order Date]])</f>
        <v>9</v>
      </c>
      <c r="O1555" t="str">
        <f>_xlfn.IFS(orders[[#This Row],[Customer Gender]]="M","Male", orders[[#This Row],[Customer Gender]]="F","Female", orders[[#This Row],[Customer Gender]]="O","Other", TRUE,"Unknown")</f>
        <v>Female</v>
      </c>
    </row>
    <row r="1556" spans="1:15">
      <c r="A1556" t="s">
        <v>1655</v>
      </c>
      <c r="B1556" t="s">
        <v>81</v>
      </c>
      <c r="C1556">
        <v>9</v>
      </c>
      <c r="D1556">
        <v>18.5</v>
      </c>
      <c r="E1556">
        <v>166.5</v>
      </c>
      <c r="F1556" s="1">
        <v>45715</v>
      </c>
      <c r="G1556" s="1">
        <v>45717</v>
      </c>
      <c r="H1556" t="s">
        <v>27</v>
      </c>
      <c r="I1556" t="s">
        <v>18</v>
      </c>
      <c r="J1556">
        <v>4</v>
      </c>
      <c r="K1556" t="s">
        <v>19</v>
      </c>
      <c r="L1556" t="s">
        <v>72</v>
      </c>
      <c r="M1556">
        <f>orders[[#This Row],[Ship Date]]-orders[[#This Row],[Order Date]]</f>
        <v>2</v>
      </c>
      <c r="N1556">
        <f>WEEKNUM(orders[[#This Row],[Order Date]])</f>
        <v>9</v>
      </c>
      <c r="O1556" t="str">
        <f>_xlfn.IFS(orders[[#This Row],[Customer Gender]]="M","Male", orders[[#This Row],[Customer Gender]]="F","Female", orders[[#This Row],[Customer Gender]]="O","Other", TRUE,"Unknown")</f>
        <v>Female</v>
      </c>
    </row>
    <row r="1557" spans="1:15">
      <c r="A1557" t="s">
        <v>1656</v>
      </c>
      <c r="B1557" t="s">
        <v>30</v>
      </c>
      <c r="C1557">
        <v>12</v>
      </c>
      <c r="D1557">
        <v>66.7</v>
      </c>
      <c r="E1557">
        <v>800.40000000000009</v>
      </c>
      <c r="F1557" s="1">
        <v>45715</v>
      </c>
      <c r="G1557" s="1">
        <v>45718</v>
      </c>
      <c r="H1557" t="s">
        <v>17</v>
      </c>
      <c r="I1557" t="s">
        <v>18</v>
      </c>
      <c r="J1557">
        <v>5</v>
      </c>
      <c r="K1557" t="s">
        <v>19</v>
      </c>
      <c r="L1557" t="s">
        <v>77</v>
      </c>
      <c r="M1557">
        <f>orders[[#This Row],[Ship Date]]-orders[[#This Row],[Order Date]]</f>
        <v>3</v>
      </c>
      <c r="N1557">
        <f>WEEKNUM(orders[[#This Row],[Order Date]])</f>
        <v>9</v>
      </c>
      <c r="O1557" t="str">
        <f>_xlfn.IFS(orders[[#This Row],[Customer Gender]]="M","Male", orders[[#This Row],[Customer Gender]]="F","Female", orders[[#This Row],[Customer Gender]]="O","Other", TRUE,"Unknown")</f>
        <v>Unknown</v>
      </c>
    </row>
    <row r="1558" spans="1:15">
      <c r="A1558" t="s">
        <v>1657</v>
      </c>
      <c r="B1558" t="s">
        <v>22</v>
      </c>
      <c r="C1558">
        <v>4</v>
      </c>
      <c r="D1558">
        <v>33.1</v>
      </c>
      <c r="E1558">
        <v>132.4</v>
      </c>
      <c r="F1558" s="1">
        <v>45715</v>
      </c>
      <c r="G1558" s="1">
        <v>45720</v>
      </c>
      <c r="H1558" t="s">
        <v>23</v>
      </c>
      <c r="I1558" t="s">
        <v>51</v>
      </c>
      <c r="J1558">
        <v>4</v>
      </c>
      <c r="K1558" t="s">
        <v>19</v>
      </c>
      <c r="L1558" t="s">
        <v>77</v>
      </c>
      <c r="M1558">
        <f>orders[[#This Row],[Ship Date]]-orders[[#This Row],[Order Date]]</f>
        <v>5</v>
      </c>
      <c r="N1558">
        <f>WEEKNUM(orders[[#This Row],[Order Date]])</f>
        <v>9</v>
      </c>
      <c r="O1558" t="str">
        <f>_xlfn.IFS(orders[[#This Row],[Customer Gender]]="M","Male", orders[[#This Row],[Customer Gender]]="F","Female", orders[[#This Row],[Customer Gender]]="O","Other", TRUE,"Unknown")</f>
        <v>Male</v>
      </c>
    </row>
    <row r="1559" spans="1:15">
      <c r="A1559" t="s">
        <v>1658</v>
      </c>
      <c r="B1559" t="s">
        <v>171</v>
      </c>
      <c r="C1559">
        <v>9</v>
      </c>
      <c r="D1559">
        <v>42.1</v>
      </c>
      <c r="E1559">
        <v>378.90000000000003</v>
      </c>
      <c r="F1559" s="1">
        <v>45715</v>
      </c>
      <c r="G1559" s="1">
        <v>45726</v>
      </c>
      <c r="H1559" t="s">
        <v>23</v>
      </c>
      <c r="I1559" t="s">
        <v>35</v>
      </c>
      <c r="J1559">
        <v>4</v>
      </c>
      <c r="K1559" t="s">
        <v>19</v>
      </c>
      <c r="L1559" t="s">
        <v>108</v>
      </c>
      <c r="M1559">
        <f>orders[[#This Row],[Ship Date]]-orders[[#This Row],[Order Date]]</f>
        <v>11</v>
      </c>
      <c r="N1559">
        <f>WEEKNUM(orders[[#This Row],[Order Date]])</f>
        <v>9</v>
      </c>
      <c r="O1559" t="str">
        <f>_xlfn.IFS(orders[[#This Row],[Customer Gender]]="M","Male", orders[[#This Row],[Customer Gender]]="F","Female", orders[[#This Row],[Customer Gender]]="O","Other", TRUE,"Unknown")</f>
        <v>Male</v>
      </c>
    </row>
    <row r="1560" spans="1:15">
      <c r="A1560" t="s">
        <v>1659</v>
      </c>
      <c r="B1560" t="s">
        <v>146</v>
      </c>
      <c r="C1560">
        <v>7</v>
      </c>
      <c r="D1560">
        <v>58.7</v>
      </c>
      <c r="E1560">
        <v>410.90000000000003</v>
      </c>
      <c r="F1560" s="1">
        <v>45715</v>
      </c>
      <c r="G1560" s="1">
        <v>45715</v>
      </c>
      <c r="H1560" t="s">
        <v>89</v>
      </c>
      <c r="I1560" t="s">
        <v>51</v>
      </c>
      <c r="J1560">
        <v>4</v>
      </c>
      <c r="K1560" t="s">
        <v>19</v>
      </c>
      <c r="L1560" t="s">
        <v>292</v>
      </c>
      <c r="M1560">
        <f>orders[[#This Row],[Ship Date]]-orders[[#This Row],[Order Date]]</f>
        <v>0</v>
      </c>
      <c r="N1560">
        <f>WEEKNUM(orders[[#This Row],[Order Date]])</f>
        <v>9</v>
      </c>
      <c r="O1560" t="str">
        <f>_xlfn.IFS(orders[[#This Row],[Customer Gender]]="M","Male", orders[[#This Row],[Customer Gender]]="F","Female", orders[[#This Row],[Customer Gender]]="O","Other", TRUE,"Unknown")</f>
        <v>Other</v>
      </c>
    </row>
    <row r="1561" spans="1:15">
      <c r="A1561" t="s">
        <v>1660</v>
      </c>
      <c r="B1561" t="s">
        <v>39</v>
      </c>
      <c r="C1561">
        <v>4</v>
      </c>
      <c r="D1561">
        <v>54</v>
      </c>
      <c r="E1561">
        <v>216</v>
      </c>
      <c r="F1561" s="1">
        <v>45715</v>
      </c>
      <c r="G1561" s="1">
        <v>45717</v>
      </c>
      <c r="H1561" t="s">
        <v>27</v>
      </c>
      <c r="I1561" t="s">
        <v>35</v>
      </c>
      <c r="J1561">
        <v>4</v>
      </c>
      <c r="K1561" t="s">
        <v>19</v>
      </c>
      <c r="L1561" t="s">
        <v>24</v>
      </c>
      <c r="M1561">
        <f>orders[[#This Row],[Ship Date]]-orders[[#This Row],[Order Date]]</f>
        <v>2</v>
      </c>
      <c r="N1561">
        <f>WEEKNUM(orders[[#This Row],[Order Date]])</f>
        <v>9</v>
      </c>
      <c r="O1561" t="str">
        <f>_xlfn.IFS(orders[[#This Row],[Customer Gender]]="M","Male", orders[[#This Row],[Customer Gender]]="F","Female", orders[[#This Row],[Customer Gender]]="O","Other", TRUE,"Unknown")</f>
        <v>Female</v>
      </c>
    </row>
    <row r="1562" spans="1:15">
      <c r="A1562" t="s">
        <v>1661</v>
      </c>
      <c r="B1562" t="s">
        <v>44</v>
      </c>
      <c r="C1562">
        <v>1</v>
      </c>
      <c r="D1562">
        <v>52.1</v>
      </c>
      <c r="E1562">
        <v>52.1</v>
      </c>
      <c r="F1562" s="1">
        <v>45715</v>
      </c>
      <c r="G1562" s="1">
        <v>45716</v>
      </c>
      <c r="H1562" t="s">
        <v>27</v>
      </c>
      <c r="I1562" t="s">
        <v>40</v>
      </c>
      <c r="J1562">
        <v>5</v>
      </c>
      <c r="K1562" t="s">
        <v>19</v>
      </c>
      <c r="L1562" t="s">
        <v>28</v>
      </c>
      <c r="M1562">
        <f>orders[[#This Row],[Ship Date]]-orders[[#This Row],[Order Date]]</f>
        <v>1</v>
      </c>
      <c r="N1562">
        <f>WEEKNUM(orders[[#This Row],[Order Date]])</f>
        <v>9</v>
      </c>
      <c r="O1562" t="str">
        <f>_xlfn.IFS(orders[[#This Row],[Customer Gender]]="M","Male", orders[[#This Row],[Customer Gender]]="F","Female", orders[[#This Row],[Customer Gender]]="O","Other", TRUE,"Unknown")</f>
        <v>Female</v>
      </c>
    </row>
    <row r="1563" spans="1:15">
      <c r="A1563" t="s">
        <v>1662</v>
      </c>
      <c r="B1563" t="s">
        <v>171</v>
      </c>
      <c r="C1563">
        <v>2</v>
      </c>
      <c r="D1563">
        <v>27</v>
      </c>
      <c r="E1563">
        <v>54</v>
      </c>
      <c r="F1563" s="1">
        <v>45715</v>
      </c>
      <c r="G1563" s="1">
        <v>45718</v>
      </c>
      <c r="H1563" t="s">
        <v>89</v>
      </c>
      <c r="I1563" t="s">
        <v>40</v>
      </c>
      <c r="J1563">
        <v>4</v>
      </c>
      <c r="K1563" t="s">
        <v>19</v>
      </c>
      <c r="L1563" t="s">
        <v>147</v>
      </c>
      <c r="M1563">
        <f>orders[[#This Row],[Ship Date]]-orders[[#This Row],[Order Date]]</f>
        <v>3</v>
      </c>
      <c r="N1563">
        <f>WEEKNUM(orders[[#This Row],[Order Date]])</f>
        <v>9</v>
      </c>
      <c r="O1563" t="str">
        <f>_xlfn.IFS(orders[[#This Row],[Customer Gender]]="M","Male", orders[[#This Row],[Customer Gender]]="F","Female", orders[[#This Row],[Customer Gender]]="O","Other", TRUE,"Unknown")</f>
        <v>Other</v>
      </c>
    </row>
    <row r="1564" spans="1:15">
      <c r="A1564" t="s">
        <v>1663</v>
      </c>
      <c r="B1564" t="s">
        <v>69</v>
      </c>
      <c r="C1564">
        <v>10</v>
      </c>
      <c r="D1564">
        <v>31</v>
      </c>
      <c r="E1564">
        <v>310</v>
      </c>
      <c r="F1564" s="1">
        <v>45716</v>
      </c>
      <c r="G1564" s="1">
        <v>45717</v>
      </c>
      <c r="H1564" t="s">
        <v>27</v>
      </c>
      <c r="I1564" t="s">
        <v>51</v>
      </c>
      <c r="J1564">
        <v>5</v>
      </c>
      <c r="K1564" t="s">
        <v>19</v>
      </c>
      <c r="L1564" t="s">
        <v>147</v>
      </c>
      <c r="M1564">
        <f>orders[[#This Row],[Ship Date]]-orders[[#This Row],[Order Date]]</f>
        <v>1</v>
      </c>
      <c r="N1564">
        <f>WEEKNUM(orders[[#This Row],[Order Date]])</f>
        <v>9</v>
      </c>
      <c r="O1564" t="str">
        <f>_xlfn.IFS(orders[[#This Row],[Customer Gender]]="M","Male", orders[[#This Row],[Customer Gender]]="F","Female", orders[[#This Row],[Customer Gender]]="O","Other", TRUE,"Unknown")</f>
        <v>Female</v>
      </c>
    </row>
    <row r="1565" spans="1:15">
      <c r="A1565" t="s">
        <v>1664</v>
      </c>
      <c r="B1565" t="s">
        <v>54</v>
      </c>
      <c r="C1565">
        <v>2</v>
      </c>
      <c r="D1565">
        <v>46.7</v>
      </c>
      <c r="E1565">
        <v>93.4</v>
      </c>
      <c r="F1565" s="1">
        <v>45716</v>
      </c>
      <c r="G1565" s="1">
        <v>45716</v>
      </c>
      <c r="H1565" t="s">
        <v>27</v>
      </c>
      <c r="I1565" t="s">
        <v>18</v>
      </c>
      <c r="J1565">
        <v>4</v>
      </c>
      <c r="K1565" t="s">
        <v>19</v>
      </c>
      <c r="L1565" t="s">
        <v>334</v>
      </c>
      <c r="M1565">
        <f>orders[[#This Row],[Ship Date]]-orders[[#This Row],[Order Date]]</f>
        <v>0</v>
      </c>
      <c r="N1565">
        <f>WEEKNUM(orders[[#This Row],[Order Date]])</f>
        <v>9</v>
      </c>
      <c r="O1565" t="str">
        <f>_xlfn.IFS(orders[[#This Row],[Customer Gender]]="M","Male", orders[[#This Row],[Customer Gender]]="F","Female", orders[[#This Row],[Customer Gender]]="O","Other", TRUE,"Unknown")</f>
        <v>Female</v>
      </c>
    </row>
    <row r="1566" spans="1:15">
      <c r="A1566" t="s">
        <v>1665</v>
      </c>
      <c r="B1566" t="s">
        <v>39</v>
      </c>
      <c r="C1566">
        <v>1</v>
      </c>
      <c r="D1566">
        <v>144.69999999999999</v>
      </c>
      <c r="E1566">
        <v>144.69999999999999</v>
      </c>
      <c r="F1566" s="1">
        <v>45716</v>
      </c>
      <c r="G1566" s="1">
        <v>45719</v>
      </c>
      <c r="H1566" t="s">
        <v>23</v>
      </c>
      <c r="I1566" t="s">
        <v>18</v>
      </c>
      <c r="J1566">
        <v>5</v>
      </c>
      <c r="K1566" t="s">
        <v>19</v>
      </c>
      <c r="L1566" t="s">
        <v>33</v>
      </c>
      <c r="M1566">
        <f>orders[[#This Row],[Ship Date]]-orders[[#This Row],[Order Date]]</f>
        <v>3</v>
      </c>
      <c r="N1566">
        <f>WEEKNUM(orders[[#This Row],[Order Date]])</f>
        <v>9</v>
      </c>
      <c r="O1566" t="str">
        <f>_xlfn.IFS(orders[[#This Row],[Customer Gender]]="M","Male", orders[[#This Row],[Customer Gender]]="F","Female", orders[[#This Row],[Customer Gender]]="O","Other", TRUE,"Unknown")</f>
        <v>Male</v>
      </c>
    </row>
    <row r="1567" spans="1:15">
      <c r="A1567" t="s">
        <v>1666</v>
      </c>
      <c r="B1567" t="s">
        <v>26</v>
      </c>
      <c r="C1567">
        <v>9</v>
      </c>
      <c r="D1567">
        <v>90.9</v>
      </c>
      <c r="E1567">
        <v>818.1</v>
      </c>
      <c r="F1567" s="1">
        <v>45716</v>
      </c>
      <c r="G1567" s="1">
        <v>45717</v>
      </c>
      <c r="H1567" t="s">
        <v>23</v>
      </c>
      <c r="I1567" t="s">
        <v>18</v>
      </c>
      <c r="J1567">
        <v>5</v>
      </c>
      <c r="K1567" t="s">
        <v>19</v>
      </c>
      <c r="L1567" t="s">
        <v>33</v>
      </c>
      <c r="M1567">
        <f>orders[[#This Row],[Ship Date]]-orders[[#This Row],[Order Date]]</f>
        <v>1</v>
      </c>
      <c r="N1567">
        <f>WEEKNUM(orders[[#This Row],[Order Date]])</f>
        <v>9</v>
      </c>
      <c r="O1567" t="str">
        <f>_xlfn.IFS(orders[[#This Row],[Customer Gender]]="M","Male", orders[[#This Row],[Customer Gender]]="F","Female", orders[[#This Row],[Customer Gender]]="O","Other", TRUE,"Unknown")</f>
        <v>Male</v>
      </c>
    </row>
    <row r="1568" spans="1:15">
      <c r="A1568" t="s">
        <v>1667</v>
      </c>
      <c r="B1568" t="s">
        <v>22</v>
      </c>
      <c r="C1568">
        <v>2</v>
      </c>
      <c r="D1568">
        <v>75.8</v>
      </c>
      <c r="E1568">
        <v>151.6</v>
      </c>
      <c r="F1568" s="1">
        <v>45716</v>
      </c>
      <c r="G1568" s="1">
        <v>45717</v>
      </c>
      <c r="H1568" t="s">
        <v>27</v>
      </c>
      <c r="I1568" t="s">
        <v>40</v>
      </c>
      <c r="J1568">
        <v>3</v>
      </c>
      <c r="K1568" t="s">
        <v>19</v>
      </c>
      <c r="L1568" t="s">
        <v>33</v>
      </c>
      <c r="M1568">
        <f>orders[[#This Row],[Ship Date]]-orders[[#This Row],[Order Date]]</f>
        <v>1</v>
      </c>
      <c r="N1568">
        <f>WEEKNUM(orders[[#This Row],[Order Date]])</f>
        <v>9</v>
      </c>
      <c r="O1568" t="str">
        <f>_xlfn.IFS(orders[[#This Row],[Customer Gender]]="M","Male", orders[[#This Row],[Customer Gender]]="F","Female", orders[[#This Row],[Customer Gender]]="O","Other", TRUE,"Unknown")</f>
        <v>Female</v>
      </c>
    </row>
    <row r="1569" spans="1:15">
      <c r="A1569" t="s">
        <v>1668</v>
      </c>
      <c r="B1569" t="s">
        <v>42</v>
      </c>
      <c r="C1569">
        <v>5</v>
      </c>
      <c r="D1569">
        <v>57.9</v>
      </c>
      <c r="E1569">
        <v>289.5</v>
      </c>
      <c r="F1569" s="1">
        <v>45716</v>
      </c>
      <c r="G1569" s="1">
        <v>45718</v>
      </c>
      <c r="H1569" t="s">
        <v>23</v>
      </c>
      <c r="I1569" t="s">
        <v>40</v>
      </c>
      <c r="J1569">
        <v>5</v>
      </c>
      <c r="K1569" t="s">
        <v>19</v>
      </c>
      <c r="L1569" t="s">
        <v>33</v>
      </c>
      <c r="M1569">
        <f>orders[[#This Row],[Ship Date]]-orders[[#This Row],[Order Date]]</f>
        <v>2</v>
      </c>
      <c r="N1569">
        <f>WEEKNUM(orders[[#This Row],[Order Date]])</f>
        <v>9</v>
      </c>
      <c r="O1569" t="str">
        <f>_xlfn.IFS(orders[[#This Row],[Customer Gender]]="M","Male", orders[[#This Row],[Customer Gender]]="F","Female", orders[[#This Row],[Customer Gender]]="O","Other", TRUE,"Unknown")</f>
        <v>Male</v>
      </c>
    </row>
    <row r="1570" spans="1:15">
      <c r="A1570" t="s">
        <v>1669</v>
      </c>
      <c r="B1570" t="s">
        <v>44</v>
      </c>
      <c r="C1570">
        <v>5</v>
      </c>
      <c r="D1570">
        <v>44.8</v>
      </c>
      <c r="E1570">
        <v>224</v>
      </c>
      <c r="F1570" s="1">
        <v>45716</v>
      </c>
      <c r="G1570" s="1">
        <v>45717</v>
      </c>
      <c r="H1570" t="s">
        <v>27</v>
      </c>
      <c r="I1570" t="s">
        <v>51</v>
      </c>
      <c r="J1570">
        <v>5</v>
      </c>
      <c r="K1570" t="s">
        <v>19</v>
      </c>
      <c r="L1570" t="s">
        <v>33</v>
      </c>
      <c r="M1570">
        <f>orders[[#This Row],[Ship Date]]-orders[[#This Row],[Order Date]]</f>
        <v>1</v>
      </c>
      <c r="N1570">
        <f>WEEKNUM(orders[[#This Row],[Order Date]])</f>
        <v>9</v>
      </c>
      <c r="O1570" t="str">
        <f>_xlfn.IFS(orders[[#This Row],[Customer Gender]]="M","Male", orders[[#This Row],[Customer Gender]]="F","Female", orders[[#This Row],[Customer Gender]]="O","Other", TRUE,"Unknown")</f>
        <v>Female</v>
      </c>
    </row>
    <row r="1571" spans="1:15">
      <c r="A1571" t="s">
        <v>1670</v>
      </c>
      <c r="B1571" t="s">
        <v>46</v>
      </c>
      <c r="C1571">
        <v>3</v>
      </c>
      <c r="D1571">
        <v>44.2</v>
      </c>
      <c r="E1571">
        <v>132.60000000000002</v>
      </c>
      <c r="F1571" s="1">
        <v>45716</v>
      </c>
      <c r="G1571" s="1">
        <v>45720</v>
      </c>
      <c r="H1571" t="s">
        <v>23</v>
      </c>
      <c r="I1571" t="s">
        <v>40</v>
      </c>
      <c r="J1571">
        <v>5</v>
      </c>
      <c r="K1571" t="s">
        <v>19</v>
      </c>
      <c r="L1571" t="s">
        <v>33</v>
      </c>
      <c r="M1571">
        <f>orders[[#This Row],[Ship Date]]-orders[[#This Row],[Order Date]]</f>
        <v>4</v>
      </c>
      <c r="N1571">
        <f>WEEKNUM(orders[[#This Row],[Order Date]])</f>
        <v>9</v>
      </c>
      <c r="O1571" t="str">
        <f>_xlfn.IFS(orders[[#This Row],[Customer Gender]]="M","Male", orders[[#This Row],[Customer Gender]]="F","Female", orders[[#This Row],[Customer Gender]]="O","Other", TRUE,"Unknown")</f>
        <v>Male</v>
      </c>
    </row>
    <row r="1572" spans="1:15">
      <c r="A1572" t="s">
        <v>1671</v>
      </c>
      <c r="B1572" t="s">
        <v>37</v>
      </c>
      <c r="C1572">
        <v>5</v>
      </c>
      <c r="D1572">
        <v>53.5</v>
      </c>
      <c r="E1572">
        <v>267.5</v>
      </c>
      <c r="F1572" s="1">
        <v>45716</v>
      </c>
      <c r="G1572" s="1">
        <v>45718</v>
      </c>
      <c r="H1572" t="s">
        <v>23</v>
      </c>
      <c r="I1572" t="s">
        <v>18</v>
      </c>
      <c r="J1572">
        <v>4</v>
      </c>
      <c r="K1572" t="s">
        <v>19</v>
      </c>
      <c r="L1572" t="s">
        <v>364</v>
      </c>
      <c r="M1572">
        <f>orders[[#This Row],[Ship Date]]-orders[[#This Row],[Order Date]]</f>
        <v>2</v>
      </c>
      <c r="N1572">
        <f>WEEKNUM(orders[[#This Row],[Order Date]])</f>
        <v>9</v>
      </c>
      <c r="O1572" t="str">
        <f>_xlfn.IFS(orders[[#This Row],[Customer Gender]]="M","Male", orders[[#This Row],[Customer Gender]]="F","Female", orders[[#This Row],[Customer Gender]]="O","Other", TRUE,"Unknown")</f>
        <v>Male</v>
      </c>
    </row>
    <row r="1573" spans="1:15">
      <c r="A1573" t="s">
        <v>1672</v>
      </c>
      <c r="B1573" t="s">
        <v>39</v>
      </c>
      <c r="C1573">
        <v>2</v>
      </c>
      <c r="D1573">
        <v>72.2</v>
      </c>
      <c r="E1573">
        <v>144.4</v>
      </c>
      <c r="F1573" s="1">
        <v>45716</v>
      </c>
      <c r="G1573" s="1">
        <v>45717</v>
      </c>
      <c r="H1573" t="s">
        <v>23</v>
      </c>
      <c r="I1573" t="s">
        <v>18</v>
      </c>
      <c r="J1573">
        <v>5</v>
      </c>
      <c r="K1573" t="s">
        <v>19</v>
      </c>
      <c r="L1573" t="s">
        <v>188</v>
      </c>
      <c r="M1573">
        <f>orders[[#This Row],[Ship Date]]-orders[[#This Row],[Order Date]]</f>
        <v>1</v>
      </c>
      <c r="N1573">
        <f>WEEKNUM(orders[[#This Row],[Order Date]])</f>
        <v>9</v>
      </c>
      <c r="O1573" t="str">
        <f>_xlfn.IFS(orders[[#This Row],[Customer Gender]]="M","Male", orders[[#This Row],[Customer Gender]]="F","Female", orders[[#This Row],[Customer Gender]]="O","Other", TRUE,"Unknown")</f>
        <v>Male</v>
      </c>
    </row>
    <row r="1574" spans="1:15">
      <c r="A1574" t="s">
        <v>1673</v>
      </c>
      <c r="B1574" t="s">
        <v>39</v>
      </c>
      <c r="C1574">
        <v>4</v>
      </c>
      <c r="D1574">
        <v>62.4</v>
      </c>
      <c r="E1574">
        <v>249.6</v>
      </c>
      <c r="F1574" s="1">
        <v>45716</v>
      </c>
      <c r="G1574" s="1">
        <v>45719</v>
      </c>
      <c r="H1574" t="s">
        <v>27</v>
      </c>
      <c r="I1574" t="s">
        <v>18</v>
      </c>
      <c r="J1574">
        <v>3</v>
      </c>
      <c r="K1574" t="s">
        <v>19</v>
      </c>
      <c r="L1574" t="s">
        <v>158</v>
      </c>
      <c r="M1574">
        <f>orders[[#This Row],[Ship Date]]-orders[[#This Row],[Order Date]]</f>
        <v>3</v>
      </c>
      <c r="N1574">
        <f>WEEKNUM(orders[[#This Row],[Order Date]])</f>
        <v>9</v>
      </c>
      <c r="O1574" t="str">
        <f>_xlfn.IFS(orders[[#This Row],[Customer Gender]]="M","Male", orders[[#This Row],[Customer Gender]]="F","Female", orders[[#This Row],[Customer Gender]]="O","Other", TRUE,"Unknown")</f>
        <v>Female</v>
      </c>
    </row>
    <row r="1575" spans="1:15">
      <c r="A1575" t="s">
        <v>1674</v>
      </c>
      <c r="B1575" t="s">
        <v>54</v>
      </c>
      <c r="C1575">
        <v>5</v>
      </c>
      <c r="D1575">
        <v>24.7</v>
      </c>
      <c r="E1575">
        <v>123.5</v>
      </c>
      <c r="F1575" s="1">
        <v>45716</v>
      </c>
      <c r="G1575" s="1">
        <v>45717</v>
      </c>
      <c r="H1575" t="s">
        <v>27</v>
      </c>
      <c r="I1575" t="s">
        <v>18</v>
      </c>
      <c r="J1575">
        <v>4</v>
      </c>
      <c r="K1575" t="s">
        <v>19</v>
      </c>
      <c r="L1575" t="s">
        <v>55</v>
      </c>
      <c r="M1575">
        <f>orders[[#This Row],[Ship Date]]-orders[[#This Row],[Order Date]]</f>
        <v>1</v>
      </c>
      <c r="N1575">
        <f>WEEKNUM(orders[[#This Row],[Order Date]])</f>
        <v>9</v>
      </c>
      <c r="O1575" t="str">
        <f>_xlfn.IFS(orders[[#This Row],[Customer Gender]]="M","Male", orders[[#This Row],[Customer Gender]]="F","Female", orders[[#This Row],[Customer Gender]]="O","Other", TRUE,"Unknown")</f>
        <v>Female</v>
      </c>
    </row>
    <row r="1576" spans="1:15">
      <c r="A1576" t="s">
        <v>1675</v>
      </c>
      <c r="B1576" t="s">
        <v>22</v>
      </c>
      <c r="C1576">
        <v>5</v>
      </c>
      <c r="D1576">
        <v>61.7</v>
      </c>
      <c r="E1576">
        <v>308.5</v>
      </c>
      <c r="F1576" s="1">
        <v>45716</v>
      </c>
      <c r="G1576" s="1">
        <v>45718</v>
      </c>
      <c r="H1576" t="s">
        <v>27</v>
      </c>
      <c r="I1576" t="s">
        <v>40</v>
      </c>
      <c r="J1576">
        <v>4</v>
      </c>
      <c r="K1576" t="s">
        <v>19</v>
      </c>
      <c r="L1576" t="s">
        <v>62</v>
      </c>
      <c r="M1576">
        <f>orders[[#This Row],[Ship Date]]-orders[[#This Row],[Order Date]]</f>
        <v>2</v>
      </c>
      <c r="N1576">
        <f>WEEKNUM(orders[[#This Row],[Order Date]])</f>
        <v>9</v>
      </c>
      <c r="O1576" t="str">
        <f>_xlfn.IFS(orders[[#This Row],[Customer Gender]]="M","Male", orders[[#This Row],[Customer Gender]]="F","Female", orders[[#This Row],[Customer Gender]]="O","Other", TRUE,"Unknown")</f>
        <v>Female</v>
      </c>
    </row>
    <row r="1577" spans="1:15">
      <c r="A1577" t="s">
        <v>1676</v>
      </c>
      <c r="B1577" t="s">
        <v>44</v>
      </c>
      <c r="C1577">
        <v>5</v>
      </c>
      <c r="D1577">
        <v>18.2</v>
      </c>
      <c r="E1577">
        <v>91</v>
      </c>
      <c r="F1577" s="1">
        <v>45716</v>
      </c>
      <c r="G1577" s="1">
        <v>45718</v>
      </c>
      <c r="H1577" t="s">
        <v>27</v>
      </c>
      <c r="I1577" t="s">
        <v>51</v>
      </c>
      <c r="J1577">
        <v>4</v>
      </c>
      <c r="K1577" t="s">
        <v>19</v>
      </c>
      <c r="L1577" t="s">
        <v>62</v>
      </c>
      <c r="M1577">
        <f>orders[[#This Row],[Ship Date]]-orders[[#This Row],[Order Date]]</f>
        <v>2</v>
      </c>
      <c r="N1577">
        <f>WEEKNUM(orders[[#This Row],[Order Date]])</f>
        <v>9</v>
      </c>
      <c r="O1577" t="str">
        <f>_xlfn.IFS(orders[[#This Row],[Customer Gender]]="M","Male", orders[[#This Row],[Customer Gender]]="F","Female", orders[[#This Row],[Customer Gender]]="O","Other", TRUE,"Unknown")</f>
        <v>Female</v>
      </c>
    </row>
    <row r="1578" spans="1:15">
      <c r="A1578" t="s">
        <v>1677</v>
      </c>
      <c r="B1578" t="s">
        <v>54</v>
      </c>
      <c r="C1578">
        <v>4</v>
      </c>
      <c r="D1578">
        <v>37.200000000000003</v>
      </c>
      <c r="E1578">
        <v>148.80000000000001</v>
      </c>
      <c r="F1578" s="1">
        <v>45716</v>
      </c>
      <c r="G1578" s="1">
        <v>45722</v>
      </c>
      <c r="H1578" t="s">
        <v>27</v>
      </c>
      <c r="I1578" t="s">
        <v>18</v>
      </c>
      <c r="J1578">
        <v>4</v>
      </c>
      <c r="K1578" t="s">
        <v>19</v>
      </c>
      <c r="L1578" t="s">
        <v>62</v>
      </c>
      <c r="M1578">
        <f>orders[[#This Row],[Ship Date]]-orders[[#This Row],[Order Date]]</f>
        <v>6</v>
      </c>
      <c r="N1578">
        <f>WEEKNUM(orders[[#This Row],[Order Date]])</f>
        <v>9</v>
      </c>
      <c r="O1578" t="str">
        <f>_xlfn.IFS(orders[[#This Row],[Customer Gender]]="M","Male", orders[[#This Row],[Customer Gender]]="F","Female", orders[[#This Row],[Customer Gender]]="O","Other", TRUE,"Unknown")</f>
        <v>Female</v>
      </c>
    </row>
    <row r="1579" spans="1:15">
      <c r="A1579" t="s">
        <v>1678</v>
      </c>
      <c r="B1579" t="s">
        <v>46</v>
      </c>
      <c r="C1579">
        <v>3</v>
      </c>
      <c r="D1579">
        <v>53.5</v>
      </c>
      <c r="E1579">
        <v>160.5</v>
      </c>
      <c r="F1579" s="1">
        <v>45716</v>
      </c>
      <c r="G1579" s="1">
        <v>45718</v>
      </c>
      <c r="H1579" t="s">
        <v>27</v>
      </c>
      <c r="I1579" t="s">
        <v>35</v>
      </c>
      <c r="J1579">
        <v>5</v>
      </c>
      <c r="K1579" t="s">
        <v>19</v>
      </c>
      <c r="L1579" t="s">
        <v>72</v>
      </c>
      <c r="M1579">
        <f>orders[[#This Row],[Ship Date]]-orders[[#This Row],[Order Date]]</f>
        <v>2</v>
      </c>
      <c r="N1579">
        <f>WEEKNUM(orders[[#This Row],[Order Date]])</f>
        <v>9</v>
      </c>
      <c r="O1579" t="str">
        <f>_xlfn.IFS(orders[[#This Row],[Customer Gender]]="M","Male", orders[[#This Row],[Customer Gender]]="F","Female", orders[[#This Row],[Customer Gender]]="O","Other", TRUE,"Unknown")</f>
        <v>Female</v>
      </c>
    </row>
    <row r="1580" spans="1:15">
      <c r="A1580" t="s">
        <v>1679</v>
      </c>
      <c r="B1580" t="s">
        <v>44</v>
      </c>
      <c r="C1580">
        <v>3</v>
      </c>
      <c r="D1580">
        <v>43.6</v>
      </c>
      <c r="E1580">
        <v>130.80000000000001</v>
      </c>
      <c r="F1580" s="1">
        <v>45716</v>
      </c>
      <c r="G1580" s="1">
        <v>45716</v>
      </c>
      <c r="H1580" t="s">
        <v>27</v>
      </c>
      <c r="I1580" t="s">
        <v>18</v>
      </c>
      <c r="J1580">
        <v>4</v>
      </c>
      <c r="K1580" t="s">
        <v>19</v>
      </c>
      <c r="L1580" t="s">
        <v>72</v>
      </c>
      <c r="M1580">
        <f>orders[[#This Row],[Ship Date]]-orders[[#This Row],[Order Date]]</f>
        <v>0</v>
      </c>
      <c r="N1580">
        <f>WEEKNUM(orders[[#This Row],[Order Date]])</f>
        <v>9</v>
      </c>
      <c r="O1580" t="str">
        <f>_xlfn.IFS(orders[[#This Row],[Customer Gender]]="M","Male", orders[[#This Row],[Customer Gender]]="F","Female", orders[[#This Row],[Customer Gender]]="O","Other", TRUE,"Unknown")</f>
        <v>Female</v>
      </c>
    </row>
    <row r="1581" spans="1:15">
      <c r="A1581" t="s">
        <v>1680</v>
      </c>
      <c r="B1581" t="s">
        <v>22</v>
      </c>
      <c r="C1581">
        <v>10</v>
      </c>
      <c r="D1581">
        <v>135</v>
      </c>
      <c r="E1581">
        <v>1350</v>
      </c>
      <c r="F1581" s="1">
        <v>45716</v>
      </c>
      <c r="G1581" s="1">
        <v>45718</v>
      </c>
      <c r="H1581" t="s">
        <v>27</v>
      </c>
      <c r="I1581" t="s">
        <v>18</v>
      </c>
      <c r="J1581">
        <v>5</v>
      </c>
      <c r="K1581" t="s">
        <v>19</v>
      </c>
      <c r="L1581" t="s">
        <v>72</v>
      </c>
      <c r="M1581">
        <f>orders[[#This Row],[Ship Date]]-orders[[#This Row],[Order Date]]</f>
        <v>2</v>
      </c>
      <c r="N1581">
        <f>WEEKNUM(orders[[#This Row],[Order Date]])</f>
        <v>9</v>
      </c>
      <c r="O1581" t="str">
        <f>_xlfn.IFS(orders[[#This Row],[Customer Gender]]="M","Male", orders[[#This Row],[Customer Gender]]="F","Female", orders[[#This Row],[Customer Gender]]="O","Other", TRUE,"Unknown")</f>
        <v>Female</v>
      </c>
    </row>
    <row r="1582" spans="1:15">
      <c r="A1582" t="s">
        <v>1681</v>
      </c>
      <c r="B1582" t="s">
        <v>44</v>
      </c>
      <c r="C1582">
        <v>5</v>
      </c>
      <c r="D1582">
        <v>38.5</v>
      </c>
      <c r="E1582">
        <v>192.5</v>
      </c>
      <c r="F1582" s="1">
        <v>45716</v>
      </c>
      <c r="G1582" s="1">
        <v>45716</v>
      </c>
      <c r="H1582" t="s">
        <v>23</v>
      </c>
      <c r="I1582" t="s">
        <v>70</v>
      </c>
      <c r="J1582">
        <v>5</v>
      </c>
      <c r="K1582" t="s">
        <v>19</v>
      </c>
      <c r="L1582" t="s">
        <v>74</v>
      </c>
      <c r="M1582">
        <f>orders[[#This Row],[Ship Date]]-orders[[#This Row],[Order Date]]</f>
        <v>0</v>
      </c>
      <c r="N1582">
        <f>WEEKNUM(orders[[#This Row],[Order Date]])</f>
        <v>9</v>
      </c>
      <c r="O1582" t="str">
        <f>_xlfn.IFS(orders[[#This Row],[Customer Gender]]="M","Male", orders[[#This Row],[Customer Gender]]="F","Female", orders[[#This Row],[Customer Gender]]="O","Other", TRUE,"Unknown")</f>
        <v>Male</v>
      </c>
    </row>
    <row r="1583" spans="1:15">
      <c r="A1583" t="s">
        <v>1682</v>
      </c>
      <c r="B1583" t="s">
        <v>46</v>
      </c>
      <c r="C1583">
        <v>2</v>
      </c>
      <c r="D1583">
        <v>24</v>
      </c>
      <c r="E1583">
        <v>48</v>
      </c>
      <c r="F1583" s="1">
        <v>45716</v>
      </c>
      <c r="G1583" s="1">
        <v>45721</v>
      </c>
      <c r="H1583" t="s">
        <v>27</v>
      </c>
      <c r="I1583" t="s">
        <v>18</v>
      </c>
      <c r="J1583">
        <v>4</v>
      </c>
      <c r="K1583" t="s">
        <v>19</v>
      </c>
      <c r="L1583" t="s">
        <v>77</v>
      </c>
      <c r="M1583">
        <f>orders[[#This Row],[Ship Date]]-orders[[#This Row],[Order Date]]</f>
        <v>5</v>
      </c>
      <c r="N1583">
        <f>WEEKNUM(orders[[#This Row],[Order Date]])</f>
        <v>9</v>
      </c>
      <c r="O1583" t="str">
        <f>_xlfn.IFS(orders[[#This Row],[Customer Gender]]="M","Male", orders[[#This Row],[Customer Gender]]="F","Female", orders[[#This Row],[Customer Gender]]="O","Other", TRUE,"Unknown")</f>
        <v>Female</v>
      </c>
    </row>
    <row r="1584" spans="1:15">
      <c r="A1584" t="s">
        <v>1683</v>
      </c>
      <c r="B1584" t="s">
        <v>32</v>
      </c>
      <c r="C1584">
        <v>3</v>
      </c>
      <c r="D1584">
        <v>28.2</v>
      </c>
      <c r="E1584">
        <v>84.6</v>
      </c>
      <c r="F1584" s="1">
        <v>45716</v>
      </c>
      <c r="G1584" s="1">
        <v>45718</v>
      </c>
      <c r="H1584" t="s">
        <v>23</v>
      </c>
      <c r="I1584" t="s">
        <v>18</v>
      </c>
      <c r="J1584">
        <v>1</v>
      </c>
      <c r="K1584" t="s">
        <v>19</v>
      </c>
      <c r="L1584" t="s">
        <v>108</v>
      </c>
      <c r="M1584">
        <f>orders[[#This Row],[Ship Date]]-orders[[#This Row],[Order Date]]</f>
        <v>2</v>
      </c>
      <c r="N1584">
        <f>WEEKNUM(orders[[#This Row],[Order Date]])</f>
        <v>9</v>
      </c>
      <c r="O1584" t="str">
        <f>_xlfn.IFS(orders[[#This Row],[Customer Gender]]="M","Male", orders[[#This Row],[Customer Gender]]="F","Female", orders[[#This Row],[Customer Gender]]="O","Other", TRUE,"Unknown")</f>
        <v>Male</v>
      </c>
    </row>
    <row r="1585" spans="1:15">
      <c r="A1585" t="s">
        <v>1684</v>
      </c>
      <c r="B1585" t="s">
        <v>42</v>
      </c>
      <c r="C1585">
        <v>3</v>
      </c>
      <c r="D1585">
        <v>37.4</v>
      </c>
      <c r="E1585">
        <v>112.19999999999999</v>
      </c>
      <c r="F1585" s="1">
        <v>45716</v>
      </c>
      <c r="G1585" s="1">
        <v>45717</v>
      </c>
      <c r="H1585" t="s">
        <v>27</v>
      </c>
      <c r="I1585" t="s">
        <v>51</v>
      </c>
      <c r="J1585">
        <v>4</v>
      </c>
      <c r="K1585" t="s">
        <v>19</v>
      </c>
      <c r="L1585" t="s">
        <v>24</v>
      </c>
      <c r="M1585">
        <f>orders[[#This Row],[Ship Date]]-orders[[#This Row],[Order Date]]</f>
        <v>1</v>
      </c>
      <c r="N1585">
        <f>WEEKNUM(orders[[#This Row],[Order Date]])</f>
        <v>9</v>
      </c>
      <c r="O1585" t="str">
        <f>_xlfn.IFS(orders[[#This Row],[Customer Gender]]="M","Male", orders[[#This Row],[Customer Gender]]="F","Female", orders[[#This Row],[Customer Gender]]="O","Other", TRUE,"Unknown")</f>
        <v>Female</v>
      </c>
    </row>
    <row r="1586" spans="1:15">
      <c r="A1586" t="s">
        <v>1685</v>
      </c>
      <c r="B1586" t="s">
        <v>39</v>
      </c>
      <c r="C1586">
        <v>3</v>
      </c>
      <c r="D1586">
        <v>53.5</v>
      </c>
      <c r="E1586">
        <v>160.5</v>
      </c>
      <c r="F1586" s="1">
        <v>45716</v>
      </c>
      <c r="G1586" s="1">
        <v>45719</v>
      </c>
      <c r="H1586" t="s">
        <v>17</v>
      </c>
      <c r="I1586" t="s">
        <v>70</v>
      </c>
      <c r="J1586">
        <v>2</v>
      </c>
      <c r="K1586" t="s">
        <v>19</v>
      </c>
      <c r="L1586" t="s">
        <v>24</v>
      </c>
      <c r="M1586">
        <f>orders[[#This Row],[Ship Date]]-orders[[#This Row],[Order Date]]</f>
        <v>3</v>
      </c>
      <c r="N1586">
        <f>WEEKNUM(orders[[#This Row],[Order Date]])</f>
        <v>9</v>
      </c>
      <c r="O1586" t="str">
        <f>_xlfn.IFS(orders[[#This Row],[Customer Gender]]="M","Male", orders[[#This Row],[Customer Gender]]="F","Female", orders[[#This Row],[Customer Gender]]="O","Other", TRUE,"Unknown")</f>
        <v>Unknown</v>
      </c>
    </row>
    <row r="1587" spans="1:15">
      <c r="A1587" t="s">
        <v>1686</v>
      </c>
      <c r="B1587" t="s">
        <v>67</v>
      </c>
      <c r="C1587">
        <v>5</v>
      </c>
      <c r="D1587">
        <v>36.200000000000003</v>
      </c>
      <c r="E1587">
        <v>181</v>
      </c>
      <c r="F1587" s="1">
        <v>45716</v>
      </c>
      <c r="G1587" s="1">
        <v>45717</v>
      </c>
      <c r="H1587" t="s">
        <v>23</v>
      </c>
      <c r="I1587" t="s">
        <v>35</v>
      </c>
      <c r="J1587">
        <v>5</v>
      </c>
      <c r="K1587" t="s">
        <v>19</v>
      </c>
      <c r="L1587" t="s">
        <v>331</v>
      </c>
      <c r="M1587">
        <f>orders[[#This Row],[Ship Date]]-orders[[#This Row],[Order Date]]</f>
        <v>1</v>
      </c>
      <c r="N1587">
        <f>WEEKNUM(orders[[#This Row],[Order Date]])</f>
        <v>9</v>
      </c>
      <c r="O1587" t="str">
        <f>_xlfn.IFS(orders[[#This Row],[Customer Gender]]="M","Male", orders[[#This Row],[Customer Gender]]="F","Female", orders[[#This Row],[Customer Gender]]="O","Other", TRUE,"Unknown")</f>
        <v>Male</v>
      </c>
    </row>
    <row r="1588" spans="1:15">
      <c r="A1588" t="s">
        <v>1687</v>
      </c>
      <c r="B1588" t="s">
        <v>16</v>
      </c>
      <c r="C1588">
        <v>8</v>
      </c>
      <c r="D1588">
        <v>31.9</v>
      </c>
      <c r="E1588">
        <v>255.2</v>
      </c>
      <c r="F1588" s="1">
        <v>45716</v>
      </c>
      <c r="G1588" s="1">
        <v>45717</v>
      </c>
      <c r="H1588" t="s">
        <v>27</v>
      </c>
      <c r="I1588" t="s">
        <v>70</v>
      </c>
      <c r="J1588">
        <v>4</v>
      </c>
      <c r="K1588" t="s">
        <v>19</v>
      </c>
      <c r="L1588" t="s">
        <v>33</v>
      </c>
      <c r="M1588">
        <f>orders[[#This Row],[Ship Date]]-orders[[#This Row],[Order Date]]</f>
        <v>1</v>
      </c>
      <c r="N1588">
        <f>WEEKNUM(orders[[#This Row],[Order Date]])</f>
        <v>9</v>
      </c>
      <c r="O1588" t="str">
        <f>_xlfn.IFS(orders[[#This Row],[Customer Gender]]="M","Male", orders[[#This Row],[Customer Gender]]="F","Female", orders[[#This Row],[Customer Gender]]="O","Other", TRUE,"Unknown")</f>
        <v>Female</v>
      </c>
    </row>
    <row r="1589" spans="1:15">
      <c r="A1589" t="s">
        <v>1688</v>
      </c>
      <c r="B1589" t="s">
        <v>44</v>
      </c>
      <c r="C1589">
        <v>3</v>
      </c>
      <c r="D1589">
        <v>21.3</v>
      </c>
      <c r="E1589">
        <v>63.900000000000006</v>
      </c>
      <c r="F1589" s="1">
        <v>45716</v>
      </c>
      <c r="G1589" s="1">
        <v>45717</v>
      </c>
      <c r="H1589" t="s">
        <v>23</v>
      </c>
      <c r="I1589" t="s">
        <v>18</v>
      </c>
      <c r="J1589">
        <v>5</v>
      </c>
      <c r="K1589" t="s">
        <v>19</v>
      </c>
      <c r="L1589" t="s">
        <v>33</v>
      </c>
      <c r="M1589">
        <f>orders[[#This Row],[Ship Date]]-orders[[#This Row],[Order Date]]</f>
        <v>1</v>
      </c>
      <c r="N1589">
        <f>WEEKNUM(orders[[#This Row],[Order Date]])</f>
        <v>9</v>
      </c>
      <c r="O1589" t="str">
        <f>_xlfn.IFS(orders[[#This Row],[Customer Gender]]="M","Male", orders[[#This Row],[Customer Gender]]="F","Female", orders[[#This Row],[Customer Gender]]="O","Other", TRUE,"Unknown")</f>
        <v>Male</v>
      </c>
    </row>
    <row r="1590" spans="1:15">
      <c r="A1590" t="s">
        <v>1689</v>
      </c>
      <c r="B1590" t="s">
        <v>44</v>
      </c>
      <c r="C1590">
        <v>1</v>
      </c>
      <c r="D1590">
        <v>36.299999999999997</v>
      </c>
      <c r="E1590">
        <v>36.299999999999997</v>
      </c>
      <c r="F1590" s="1">
        <v>45716</v>
      </c>
      <c r="G1590" s="1">
        <v>45718</v>
      </c>
      <c r="H1590" t="s">
        <v>89</v>
      </c>
      <c r="I1590" t="s">
        <v>70</v>
      </c>
      <c r="J1590">
        <v>4</v>
      </c>
      <c r="K1590" t="s">
        <v>19</v>
      </c>
      <c r="L1590" t="s">
        <v>33</v>
      </c>
      <c r="M1590">
        <f>orders[[#This Row],[Ship Date]]-orders[[#This Row],[Order Date]]</f>
        <v>2</v>
      </c>
      <c r="N1590">
        <f>WEEKNUM(orders[[#This Row],[Order Date]])</f>
        <v>9</v>
      </c>
      <c r="O1590" t="str">
        <f>_xlfn.IFS(orders[[#This Row],[Customer Gender]]="M","Male", orders[[#This Row],[Customer Gender]]="F","Female", orders[[#This Row],[Customer Gender]]="O","Other", TRUE,"Unknown")</f>
        <v>Other</v>
      </c>
    </row>
    <row r="1591" spans="1:15">
      <c r="A1591" t="s">
        <v>1690</v>
      </c>
      <c r="B1591" t="s">
        <v>39</v>
      </c>
      <c r="C1591">
        <v>3</v>
      </c>
      <c r="D1591">
        <v>110.5</v>
      </c>
      <c r="E1591">
        <v>331.5</v>
      </c>
      <c r="F1591" s="1">
        <v>45716</v>
      </c>
      <c r="G1591" s="1">
        <v>45717</v>
      </c>
      <c r="H1591" t="s">
        <v>27</v>
      </c>
      <c r="I1591" t="s">
        <v>18</v>
      </c>
      <c r="J1591">
        <v>1</v>
      </c>
      <c r="K1591" t="s">
        <v>19</v>
      </c>
      <c r="L1591" t="s">
        <v>33</v>
      </c>
      <c r="M1591">
        <f>orders[[#This Row],[Ship Date]]-orders[[#This Row],[Order Date]]</f>
        <v>1</v>
      </c>
      <c r="N1591">
        <f>WEEKNUM(orders[[#This Row],[Order Date]])</f>
        <v>9</v>
      </c>
      <c r="O1591" t="str">
        <f>_xlfn.IFS(orders[[#This Row],[Customer Gender]]="M","Male", orders[[#This Row],[Customer Gender]]="F","Female", orders[[#This Row],[Customer Gender]]="O","Other", TRUE,"Unknown")</f>
        <v>Female</v>
      </c>
    </row>
    <row r="1592" spans="1:15">
      <c r="A1592" t="s">
        <v>1691</v>
      </c>
      <c r="B1592" t="s">
        <v>54</v>
      </c>
      <c r="C1592">
        <v>7</v>
      </c>
      <c r="D1592">
        <v>32.6</v>
      </c>
      <c r="E1592">
        <v>228.20000000000002</v>
      </c>
      <c r="F1592" s="1">
        <v>45716</v>
      </c>
      <c r="G1592" s="1">
        <v>45718</v>
      </c>
      <c r="H1592" t="s">
        <v>27</v>
      </c>
      <c r="I1592" t="s">
        <v>18</v>
      </c>
      <c r="J1592">
        <v>3</v>
      </c>
      <c r="K1592" t="s">
        <v>19</v>
      </c>
      <c r="L1592" t="s">
        <v>33</v>
      </c>
      <c r="M1592">
        <f>orders[[#This Row],[Ship Date]]-orders[[#This Row],[Order Date]]</f>
        <v>2</v>
      </c>
      <c r="N1592">
        <f>WEEKNUM(orders[[#This Row],[Order Date]])</f>
        <v>9</v>
      </c>
      <c r="O1592" t="str">
        <f>_xlfn.IFS(orders[[#This Row],[Customer Gender]]="M","Male", orders[[#This Row],[Customer Gender]]="F","Female", orders[[#This Row],[Customer Gender]]="O","Other", TRUE,"Unknown")</f>
        <v>Female</v>
      </c>
    </row>
    <row r="1593" spans="1:15">
      <c r="A1593" t="s">
        <v>1692</v>
      </c>
      <c r="B1593" t="s">
        <v>37</v>
      </c>
      <c r="C1593">
        <v>3</v>
      </c>
      <c r="D1593">
        <v>55.6</v>
      </c>
      <c r="E1593">
        <v>166.8</v>
      </c>
      <c r="F1593" s="1">
        <v>45717</v>
      </c>
      <c r="G1593" s="1">
        <v>45730</v>
      </c>
      <c r="H1593" t="s">
        <v>27</v>
      </c>
      <c r="I1593" t="s">
        <v>18</v>
      </c>
      <c r="J1593">
        <v>4</v>
      </c>
      <c r="K1593" t="s">
        <v>19</v>
      </c>
      <c r="L1593" t="s">
        <v>33</v>
      </c>
      <c r="M1593">
        <f>orders[[#This Row],[Ship Date]]-orders[[#This Row],[Order Date]]</f>
        <v>13</v>
      </c>
      <c r="N1593">
        <f>WEEKNUM(orders[[#This Row],[Order Date]])</f>
        <v>9</v>
      </c>
      <c r="O1593" t="str">
        <f>_xlfn.IFS(orders[[#This Row],[Customer Gender]]="M","Male", orders[[#This Row],[Customer Gender]]="F","Female", orders[[#This Row],[Customer Gender]]="O","Other", TRUE,"Unknown")</f>
        <v>Female</v>
      </c>
    </row>
    <row r="1594" spans="1:15">
      <c r="A1594" t="s">
        <v>1693</v>
      </c>
      <c r="B1594" t="s">
        <v>22</v>
      </c>
      <c r="C1594">
        <v>4</v>
      </c>
      <c r="D1594">
        <v>38</v>
      </c>
      <c r="E1594">
        <v>152</v>
      </c>
      <c r="F1594" s="1">
        <v>45717</v>
      </c>
      <c r="G1594" s="1">
        <v>45718</v>
      </c>
      <c r="H1594" t="s">
        <v>27</v>
      </c>
      <c r="I1594" t="s">
        <v>51</v>
      </c>
      <c r="J1594">
        <v>5</v>
      </c>
      <c r="K1594" t="s">
        <v>19</v>
      </c>
      <c r="L1594" t="s">
        <v>52</v>
      </c>
      <c r="M1594">
        <f>orders[[#This Row],[Ship Date]]-orders[[#This Row],[Order Date]]</f>
        <v>1</v>
      </c>
      <c r="N1594">
        <f>WEEKNUM(orders[[#This Row],[Order Date]])</f>
        <v>9</v>
      </c>
      <c r="O1594" t="str">
        <f>_xlfn.IFS(orders[[#This Row],[Customer Gender]]="M","Male", orders[[#This Row],[Customer Gender]]="F","Female", orders[[#This Row],[Customer Gender]]="O","Other", TRUE,"Unknown")</f>
        <v>Female</v>
      </c>
    </row>
    <row r="1595" spans="1:15">
      <c r="A1595" t="s">
        <v>1694</v>
      </c>
      <c r="B1595" t="s">
        <v>54</v>
      </c>
      <c r="C1595">
        <v>2</v>
      </c>
      <c r="D1595">
        <v>51.8</v>
      </c>
      <c r="E1595">
        <v>103.6</v>
      </c>
      <c r="F1595" s="1">
        <v>45717</v>
      </c>
      <c r="G1595" s="1">
        <v>45723</v>
      </c>
      <c r="H1595" t="s">
        <v>23</v>
      </c>
      <c r="I1595" t="s">
        <v>35</v>
      </c>
      <c r="J1595">
        <v>2</v>
      </c>
      <c r="K1595" t="s">
        <v>19</v>
      </c>
      <c r="L1595" t="s">
        <v>55</v>
      </c>
      <c r="M1595">
        <f>orders[[#This Row],[Ship Date]]-orders[[#This Row],[Order Date]]</f>
        <v>6</v>
      </c>
      <c r="N1595">
        <f>WEEKNUM(orders[[#This Row],[Order Date]])</f>
        <v>9</v>
      </c>
      <c r="O1595" t="str">
        <f>_xlfn.IFS(orders[[#This Row],[Customer Gender]]="M","Male", orders[[#This Row],[Customer Gender]]="F","Female", orders[[#This Row],[Customer Gender]]="O","Other", TRUE,"Unknown")</f>
        <v>Male</v>
      </c>
    </row>
    <row r="1596" spans="1:15">
      <c r="A1596" t="s">
        <v>1695</v>
      </c>
      <c r="B1596" t="s">
        <v>67</v>
      </c>
      <c r="C1596">
        <v>8</v>
      </c>
      <c r="D1596">
        <v>28.7</v>
      </c>
      <c r="E1596">
        <v>229.6</v>
      </c>
      <c r="F1596" s="1">
        <v>45717</v>
      </c>
      <c r="G1596" s="1">
        <v>45722</v>
      </c>
      <c r="H1596" t="s">
        <v>27</v>
      </c>
      <c r="I1596" t="s">
        <v>18</v>
      </c>
      <c r="J1596">
        <v>4</v>
      </c>
      <c r="K1596" t="s">
        <v>19</v>
      </c>
      <c r="L1596" t="s">
        <v>55</v>
      </c>
      <c r="M1596">
        <f>orders[[#This Row],[Ship Date]]-orders[[#This Row],[Order Date]]</f>
        <v>5</v>
      </c>
      <c r="N1596">
        <f>WEEKNUM(orders[[#This Row],[Order Date]])</f>
        <v>9</v>
      </c>
      <c r="O1596" t="str">
        <f>_xlfn.IFS(orders[[#This Row],[Customer Gender]]="M","Male", orders[[#This Row],[Customer Gender]]="F","Female", orders[[#This Row],[Customer Gender]]="O","Other", TRUE,"Unknown")</f>
        <v>Female</v>
      </c>
    </row>
    <row r="1597" spans="1:15">
      <c r="A1597" t="s">
        <v>1696</v>
      </c>
      <c r="B1597" t="s">
        <v>39</v>
      </c>
      <c r="C1597">
        <v>12</v>
      </c>
      <c r="D1597">
        <v>52.2</v>
      </c>
      <c r="E1597">
        <v>626.40000000000009</v>
      </c>
      <c r="F1597" s="1">
        <v>45717</v>
      </c>
      <c r="G1597" s="1">
        <v>45717</v>
      </c>
      <c r="H1597" t="s">
        <v>23</v>
      </c>
      <c r="I1597" t="s">
        <v>18</v>
      </c>
      <c r="J1597">
        <v>3</v>
      </c>
      <c r="K1597" t="s">
        <v>19</v>
      </c>
      <c r="L1597" t="s">
        <v>55</v>
      </c>
      <c r="M1597">
        <f>orders[[#This Row],[Ship Date]]-orders[[#This Row],[Order Date]]</f>
        <v>0</v>
      </c>
      <c r="N1597">
        <f>WEEKNUM(orders[[#This Row],[Order Date]])</f>
        <v>9</v>
      </c>
      <c r="O1597" t="str">
        <f>_xlfn.IFS(orders[[#This Row],[Customer Gender]]="M","Male", orders[[#This Row],[Customer Gender]]="F","Female", orders[[#This Row],[Customer Gender]]="O","Other", TRUE,"Unknown")</f>
        <v>Male</v>
      </c>
    </row>
    <row r="1598" spans="1:15">
      <c r="A1598" t="s">
        <v>1697</v>
      </c>
      <c r="B1598" t="s">
        <v>22</v>
      </c>
      <c r="C1598">
        <v>2</v>
      </c>
      <c r="D1598">
        <v>68.2</v>
      </c>
      <c r="E1598">
        <v>136.4</v>
      </c>
      <c r="F1598" s="1">
        <v>45717</v>
      </c>
      <c r="G1598" s="1">
        <v>45718</v>
      </c>
      <c r="H1598" t="s">
        <v>17</v>
      </c>
      <c r="I1598" t="s">
        <v>40</v>
      </c>
      <c r="J1598">
        <v>4</v>
      </c>
      <c r="K1598" t="s">
        <v>19</v>
      </c>
      <c r="L1598" t="s">
        <v>59</v>
      </c>
      <c r="M1598">
        <f>orders[[#This Row],[Ship Date]]-orders[[#This Row],[Order Date]]</f>
        <v>1</v>
      </c>
      <c r="N1598">
        <f>WEEKNUM(orders[[#This Row],[Order Date]])</f>
        <v>9</v>
      </c>
      <c r="O1598" t="str">
        <f>_xlfn.IFS(orders[[#This Row],[Customer Gender]]="M","Male", orders[[#This Row],[Customer Gender]]="F","Female", orders[[#This Row],[Customer Gender]]="O","Other", TRUE,"Unknown")</f>
        <v>Unknown</v>
      </c>
    </row>
    <row r="1599" spans="1:15">
      <c r="A1599" t="s">
        <v>1698</v>
      </c>
      <c r="B1599" t="s">
        <v>16</v>
      </c>
      <c r="C1599">
        <v>3</v>
      </c>
      <c r="D1599">
        <v>34</v>
      </c>
      <c r="E1599">
        <v>102</v>
      </c>
      <c r="F1599" s="1">
        <v>45717</v>
      </c>
      <c r="G1599" s="1">
        <v>45721</v>
      </c>
      <c r="H1599" t="s">
        <v>27</v>
      </c>
      <c r="I1599" t="s">
        <v>18</v>
      </c>
      <c r="J1599">
        <v>4</v>
      </c>
      <c r="K1599" t="s">
        <v>19</v>
      </c>
      <c r="L1599" t="s">
        <v>62</v>
      </c>
      <c r="M1599">
        <f>orders[[#This Row],[Ship Date]]-orders[[#This Row],[Order Date]]</f>
        <v>4</v>
      </c>
      <c r="N1599">
        <f>WEEKNUM(orders[[#This Row],[Order Date]])</f>
        <v>9</v>
      </c>
      <c r="O1599" t="str">
        <f>_xlfn.IFS(orders[[#This Row],[Customer Gender]]="M","Male", orders[[#This Row],[Customer Gender]]="F","Female", orders[[#This Row],[Customer Gender]]="O","Other", TRUE,"Unknown")</f>
        <v>Female</v>
      </c>
    </row>
    <row r="1600" spans="1:15">
      <c r="A1600" t="s">
        <v>1699</v>
      </c>
      <c r="B1600" t="s">
        <v>44</v>
      </c>
      <c r="C1600">
        <v>3</v>
      </c>
      <c r="D1600">
        <v>19.100000000000001</v>
      </c>
      <c r="E1600">
        <v>57.300000000000004</v>
      </c>
      <c r="F1600" s="1">
        <v>45717</v>
      </c>
      <c r="G1600" s="1">
        <v>45718</v>
      </c>
      <c r="H1600" t="s">
        <v>27</v>
      </c>
      <c r="I1600" t="s">
        <v>70</v>
      </c>
      <c r="J1600">
        <v>4</v>
      </c>
      <c r="K1600" t="s">
        <v>19</v>
      </c>
      <c r="L1600" t="s">
        <v>62</v>
      </c>
      <c r="M1600">
        <f>orders[[#This Row],[Ship Date]]-orders[[#This Row],[Order Date]]</f>
        <v>1</v>
      </c>
      <c r="N1600">
        <f>WEEKNUM(orders[[#This Row],[Order Date]])</f>
        <v>9</v>
      </c>
      <c r="O1600" t="str">
        <f>_xlfn.IFS(orders[[#This Row],[Customer Gender]]="M","Male", orders[[#This Row],[Customer Gender]]="F","Female", orders[[#This Row],[Customer Gender]]="O","Other", TRUE,"Unknown")</f>
        <v>Female</v>
      </c>
    </row>
    <row r="1601" spans="1:15">
      <c r="A1601" t="s">
        <v>1700</v>
      </c>
      <c r="B1601" t="s">
        <v>37</v>
      </c>
      <c r="C1601">
        <v>8</v>
      </c>
      <c r="D1601">
        <v>34</v>
      </c>
      <c r="E1601">
        <v>272</v>
      </c>
      <c r="F1601" s="1">
        <v>45717</v>
      </c>
      <c r="G1601" s="1">
        <v>45725</v>
      </c>
      <c r="H1601" t="s">
        <v>27</v>
      </c>
      <c r="I1601" t="s">
        <v>70</v>
      </c>
      <c r="J1601">
        <v>4</v>
      </c>
      <c r="K1601" t="s">
        <v>19</v>
      </c>
      <c r="L1601" t="s">
        <v>62</v>
      </c>
      <c r="M1601">
        <f>orders[[#This Row],[Ship Date]]-orders[[#This Row],[Order Date]]</f>
        <v>8</v>
      </c>
      <c r="N1601">
        <f>WEEKNUM(orders[[#This Row],[Order Date]])</f>
        <v>9</v>
      </c>
      <c r="O1601" t="str">
        <f>_xlfn.IFS(orders[[#This Row],[Customer Gender]]="M","Male", orders[[#This Row],[Customer Gender]]="F","Female", orders[[#This Row],[Customer Gender]]="O","Other", TRUE,"Unknown")</f>
        <v>Female</v>
      </c>
    </row>
    <row r="1602" spans="1:15">
      <c r="A1602" t="s">
        <v>1701</v>
      </c>
      <c r="B1602" t="s">
        <v>69</v>
      </c>
      <c r="C1602">
        <v>2</v>
      </c>
      <c r="D1602">
        <v>109.1</v>
      </c>
      <c r="E1602">
        <v>218.2</v>
      </c>
      <c r="F1602" s="1">
        <v>45717</v>
      </c>
      <c r="G1602" s="1">
        <v>45719</v>
      </c>
      <c r="H1602" t="s">
        <v>23</v>
      </c>
      <c r="I1602" t="s">
        <v>18</v>
      </c>
      <c r="J1602">
        <v>5</v>
      </c>
      <c r="K1602" t="s">
        <v>19</v>
      </c>
      <c r="L1602" t="s">
        <v>62</v>
      </c>
      <c r="M1602">
        <f>orders[[#This Row],[Ship Date]]-orders[[#This Row],[Order Date]]</f>
        <v>2</v>
      </c>
      <c r="N1602">
        <f>WEEKNUM(orders[[#This Row],[Order Date]])</f>
        <v>9</v>
      </c>
      <c r="O1602" t="str">
        <f>_xlfn.IFS(orders[[#This Row],[Customer Gender]]="M","Male", orders[[#This Row],[Customer Gender]]="F","Female", orders[[#This Row],[Customer Gender]]="O","Other", TRUE,"Unknown")</f>
        <v>Male</v>
      </c>
    </row>
    <row r="1603" spans="1:15">
      <c r="A1603" t="s">
        <v>1702</v>
      </c>
      <c r="B1603" t="s">
        <v>146</v>
      </c>
      <c r="C1603">
        <v>2</v>
      </c>
      <c r="D1603">
        <v>64.8</v>
      </c>
      <c r="E1603">
        <v>129.6</v>
      </c>
      <c r="F1603" s="1">
        <v>45717</v>
      </c>
      <c r="G1603" s="1">
        <v>45719</v>
      </c>
      <c r="H1603" t="s">
        <v>23</v>
      </c>
      <c r="I1603" t="s">
        <v>18</v>
      </c>
      <c r="J1603">
        <v>5</v>
      </c>
      <c r="K1603" t="s">
        <v>19</v>
      </c>
      <c r="L1603" t="s">
        <v>62</v>
      </c>
      <c r="M1603">
        <f>orders[[#This Row],[Ship Date]]-orders[[#This Row],[Order Date]]</f>
        <v>2</v>
      </c>
      <c r="N1603">
        <f>WEEKNUM(orders[[#This Row],[Order Date]])</f>
        <v>9</v>
      </c>
      <c r="O1603" t="str">
        <f>_xlfn.IFS(orders[[#This Row],[Customer Gender]]="M","Male", orders[[#This Row],[Customer Gender]]="F","Female", orders[[#This Row],[Customer Gender]]="O","Other", TRUE,"Unknown")</f>
        <v>Male</v>
      </c>
    </row>
    <row r="1604" spans="1:15">
      <c r="A1604" t="s">
        <v>1703</v>
      </c>
      <c r="B1604" t="s">
        <v>54</v>
      </c>
      <c r="C1604">
        <v>2</v>
      </c>
      <c r="D1604">
        <v>21.1</v>
      </c>
      <c r="E1604">
        <v>42.2</v>
      </c>
      <c r="F1604" s="1">
        <v>45717</v>
      </c>
      <c r="G1604" s="1">
        <v>45717</v>
      </c>
      <c r="H1604" t="s">
        <v>27</v>
      </c>
      <c r="I1604" t="s">
        <v>35</v>
      </c>
      <c r="J1604">
        <v>4</v>
      </c>
      <c r="K1604" t="s">
        <v>19</v>
      </c>
      <c r="L1604" t="s">
        <v>77</v>
      </c>
      <c r="M1604">
        <f>orders[[#This Row],[Ship Date]]-orders[[#This Row],[Order Date]]</f>
        <v>0</v>
      </c>
      <c r="N1604">
        <f>WEEKNUM(orders[[#This Row],[Order Date]])</f>
        <v>9</v>
      </c>
      <c r="O1604" t="str">
        <f>_xlfn.IFS(orders[[#This Row],[Customer Gender]]="M","Male", orders[[#This Row],[Customer Gender]]="F","Female", orders[[#This Row],[Customer Gender]]="O","Other", TRUE,"Unknown")</f>
        <v>Female</v>
      </c>
    </row>
    <row r="1605" spans="1:15">
      <c r="A1605" t="s">
        <v>1704</v>
      </c>
      <c r="B1605" t="s">
        <v>16</v>
      </c>
      <c r="C1605">
        <v>8</v>
      </c>
      <c r="D1605">
        <v>21.3</v>
      </c>
      <c r="E1605">
        <v>170.4</v>
      </c>
      <c r="F1605" s="1">
        <v>45717</v>
      </c>
      <c r="G1605" s="1">
        <v>45719</v>
      </c>
      <c r="H1605" t="s">
        <v>23</v>
      </c>
      <c r="I1605" t="s">
        <v>51</v>
      </c>
      <c r="J1605">
        <v>3</v>
      </c>
      <c r="K1605" t="s">
        <v>19</v>
      </c>
      <c r="L1605" t="s">
        <v>108</v>
      </c>
      <c r="M1605">
        <f>orders[[#This Row],[Ship Date]]-orders[[#This Row],[Order Date]]</f>
        <v>2</v>
      </c>
      <c r="N1605">
        <f>WEEKNUM(orders[[#This Row],[Order Date]])</f>
        <v>9</v>
      </c>
      <c r="O1605" t="str">
        <f>_xlfn.IFS(orders[[#This Row],[Customer Gender]]="M","Male", orders[[#This Row],[Customer Gender]]="F","Female", orders[[#This Row],[Customer Gender]]="O","Other", TRUE,"Unknown")</f>
        <v>Male</v>
      </c>
    </row>
    <row r="1606" spans="1:15">
      <c r="A1606" t="s">
        <v>1705</v>
      </c>
      <c r="B1606" t="s">
        <v>46</v>
      </c>
      <c r="C1606">
        <v>3</v>
      </c>
      <c r="D1606">
        <v>24.3</v>
      </c>
      <c r="E1606">
        <v>72.900000000000006</v>
      </c>
      <c r="F1606" s="1">
        <v>45717</v>
      </c>
      <c r="G1606" s="1">
        <v>45718</v>
      </c>
      <c r="H1606" t="s">
        <v>23</v>
      </c>
      <c r="I1606" t="s">
        <v>35</v>
      </c>
      <c r="J1606">
        <v>4</v>
      </c>
      <c r="K1606" t="s">
        <v>19</v>
      </c>
      <c r="L1606" t="s">
        <v>110</v>
      </c>
      <c r="M1606">
        <f>orders[[#This Row],[Ship Date]]-orders[[#This Row],[Order Date]]</f>
        <v>1</v>
      </c>
      <c r="N1606">
        <f>WEEKNUM(orders[[#This Row],[Order Date]])</f>
        <v>9</v>
      </c>
      <c r="O1606" t="str">
        <f>_xlfn.IFS(orders[[#This Row],[Customer Gender]]="M","Male", orders[[#This Row],[Customer Gender]]="F","Female", orders[[#This Row],[Customer Gender]]="O","Other", TRUE,"Unknown")</f>
        <v>Male</v>
      </c>
    </row>
    <row r="1607" spans="1:15">
      <c r="A1607" t="s">
        <v>1706</v>
      </c>
      <c r="B1607" t="s">
        <v>44</v>
      </c>
      <c r="C1607">
        <v>1</v>
      </c>
      <c r="D1607">
        <v>43.3</v>
      </c>
      <c r="E1607">
        <v>43.3</v>
      </c>
      <c r="F1607" s="1">
        <v>45717</v>
      </c>
      <c r="G1607" s="1">
        <v>45721</v>
      </c>
      <c r="H1607" t="s">
        <v>23</v>
      </c>
      <c r="I1607" t="s">
        <v>35</v>
      </c>
      <c r="J1607">
        <v>3</v>
      </c>
      <c r="K1607" t="s">
        <v>19</v>
      </c>
      <c r="L1607" t="s">
        <v>82</v>
      </c>
      <c r="M1607">
        <f>orders[[#This Row],[Ship Date]]-orders[[#This Row],[Order Date]]</f>
        <v>4</v>
      </c>
      <c r="N1607">
        <f>WEEKNUM(orders[[#This Row],[Order Date]])</f>
        <v>9</v>
      </c>
      <c r="O1607" t="str">
        <f>_xlfn.IFS(orders[[#This Row],[Customer Gender]]="M","Male", orders[[#This Row],[Customer Gender]]="F","Female", orders[[#This Row],[Customer Gender]]="O","Other", TRUE,"Unknown")</f>
        <v>Male</v>
      </c>
    </row>
    <row r="1608" spans="1:15">
      <c r="A1608" t="s">
        <v>1707</v>
      </c>
      <c r="B1608" t="s">
        <v>46</v>
      </c>
      <c r="C1608">
        <v>3</v>
      </c>
      <c r="D1608">
        <v>41</v>
      </c>
      <c r="E1608">
        <v>123</v>
      </c>
      <c r="F1608" s="1">
        <v>45717</v>
      </c>
      <c r="G1608" s="1">
        <v>45718</v>
      </c>
      <c r="H1608" t="s">
        <v>27</v>
      </c>
      <c r="I1608" t="s">
        <v>51</v>
      </c>
      <c r="J1608">
        <v>2</v>
      </c>
      <c r="K1608" t="s">
        <v>19</v>
      </c>
      <c r="L1608" t="s">
        <v>115</v>
      </c>
      <c r="M1608">
        <f>orders[[#This Row],[Ship Date]]-orders[[#This Row],[Order Date]]</f>
        <v>1</v>
      </c>
      <c r="N1608">
        <f>WEEKNUM(orders[[#This Row],[Order Date]])</f>
        <v>9</v>
      </c>
      <c r="O1608" t="str">
        <f>_xlfn.IFS(orders[[#This Row],[Customer Gender]]="M","Male", orders[[#This Row],[Customer Gender]]="F","Female", orders[[#This Row],[Customer Gender]]="O","Other", TRUE,"Unknown")</f>
        <v>Female</v>
      </c>
    </row>
    <row r="1609" spans="1:15">
      <c r="A1609" t="s">
        <v>1708</v>
      </c>
      <c r="B1609" t="s">
        <v>128</v>
      </c>
      <c r="C1609">
        <v>3</v>
      </c>
      <c r="D1609">
        <v>54.1</v>
      </c>
      <c r="E1609">
        <v>162.30000000000001</v>
      </c>
      <c r="F1609" s="1">
        <v>45717</v>
      </c>
      <c r="G1609" s="1">
        <v>45719</v>
      </c>
      <c r="H1609" t="s">
        <v>27</v>
      </c>
      <c r="I1609" t="s">
        <v>70</v>
      </c>
      <c r="J1609">
        <v>4</v>
      </c>
      <c r="K1609" t="s">
        <v>19</v>
      </c>
      <c r="L1609" t="s">
        <v>115</v>
      </c>
      <c r="M1609">
        <f>orders[[#This Row],[Ship Date]]-orders[[#This Row],[Order Date]]</f>
        <v>2</v>
      </c>
      <c r="N1609">
        <f>WEEKNUM(orders[[#This Row],[Order Date]])</f>
        <v>9</v>
      </c>
      <c r="O1609" t="str">
        <f>_xlfn.IFS(orders[[#This Row],[Customer Gender]]="M","Male", orders[[#This Row],[Customer Gender]]="F","Female", orders[[#This Row],[Customer Gender]]="O","Other", TRUE,"Unknown")</f>
        <v>Female</v>
      </c>
    </row>
    <row r="1610" spans="1:15">
      <c r="A1610" t="s">
        <v>1709</v>
      </c>
      <c r="B1610" t="s">
        <v>67</v>
      </c>
      <c r="C1610">
        <v>2</v>
      </c>
      <c r="D1610">
        <v>39</v>
      </c>
      <c r="E1610">
        <v>78</v>
      </c>
      <c r="F1610" s="1">
        <v>45717</v>
      </c>
      <c r="G1610" s="1">
        <v>45718</v>
      </c>
      <c r="H1610" t="s">
        <v>23</v>
      </c>
      <c r="I1610" t="s">
        <v>35</v>
      </c>
      <c r="J1610">
        <v>5</v>
      </c>
      <c r="K1610" t="s">
        <v>19</v>
      </c>
      <c r="L1610" t="s">
        <v>24</v>
      </c>
      <c r="M1610">
        <f>orders[[#This Row],[Ship Date]]-orders[[#This Row],[Order Date]]</f>
        <v>1</v>
      </c>
      <c r="N1610">
        <f>WEEKNUM(orders[[#This Row],[Order Date]])</f>
        <v>9</v>
      </c>
      <c r="O1610" t="str">
        <f>_xlfn.IFS(orders[[#This Row],[Customer Gender]]="M","Male", orders[[#This Row],[Customer Gender]]="F","Female", orders[[#This Row],[Customer Gender]]="O","Other", TRUE,"Unknown")</f>
        <v>Male</v>
      </c>
    </row>
    <row r="1611" spans="1:15">
      <c r="A1611" t="s">
        <v>1710</v>
      </c>
      <c r="B1611" t="s">
        <v>44</v>
      </c>
      <c r="C1611">
        <v>2</v>
      </c>
      <c r="D1611">
        <v>40.299999999999997</v>
      </c>
      <c r="E1611">
        <v>80.599999999999994</v>
      </c>
      <c r="F1611" s="1">
        <v>45717</v>
      </c>
      <c r="G1611" s="1">
        <v>45719</v>
      </c>
      <c r="H1611" t="s">
        <v>23</v>
      </c>
      <c r="I1611" t="s">
        <v>51</v>
      </c>
      <c r="J1611">
        <v>4</v>
      </c>
      <c r="K1611" t="s">
        <v>19</v>
      </c>
      <c r="L1611" t="s">
        <v>208</v>
      </c>
      <c r="M1611">
        <f>orders[[#This Row],[Ship Date]]-orders[[#This Row],[Order Date]]</f>
        <v>2</v>
      </c>
      <c r="N1611">
        <f>WEEKNUM(orders[[#This Row],[Order Date]])</f>
        <v>9</v>
      </c>
      <c r="O1611" t="str">
        <f>_xlfn.IFS(orders[[#This Row],[Customer Gender]]="M","Male", orders[[#This Row],[Customer Gender]]="F","Female", orders[[#This Row],[Customer Gender]]="O","Other", TRUE,"Unknown")</f>
        <v>Male</v>
      </c>
    </row>
    <row r="1612" spans="1:15">
      <c r="A1612" t="s">
        <v>1711</v>
      </c>
      <c r="B1612" t="s">
        <v>44</v>
      </c>
      <c r="C1612">
        <v>3</v>
      </c>
      <c r="D1612">
        <v>24.1</v>
      </c>
      <c r="E1612">
        <v>72.300000000000011</v>
      </c>
      <c r="F1612" s="1">
        <v>45717</v>
      </c>
      <c r="G1612" s="1">
        <v>45718</v>
      </c>
      <c r="H1612" t="s">
        <v>23</v>
      </c>
      <c r="I1612" t="s">
        <v>18</v>
      </c>
      <c r="J1612">
        <v>5</v>
      </c>
      <c r="K1612" t="s">
        <v>19</v>
      </c>
      <c r="L1612" t="s">
        <v>334</v>
      </c>
      <c r="M1612">
        <f>orders[[#This Row],[Ship Date]]-orders[[#This Row],[Order Date]]</f>
        <v>1</v>
      </c>
      <c r="N1612">
        <f>WEEKNUM(orders[[#This Row],[Order Date]])</f>
        <v>9</v>
      </c>
      <c r="O1612" t="str">
        <f>_xlfn.IFS(orders[[#This Row],[Customer Gender]]="M","Male", orders[[#This Row],[Customer Gender]]="F","Female", orders[[#This Row],[Customer Gender]]="O","Other", TRUE,"Unknown")</f>
        <v>Male</v>
      </c>
    </row>
    <row r="1613" spans="1:15">
      <c r="A1613" t="s">
        <v>1712</v>
      </c>
      <c r="B1613" t="s">
        <v>39</v>
      </c>
      <c r="C1613">
        <v>5</v>
      </c>
      <c r="D1613">
        <v>52.3</v>
      </c>
      <c r="E1613">
        <v>261.5</v>
      </c>
      <c r="F1613" s="1">
        <v>45717</v>
      </c>
      <c r="G1613" s="1">
        <v>45718</v>
      </c>
      <c r="H1613" t="s">
        <v>23</v>
      </c>
      <c r="I1613" t="s">
        <v>40</v>
      </c>
      <c r="J1613">
        <v>4</v>
      </c>
      <c r="K1613" t="s">
        <v>19</v>
      </c>
      <c r="L1613" t="s">
        <v>33</v>
      </c>
      <c r="M1613">
        <f>orders[[#This Row],[Ship Date]]-orders[[#This Row],[Order Date]]</f>
        <v>1</v>
      </c>
      <c r="N1613">
        <f>WEEKNUM(orders[[#This Row],[Order Date]])</f>
        <v>9</v>
      </c>
      <c r="O1613" t="str">
        <f>_xlfn.IFS(orders[[#This Row],[Customer Gender]]="M","Male", orders[[#This Row],[Customer Gender]]="F","Female", orders[[#This Row],[Customer Gender]]="O","Other", TRUE,"Unknown")</f>
        <v>Male</v>
      </c>
    </row>
    <row r="1614" spans="1:15">
      <c r="A1614" t="s">
        <v>1713</v>
      </c>
      <c r="B1614" t="s">
        <v>69</v>
      </c>
      <c r="C1614">
        <v>4</v>
      </c>
      <c r="D1614">
        <v>68.8</v>
      </c>
      <c r="E1614">
        <v>275.2</v>
      </c>
      <c r="F1614" s="1">
        <v>45717</v>
      </c>
      <c r="G1614" s="1">
        <v>45721</v>
      </c>
      <c r="H1614" t="s">
        <v>27</v>
      </c>
      <c r="I1614" t="s">
        <v>70</v>
      </c>
      <c r="J1614">
        <v>5</v>
      </c>
      <c r="K1614" t="s">
        <v>19</v>
      </c>
      <c r="L1614" t="s">
        <v>33</v>
      </c>
      <c r="M1614">
        <f>orders[[#This Row],[Ship Date]]-orders[[#This Row],[Order Date]]</f>
        <v>4</v>
      </c>
      <c r="N1614">
        <f>WEEKNUM(orders[[#This Row],[Order Date]])</f>
        <v>9</v>
      </c>
      <c r="O1614" t="str">
        <f>_xlfn.IFS(orders[[#This Row],[Customer Gender]]="M","Male", orders[[#This Row],[Customer Gender]]="F","Female", orders[[#This Row],[Customer Gender]]="O","Other", TRUE,"Unknown")</f>
        <v>Female</v>
      </c>
    </row>
    <row r="1615" spans="1:15">
      <c r="A1615" t="s">
        <v>1714</v>
      </c>
      <c r="B1615" t="s">
        <v>26</v>
      </c>
      <c r="C1615">
        <v>2</v>
      </c>
      <c r="D1615">
        <v>128.80000000000001</v>
      </c>
      <c r="E1615">
        <v>257.60000000000002</v>
      </c>
      <c r="F1615" s="1">
        <v>45718</v>
      </c>
      <c r="G1615" s="1">
        <v>45721</v>
      </c>
      <c r="H1615" t="s">
        <v>27</v>
      </c>
      <c r="I1615" t="s">
        <v>35</v>
      </c>
      <c r="J1615">
        <v>3</v>
      </c>
      <c r="K1615" t="s">
        <v>19</v>
      </c>
      <c r="L1615" t="s">
        <v>33</v>
      </c>
      <c r="M1615">
        <f>orders[[#This Row],[Ship Date]]-orders[[#This Row],[Order Date]]</f>
        <v>3</v>
      </c>
      <c r="N1615">
        <f>WEEKNUM(orders[[#This Row],[Order Date]])</f>
        <v>10</v>
      </c>
      <c r="O1615" t="str">
        <f>_xlfn.IFS(orders[[#This Row],[Customer Gender]]="M","Male", orders[[#This Row],[Customer Gender]]="F","Female", orders[[#This Row],[Customer Gender]]="O","Other", TRUE,"Unknown")</f>
        <v>Female</v>
      </c>
    </row>
    <row r="1616" spans="1:15">
      <c r="A1616" t="s">
        <v>1715</v>
      </c>
      <c r="B1616" t="s">
        <v>123</v>
      </c>
      <c r="C1616">
        <v>5</v>
      </c>
      <c r="D1616">
        <v>48.2</v>
      </c>
      <c r="E1616">
        <v>241</v>
      </c>
      <c r="F1616" s="1">
        <v>45718</v>
      </c>
      <c r="G1616" s="1">
        <v>45720</v>
      </c>
      <c r="H1616" t="s">
        <v>27</v>
      </c>
      <c r="I1616" t="s">
        <v>51</v>
      </c>
      <c r="J1616">
        <v>4</v>
      </c>
      <c r="K1616" t="s">
        <v>19</v>
      </c>
      <c r="L1616" t="s">
        <v>33</v>
      </c>
      <c r="M1616">
        <f>orders[[#This Row],[Ship Date]]-orders[[#This Row],[Order Date]]</f>
        <v>2</v>
      </c>
      <c r="N1616">
        <f>WEEKNUM(orders[[#This Row],[Order Date]])</f>
        <v>10</v>
      </c>
      <c r="O1616" t="str">
        <f>_xlfn.IFS(orders[[#This Row],[Customer Gender]]="M","Male", orders[[#This Row],[Customer Gender]]="F","Female", orders[[#This Row],[Customer Gender]]="O","Other", TRUE,"Unknown")</f>
        <v>Female</v>
      </c>
    </row>
    <row r="1617" spans="1:15">
      <c r="A1617" t="s">
        <v>1716</v>
      </c>
      <c r="B1617" t="s">
        <v>54</v>
      </c>
      <c r="C1617">
        <v>1</v>
      </c>
      <c r="D1617">
        <v>39.700000000000003</v>
      </c>
      <c r="E1617">
        <v>39.700000000000003</v>
      </c>
      <c r="F1617" s="1">
        <v>45718</v>
      </c>
      <c r="G1617" s="1">
        <v>45720</v>
      </c>
      <c r="H1617" t="s">
        <v>27</v>
      </c>
      <c r="I1617" t="s">
        <v>18</v>
      </c>
      <c r="J1617">
        <v>3</v>
      </c>
      <c r="K1617" t="s">
        <v>19</v>
      </c>
      <c r="L1617" t="s">
        <v>33</v>
      </c>
      <c r="M1617">
        <f>orders[[#This Row],[Ship Date]]-orders[[#This Row],[Order Date]]</f>
        <v>2</v>
      </c>
      <c r="N1617">
        <f>WEEKNUM(orders[[#This Row],[Order Date]])</f>
        <v>10</v>
      </c>
      <c r="O1617" t="str">
        <f>_xlfn.IFS(orders[[#This Row],[Customer Gender]]="M","Male", orders[[#This Row],[Customer Gender]]="F","Female", orders[[#This Row],[Customer Gender]]="O","Other", TRUE,"Unknown")</f>
        <v>Female</v>
      </c>
    </row>
    <row r="1618" spans="1:15">
      <c r="A1618" t="s">
        <v>1717</v>
      </c>
      <c r="B1618" t="s">
        <v>46</v>
      </c>
      <c r="C1618">
        <v>1</v>
      </c>
      <c r="D1618">
        <v>59.7</v>
      </c>
      <c r="E1618">
        <v>59.7</v>
      </c>
      <c r="F1618" s="1">
        <v>45718</v>
      </c>
      <c r="G1618" s="1">
        <v>45721</v>
      </c>
      <c r="H1618" t="s">
        <v>27</v>
      </c>
      <c r="I1618" t="s">
        <v>70</v>
      </c>
      <c r="J1618">
        <v>4</v>
      </c>
      <c r="K1618" t="s">
        <v>19</v>
      </c>
      <c r="L1618" t="s">
        <v>33</v>
      </c>
      <c r="M1618">
        <f>orders[[#This Row],[Ship Date]]-orders[[#This Row],[Order Date]]</f>
        <v>3</v>
      </c>
      <c r="N1618">
        <f>WEEKNUM(orders[[#This Row],[Order Date]])</f>
        <v>10</v>
      </c>
      <c r="O1618" t="str">
        <f>_xlfn.IFS(orders[[#This Row],[Customer Gender]]="M","Male", orders[[#This Row],[Customer Gender]]="F","Female", orders[[#This Row],[Customer Gender]]="O","Other", TRUE,"Unknown")</f>
        <v>Female</v>
      </c>
    </row>
    <row r="1619" spans="1:15">
      <c r="A1619" t="s">
        <v>1718</v>
      </c>
      <c r="B1619" t="s">
        <v>39</v>
      </c>
      <c r="C1619">
        <v>1</v>
      </c>
      <c r="D1619">
        <v>48.3</v>
      </c>
      <c r="E1619">
        <v>48.3</v>
      </c>
      <c r="F1619" s="1">
        <v>45718</v>
      </c>
      <c r="G1619" s="1">
        <v>45732</v>
      </c>
      <c r="H1619" t="s">
        <v>89</v>
      </c>
      <c r="I1619" t="s">
        <v>18</v>
      </c>
      <c r="J1619">
        <v>5</v>
      </c>
      <c r="K1619" t="s">
        <v>19</v>
      </c>
      <c r="L1619" t="s">
        <v>33</v>
      </c>
      <c r="M1619">
        <f>orders[[#This Row],[Ship Date]]-orders[[#This Row],[Order Date]]</f>
        <v>14</v>
      </c>
      <c r="N1619">
        <f>WEEKNUM(orders[[#This Row],[Order Date]])</f>
        <v>10</v>
      </c>
      <c r="O1619" t="str">
        <f>_xlfn.IFS(orders[[#This Row],[Customer Gender]]="M","Male", orders[[#This Row],[Customer Gender]]="F","Female", orders[[#This Row],[Customer Gender]]="O","Other", TRUE,"Unknown")</f>
        <v>Other</v>
      </c>
    </row>
    <row r="1620" spans="1:15">
      <c r="A1620" t="s">
        <v>1719</v>
      </c>
      <c r="B1620" t="s">
        <v>44</v>
      </c>
      <c r="C1620">
        <v>3</v>
      </c>
      <c r="D1620">
        <v>45.5</v>
      </c>
      <c r="E1620">
        <v>136.5</v>
      </c>
      <c r="F1620" s="1">
        <v>45718</v>
      </c>
      <c r="G1620" s="1">
        <v>45720</v>
      </c>
      <c r="H1620" t="s">
        <v>23</v>
      </c>
      <c r="I1620" t="s">
        <v>40</v>
      </c>
      <c r="J1620">
        <v>3</v>
      </c>
      <c r="K1620" t="s">
        <v>19</v>
      </c>
      <c r="L1620" t="s">
        <v>33</v>
      </c>
      <c r="M1620">
        <f>orders[[#This Row],[Ship Date]]-orders[[#This Row],[Order Date]]</f>
        <v>2</v>
      </c>
      <c r="N1620">
        <f>WEEKNUM(orders[[#This Row],[Order Date]])</f>
        <v>10</v>
      </c>
      <c r="O1620" t="str">
        <f>_xlfn.IFS(orders[[#This Row],[Customer Gender]]="M","Male", orders[[#This Row],[Customer Gender]]="F","Female", orders[[#This Row],[Customer Gender]]="O","Other", TRUE,"Unknown")</f>
        <v>Male</v>
      </c>
    </row>
    <row r="1621" spans="1:15">
      <c r="A1621" t="s">
        <v>1720</v>
      </c>
      <c r="B1621" t="s">
        <v>46</v>
      </c>
      <c r="C1621">
        <v>27</v>
      </c>
      <c r="D1621">
        <v>51</v>
      </c>
      <c r="E1621">
        <v>1377</v>
      </c>
      <c r="F1621" s="1">
        <v>45718</v>
      </c>
      <c r="G1621" s="1">
        <v>45718</v>
      </c>
      <c r="H1621" t="s">
        <v>27</v>
      </c>
      <c r="I1621" t="s">
        <v>40</v>
      </c>
      <c r="J1621">
        <v>4</v>
      </c>
      <c r="K1621" t="s">
        <v>19</v>
      </c>
      <c r="L1621" t="s">
        <v>33</v>
      </c>
      <c r="M1621">
        <f>orders[[#This Row],[Ship Date]]-orders[[#This Row],[Order Date]]</f>
        <v>0</v>
      </c>
      <c r="N1621">
        <f>WEEKNUM(orders[[#This Row],[Order Date]])</f>
        <v>10</v>
      </c>
      <c r="O1621" t="str">
        <f>_xlfn.IFS(orders[[#This Row],[Customer Gender]]="M","Male", orders[[#This Row],[Customer Gender]]="F","Female", orders[[#This Row],[Customer Gender]]="O","Other", TRUE,"Unknown")</f>
        <v>Female</v>
      </c>
    </row>
    <row r="1622" spans="1:15">
      <c r="A1622" t="s">
        <v>1721</v>
      </c>
      <c r="B1622" t="s">
        <v>32</v>
      </c>
      <c r="C1622">
        <v>6</v>
      </c>
      <c r="D1622">
        <v>20.399999999999999</v>
      </c>
      <c r="E1622">
        <v>122.39999999999999</v>
      </c>
      <c r="F1622" s="1">
        <v>45718</v>
      </c>
      <c r="G1622" s="1">
        <v>45719</v>
      </c>
      <c r="H1622" t="s">
        <v>23</v>
      </c>
      <c r="I1622" t="s">
        <v>40</v>
      </c>
      <c r="J1622">
        <v>4</v>
      </c>
      <c r="K1622" t="s">
        <v>19</v>
      </c>
      <c r="L1622" t="s">
        <v>33</v>
      </c>
      <c r="M1622">
        <f>orders[[#This Row],[Ship Date]]-orders[[#This Row],[Order Date]]</f>
        <v>1</v>
      </c>
      <c r="N1622">
        <f>WEEKNUM(orders[[#This Row],[Order Date]])</f>
        <v>10</v>
      </c>
      <c r="O1622" t="str">
        <f>_xlfn.IFS(orders[[#This Row],[Customer Gender]]="M","Male", orders[[#This Row],[Customer Gender]]="F","Female", orders[[#This Row],[Customer Gender]]="O","Other", TRUE,"Unknown")</f>
        <v>Male</v>
      </c>
    </row>
    <row r="1623" spans="1:15">
      <c r="A1623" t="s">
        <v>1722</v>
      </c>
      <c r="B1623" t="s">
        <v>54</v>
      </c>
      <c r="C1623">
        <v>2</v>
      </c>
      <c r="D1623">
        <v>30.4</v>
      </c>
      <c r="E1623">
        <v>60.8</v>
      </c>
      <c r="F1623" s="1">
        <v>45718</v>
      </c>
      <c r="G1623" s="1">
        <v>45720</v>
      </c>
      <c r="H1623" t="s">
        <v>23</v>
      </c>
      <c r="I1623" t="s">
        <v>40</v>
      </c>
      <c r="J1623">
        <v>4</v>
      </c>
      <c r="K1623" t="s">
        <v>19</v>
      </c>
      <c r="L1623" t="s">
        <v>33</v>
      </c>
      <c r="M1623">
        <f>orders[[#This Row],[Ship Date]]-orders[[#This Row],[Order Date]]</f>
        <v>2</v>
      </c>
      <c r="N1623">
        <f>WEEKNUM(orders[[#This Row],[Order Date]])</f>
        <v>10</v>
      </c>
      <c r="O1623" t="str">
        <f>_xlfn.IFS(orders[[#This Row],[Customer Gender]]="M","Male", orders[[#This Row],[Customer Gender]]="F","Female", orders[[#This Row],[Customer Gender]]="O","Other", TRUE,"Unknown")</f>
        <v>Male</v>
      </c>
    </row>
    <row r="1624" spans="1:15">
      <c r="A1624" t="s">
        <v>1723</v>
      </c>
      <c r="B1624" t="s">
        <v>42</v>
      </c>
      <c r="C1624">
        <v>2</v>
      </c>
      <c r="D1624">
        <v>71.5</v>
      </c>
      <c r="E1624">
        <v>143</v>
      </c>
      <c r="F1624" s="1">
        <v>45718</v>
      </c>
      <c r="G1624" s="1">
        <v>45722</v>
      </c>
      <c r="H1624" t="s">
        <v>27</v>
      </c>
      <c r="I1624" t="s">
        <v>18</v>
      </c>
      <c r="J1624">
        <v>4</v>
      </c>
      <c r="K1624" t="s">
        <v>19</v>
      </c>
      <c r="L1624" t="s">
        <v>33</v>
      </c>
      <c r="M1624">
        <f>orders[[#This Row],[Ship Date]]-orders[[#This Row],[Order Date]]</f>
        <v>4</v>
      </c>
      <c r="N1624">
        <f>WEEKNUM(orders[[#This Row],[Order Date]])</f>
        <v>10</v>
      </c>
      <c r="O1624" t="str">
        <f>_xlfn.IFS(orders[[#This Row],[Customer Gender]]="M","Male", orders[[#This Row],[Customer Gender]]="F","Female", orders[[#This Row],[Customer Gender]]="O","Other", TRUE,"Unknown")</f>
        <v>Female</v>
      </c>
    </row>
    <row r="1625" spans="1:15">
      <c r="A1625" t="s">
        <v>1724</v>
      </c>
      <c r="B1625" t="s">
        <v>44</v>
      </c>
      <c r="C1625">
        <v>6</v>
      </c>
      <c r="D1625">
        <v>18</v>
      </c>
      <c r="E1625">
        <v>108</v>
      </c>
      <c r="F1625" s="1">
        <v>45718</v>
      </c>
      <c r="G1625" s="1">
        <v>45719</v>
      </c>
      <c r="H1625" t="s">
        <v>89</v>
      </c>
      <c r="I1625" t="s">
        <v>35</v>
      </c>
      <c r="J1625">
        <v>5</v>
      </c>
      <c r="K1625" t="s">
        <v>19</v>
      </c>
      <c r="L1625" t="s">
        <v>55</v>
      </c>
      <c r="M1625">
        <f>orders[[#This Row],[Ship Date]]-orders[[#This Row],[Order Date]]</f>
        <v>1</v>
      </c>
      <c r="N1625">
        <f>WEEKNUM(orders[[#This Row],[Order Date]])</f>
        <v>10</v>
      </c>
      <c r="O1625" t="str">
        <f>_xlfn.IFS(orders[[#This Row],[Customer Gender]]="M","Male", orders[[#This Row],[Customer Gender]]="F","Female", orders[[#This Row],[Customer Gender]]="O","Other", TRUE,"Unknown")</f>
        <v>Other</v>
      </c>
    </row>
    <row r="1626" spans="1:15">
      <c r="A1626" t="s">
        <v>1725</v>
      </c>
      <c r="B1626" t="s">
        <v>123</v>
      </c>
      <c r="C1626">
        <v>11</v>
      </c>
      <c r="D1626">
        <v>45.6</v>
      </c>
      <c r="E1626">
        <v>501.6</v>
      </c>
      <c r="F1626" s="1">
        <v>45718</v>
      </c>
      <c r="G1626" s="1">
        <v>45719</v>
      </c>
      <c r="H1626" t="s">
        <v>89</v>
      </c>
      <c r="I1626" t="s">
        <v>35</v>
      </c>
      <c r="J1626">
        <v>3</v>
      </c>
      <c r="K1626" t="s">
        <v>19</v>
      </c>
      <c r="L1626" t="s">
        <v>59</v>
      </c>
      <c r="M1626">
        <f>orders[[#This Row],[Ship Date]]-orders[[#This Row],[Order Date]]</f>
        <v>1</v>
      </c>
      <c r="N1626">
        <f>WEEKNUM(orders[[#This Row],[Order Date]])</f>
        <v>10</v>
      </c>
      <c r="O1626" t="str">
        <f>_xlfn.IFS(orders[[#This Row],[Customer Gender]]="M","Male", orders[[#This Row],[Customer Gender]]="F","Female", orders[[#This Row],[Customer Gender]]="O","Other", TRUE,"Unknown")</f>
        <v>Other</v>
      </c>
    </row>
    <row r="1627" spans="1:15">
      <c r="A1627" t="s">
        <v>1726</v>
      </c>
      <c r="B1627" t="s">
        <v>46</v>
      </c>
      <c r="C1627">
        <v>1</v>
      </c>
      <c r="D1627">
        <v>31.8</v>
      </c>
      <c r="E1627">
        <v>31.8</v>
      </c>
      <c r="F1627" s="1">
        <v>45718</v>
      </c>
      <c r="G1627" s="1">
        <v>45722</v>
      </c>
      <c r="H1627" t="s">
        <v>27</v>
      </c>
      <c r="I1627" t="s">
        <v>18</v>
      </c>
      <c r="J1627">
        <v>5</v>
      </c>
      <c r="K1627" t="s">
        <v>19</v>
      </c>
      <c r="L1627" t="s">
        <v>59</v>
      </c>
      <c r="M1627">
        <f>orders[[#This Row],[Ship Date]]-orders[[#This Row],[Order Date]]</f>
        <v>4</v>
      </c>
      <c r="N1627">
        <f>WEEKNUM(orders[[#This Row],[Order Date]])</f>
        <v>10</v>
      </c>
      <c r="O1627" t="str">
        <f>_xlfn.IFS(orders[[#This Row],[Customer Gender]]="M","Male", orders[[#This Row],[Customer Gender]]="F","Female", orders[[#This Row],[Customer Gender]]="O","Other", TRUE,"Unknown")</f>
        <v>Female</v>
      </c>
    </row>
    <row r="1628" spans="1:15">
      <c r="A1628" t="s">
        <v>1727</v>
      </c>
      <c r="B1628" t="s">
        <v>44</v>
      </c>
      <c r="C1628">
        <v>5</v>
      </c>
      <c r="D1628">
        <v>19.899999999999999</v>
      </c>
      <c r="E1628">
        <v>99.5</v>
      </c>
      <c r="F1628" s="1">
        <v>45718</v>
      </c>
      <c r="G1628" s="1">
        <v>45719</v>
      </c>
      <c r="H1628" t="s">
        <v>27</v>
      </c>
      <c r="I1628" t="s">
        <v>35</v>
      </c>
      <c r="J1628">
        <v>4</v>
      </c>
      <c r="K1628" t="s">
        <v>19</v>
      </c>
      <c r="L1628" t="s">
        <v>59</v>
      </c>
      <c r="M1628">
        <f>orders[[#This Row],[Ship Date]]-orders[[#This Row],[Order Date]]</f>
        <v>1</v>
      </c>
      <c r="N1628">
        <f>WEEKNUM(orders[[#This Row],[Order Date]])</f>
        <v>10</v>
      </c>
      <c r="O1628" t="str">
        <f>_xlfn.IFS(orders[[#This Row],[Customer Gender]]="M","Male", orders[[#This Row],[Customer Gender]]="F","Female", orders[[#This Row],[Customer Gender]]="O","Other", TRUE,"Unknown")</f>
        <v>Female</v>
      </c>
    </row>
    <row r="1629" spans="1:15">
      <c r="A1629" t="s">
        <v>1728</v>
      </c>
      <c r="B1629" t="s">
        <v>69</v>
      </c>
      <c r="C1629">
        <v>9</v>
      </c>
      <c r="D1629">
        <v>52.1</v>
      </c>
      <c r="E1629">
        <v>468.90000000000003</v>
      </c>
      <c r="F1629" s="1">
        <v>45718</v>
      </c>
      <c r="G1629" s="1">
        <v>45720</v>
      </c>
      <c r="H1629" t="s">
        <v>23</v>
      </c>
      <c r="I1629" t="s">
        <v>18</v>
      </c>
      <c r="J1629">
        <v>4</v>
      </c>
      <c r="K1629" t="s">
        <v>19</v>
      </c>
      <c r="L1629" t="s">
        <v>62</v>
      </c>
      <c r="M1629">
        <f>orders[[#This Row],[Ship Date]]-orders[[#This Row],[Order Date]]</f>
        <v>2</v>
      </c>
      <c r="N1629">
        <f>WEEKNUM(orders[[#This Row],[Order Date]])</f>
        <v>10</v>
      </c>
      <c r="O1629" t="str">
        <f>_xlfn.IFS(orders[[#This Row],[Customer Gender]]="M","Male", orders[[#This Row],[Customer Gender]]="F","Female", orders[[#This Row],[Customer Gender]]="O","Other", TRUE,"Unknown")</f>
        <v>Male</v>
      </c>
    </row>
    <row r="1630" spans="1:15">
      <c r="A1630" t="s">
        <v>1729</v>
      </c>
      <c r="B1630" t="s">
        <v>22</v>
      </c>
      <c r="C1630">
        <v>7</v>
      </c>
      <c r="D1630">
        <v>45.9</v>
      </c>
      <c r="E1630">
        <v>321.3</v>
      </c>
      <c r="F1630" s="1">
        <v>45718</v>
      </c>
      <c r="G1630" s="1">
        <v>45719</v>
      </c>
      <c r="H1630" t="s">
        <v>23</v>
      </c>
      <c r="I1630" t="s">
        <v>18</v>
      </c>
      <c r="J1630">
        <v>3</v>
      </c>
      <c r="K1630" t="s">
        <v>19</v>
      </c>
      <c r="L1630" t="s">
        <v>62</v>
      </c>
      <c r="M1630">
        <f>orders[[#This Row],[Ship Date]]-orders[[#This Row],[Order Date]]</f>
        <v>1</v>
      </c>
      <c r="N1630">
        <f>WEEKNUM(orders[[#This Row],[Order Date]])</f>
        <v>10</v>
      </c>
      <c r="O1630" t="str">
        <f>_xlfn.IFS(orders[[#This Row],[Customer Gender]]="M","Male", orders[[#This Row],[Customer Gender]]="F","Female", orders[[#This Row],[Customer Gender]]="O","Other", TRUE,"Unknown")</f>
        <v>Male</v>
      </c>
    </row>
    <row r="1631" spans="1:15">
      <c r="A1631" t="s">
        <v>1730</v>
      </c>
      <c r="B1631" t="s">
        <v>22</v>
      </c>
      <c r="C1631">
        <v>10</v>
      </c>
      <c r="D1631">
        <v>115.9</v>
      </c>
      <c r="E1631">
        <v>1159</v>
      </c>
      <c r="F1631" s="1">
        <v>45718</v>
      </c>
      <c r="G1631" s="1">
        <v>45721</v>
      </c>
      <c r="H1631" t="s">
        <v>27</v>
      </c>
      <c r="I1631" t="s">
        <v>35</v>
      </c>
      <c r="J1631">
        <v>4</v>
      </c>
      <c r="K1631" t="s">
        <v>19</v>
      </c>
      <c r="L1631" t="s">
        <v>62</v>
      </c>
      <c r="M1631">
        <f>orders[[#This Row],[Ship Date]]-orders[[#This Row],[Order Date]]</f>
        <v>3</v>
      </c>
      <c r="N1631">
        <f>WEEKNUM(orders[[#This Row],[Order Date]])</f>
        <v>10</v>
      </c>
      <c r="O1631" t="str">
        <f>_xlfn.IFS(orders[[#This Row],[Customer Gender]]="M","Male", orders[[#This Row],[Customer Gender]]="F","Female", orders[[#This Row],[Customer Gender]]="O","Other", TRUE,"Unknown")</f>
        <v>Female</v>
      </c>
    </row>
    <row r="1632" spans="1:15">
      <c r="A1632" t="s">
        <v>1731</v>
      </c>
      <c r="B1632" t="s">
        <v>39</v>
      </c>
      <c r="C1632">
        <v>9</v>
      </c>
      <c r="D1632">
        <v>86</v>
      </c>
      <c r="E1632">
        <v>774</v>
      </c>
      <c r="F1632" s="1">
        <v>45718</v>
      </c>
      <c r="G1632" s="1">
        <v>45723</v>
      </c>
      <c r="H1632" t="s">
        <v>27</v>
      </c>
      <c r="I1632" t="s">
        <v>18</v>
      </c>
      <c r="J1632">
        <v>3</v>
      </c>
      <c r="K1632" t="s">
        <v>19</v>
      </c>
      <c r="L1632" t="s">
        <v>62</v>
      </c>
      <c r="M1632">
        <f>orders[[#This Row],[Ship Date]]-orders[[#This Row],[Order Date]]</f>
        <v>5</v>
      </c>
      <c r="N1632">
        <f>WEEKNUM(orders[[#This Row],[Order Date]])</f>
        <v>10</v>
      </c>
      <c r="O1632" t="str">
        <f>_xlfn.IFS(orders[[#This Row],[Customer Gender]]="M","Male", orders[[#This Row],[Customer Gender]]="F","Female", orders[[#This Row],[Customer Gender]]="O","Other", TRUE,"Unknown")</f>
        <v>Female</v>
      </c>
    </row>
    <row r="1633" spans="1:15">
      <c r="A1633" t="s">
        <v>1732</v>
      </c>
      <c r="B1633" t="s">
        <v>42</v>
      </c>
      <c r="C1633">
        <v>7</v>
      </c>
      <c r="D1633">
        <v>73.599999999999994</v>
      </c>
      <c r="E1633">
        <v>515.19999999999993</v>
      </c>
      <c r="F1633" s="1">
        <v>45718</v>
      </c>
      <c r="G1633" s="1">
        <v>45720</v>
      </c>
      <c r="H1633" t="s">
        <v>27</v>
      </c>
      <c r="I1633" t="s">
        <v>18</v>
      </c>
      <c r="J1633">
        <v>4</v>
      </c>
      <c r="K1633" t="s">
        <v>19</v>
      </c>
      <c r="L1633" t="s">
        <v>103</v>
      </c>
      <c r="M1633">
        <f>orders[[#This Row],[Ship Date]]-orders[[#This Row],[Order Date]]</f>
        <v>2</v>
      </c>
      <c r="N1633">
        <f>WEEKNUM(orders[[#This Row],[Order Date]])</f>
        <v>10</v>
      </c>
      <c r="O1633" t="str">
        <f>_xlfn.IFS(orders[[#This Row],[Customer Gender]]="M","Male", orders[[#This Row],[Customer Gender]]="F","Female", orders[[#This Row],[Customer Gender]]="O","Other", TRUE,"Unknown")</f>
        <v>Female</v>
      </c>
    </row>
    <row r="1634" spans="1:15">
      <c r="A1634" t="s">
        <v>1733</v>
      </c>
      <c r="B1634" t="s">
        <v>54</v>
      </c>
      <c r="C1634">
        <v>3</v>
      </c>
      <c r="D1634">
        <v>26.7</v>
      </c>
      <c r="E1634">
        <v>80.099999999999994</v>
      </c>
      <c r="F1634" s="1">
        <v>45718</v>
      </c>
      <c r="G1634" s="1">
        <v>45722</v>
      </c>
      <c r="H1634" t="s">
        <v>27</v>
      </c>
      <c r="I1634" t="s">
        <v>18</v>
      </c>
      <c r="J1634">
        <v>4</v>
      </c>
      <c r="K1634" t="s">
        <v>19</v>
      </c>
      <c r="L1634" t="s">
        <v>77</v>
      </c>
      <c r="M1634">
        <f>orders[[#This Row],[Ship Date]]-orders[[#This Row],[Order Date]]</f>
        <v>4</v>
      </c>
      <c r="N1634">
        <f>WEEKNUM(orders[[#This Row],[Order Date]])</f>
        <v>10</v>
      </c>
      <c r="O1634" t="str">
        <f>_xlfn.IFS(orders[[#This Row],[Customer Gender]]="M","Male", orders[[#This Row],[Customer Gender]]="F","Female", orders[[#This Row],[Customer Gender]]="O","Other", TRUE,"Unknown")</f>
        <v>Female</v>
      </c>
    </row>
    <row r="1635" spans="1:15">
      <c r="A1635" t="s">
        <v>1734</v>
      </c>
      <c r="B1635" t="s">
        <v>44</v>
      </c>
      <c r="C1635">
        <v>7</v>
      </c>
      <c r="D1635">
        <v>46.6</v>
      </c>
      <c r="E1635">
        <v>326.2</v>
      </c>
      <c r="F1635" s="1">
        <v>45718</v>
      </c>
      <c r="G1635" s="1">
        <v>45720</v>
      </c>
      <c r="H1635" t="s">
        <v>17</v>
      </c>
      <c r="I1635" t="s">
        <v>51</v>
      </c>
      <c r="J1635">
        <v>4</v>
      </c>
      <c r="K1635" t="s">
        <v>19</v>
      </c>
      <c r="L1635" t="s">
        <v>77</v>
      </c>
      <c r="M1635">
        <f>orders[[#This Row],[Ship Date]]-orders[[#This Row],[Order Date]]</f>
        <v>2</v>
      </c>
      <c r="N1635">
        <f>WEEKNUM(orders[[#This Row],[Order Date]])</f>
        <v>10</v>
      </c>
      <c r="O1635" t="str">
        <f>_xlfn.IFS(orders[[#This Row],[Customer Gender]]="M","Male", orders[[#This Row],[Customer Gender]]="F","Female", orders[[#This Row],[Customer Gender]]="O","Other", TRUE,"Unknown")</f>
        <v>Unknown</v>
      </c>
    </row>
    <row r="1636" spans="1:15">
      <c r="A1636" t="s">
        <v>1735</v>
      </c>
      <c r="B1636" t="s">
        <v>30</v>
      </c>
      <c r="C1636">
        <v>3</v>
      </c>
      <c r="D1636">
        <v>84.6</v>
      </c>
      <c r="E1636">
        <v>253.79999999999998</v>
      </c>
      <c r="F1636" s="1">
        <v>45718</v>
      </c>
      <c r="G1636" s="1">
        <v>45720</v>
      </c>
      <c r="H1636" t="s">
        <v>23</v>
      </c>
      <c r="I1636" t="s">
        <v>70</v>
      </c>
      <c r="J1636">
        <v>4</v>
      </c>
      <c r="K1636" t="s">
        <v>19</v>
      </c>
      <c r="L1636" t="s">
        <v>77</v>
      </c>
      <c r="M1636">
        <f>orders[[#This Row],[Ship Date]]-orders[[#This Row],[Order Date]]</f>
        <v>2</v>
      </c>
      <c r="N1636">
        <f>WEEKNUM(orders[[#This Row],[Order Date]])</f>
        <v>10</v>
      </c>
      <c r="O1636" t="str">
        <f>_xlfn.IFS(orders[[#This Row],[Customer Gender]]="M","Male", orders[[#This Row],[Customer Gender]]="F","Female", orders[[#This Row],[Customer Gender]]="O","Other", TRUE,"Unknown")</f>
        <v>Male</v>
      </c>
    </row>
    <row r="1637" spans="1:15">
      <c r="A1637" t="s">
        <v>1736</v>
      </c>
      <c r="B1637" t="s">
        <v>42</v>
      </c>
      <c r="C1637">
        <v>14</v>
      </c>
      <c r="D1637">
        <v>41.5</v>
      </c>
      <c r="E1637">
        <v>581</v>
      </c>
      <c r="F1637" s="1">
        <v>45718</v>
      </c>
      <c r="G1637" s="1">
        <v>45732</v>
      </c>
      <c r="H1637" t="s">
        <v>23</v>
      </c>
      <c r="I1637" t="s">
        <v>35</v>
      </c>
      <c r="J1637">
        <v>4</v>
      </c>
      <c r="K1637" t="s">
        <v>19</v>
      </c>
      <c r="L1637" t="s">
        <v>1116</v>
      </c>
      <c r="M1637">
        <f>orders[[#This Row],[Ship Date]]-orders[[#This Row],[Order Date]]</f>
        <v>14</v>
      </c>
      <c r="N1637">
        <f>WEEKNUM(orders[[#This Row],[Order Date]])</f>
        <v>10</v>
      </c>
      <c r="O1637" t="str">
        <f>_xlfn.IFS(orders[[#This Row],[Customer Gender]]="M","Male", orders[[#This Row],[Customer Gender]]="F","Female", orders[[#This Row],[Customer Gender]]="O","Other", TRUE,"Unknown")</f>
        <v>Male</v>
      </c>
    </row>
    <row r="1638" spans="1:15">
      <c r="A1638" t="s">
        <v>1737</v>
      </c>
      <c r="B1638" t="s">
        <v>44</v>
      </c>
      <c r="C1638">
        <v>1</v>
      </c>
      <c r="D1638">
        <v>32.799999999999997</v>
      </c>
      <c r="E1638">
        <v>32.799999999999997</v>
      </c>
      <c r="F1638" s="1">
        <v>45718</v>
      </c>
      <c r="G1638" s="1">
        <v>45721</v>
      </c>
      <c r="H1638" t="s">
        <v>23</v>
      </c>
      <c r="I1638" t="s">
        <v>18</v>
      </c>
      <c r="J1638">
        <v>5</v>
      </c>
      <c r="K1638" t="s">
        <v>19</v>
      </c>
      <c r="L1638" t="s">
        <v>268</v>
      </c>
      <c r="M1638">
        <f>orders[[#This Row],[Ship Date]]-orders[[#This Row],[Order Date]]</f>
        <v>3</v>
      </c>
      <c r="N1638">
        <f>WEEKNUM(orders[[#This Row],[Order Date]])</f>
        <v>10</v>
      </c>
      <c r="O1638" t="str">
        <f>_xlfn.IFS(orders[[#This Row],[Customer Gender]]="M","Male", orders[[#This Row],[Customer Gender]]="F","Female", orders[[#This Row],[Customer Gender]]="O","Other", TRUE,"Unknown")</f>
        <v>Male</v>
      </c>
    </row>
    <row r="1639" spans="1:15">
      <c r="A1639" t="s">
        <v>1738</v>
      </c>
      <c r="B1639" t="s">
        <v>32</v>
      </c>
      <c r="C1639">
        <v>7</v>
      </c>
      <c r="D1639">
        <v>46.7</v>
      </c>
      <c r="E1639">
        <v>326.90000000000003</v>
      </c>
      <c r="F1639" s="1">
        <v>45718</v>
      </c>
      <c r="G1639" s="1">
        <v>45720</v>
      </c>
      <c r="H1639" t="s">
        <v>89</v>
      </c>
      <c r="I1639" t="s">
        <v>18</v>
      </c>
      <c r="J1639">
        <v>5</v>
      </c>
      <c r="K1639" t="s">
        <v>19</v>
      </c>
      <c r="L1639" t="s">
        <v>108</v>
      </c>
      <c r="M1639">
        <f>orders[[#This Row],[Ship Date]]-orders[[#This Row],[Order Date]]</f>
        <v>2</v>
      </c>
      <c r="N1639">
        <f>WEEKNUM(orders[[#This Row],[Order Date]])</f>
        <v>10</v>
      </c>
      <c r="O1639" t="str">
        <f>_xlfn.IFS(orders[[#This Row],[Customer Gender]]="M","Male", orders[[#This Row],[Customer Gender]]="F","Female", orders[[#This Row],[Customer Gender]]="O","Other", TRUE,"Unknown")</f>
        <v>Other</v>
      </c>
    </row>
    <row r="1640" spans="1:15">
      <c r="A1640" t="s">
        <v>1739</v>
      </c>
      <c r="B1640" t="s">
        <v>123</v>
      </c>
      <c r="C1640">
        <v>7</v>
      </c>
      <c r="D1640">
        <v>21</v>
      </c>
      <c r="E1640">
        <v>147</v>
      </c>
      <c r="F1640" s="1">
        <v>45718</v>
      </c>
      <c r="G1640" s="1">
        <v>45721</v>
      </c>
      <c r="H1640" t="s">
        <v>23</v>
      </c>
      <c r="I1640" t="s">
        <v>40</v>
      </c>
      <c r="J1640">
        <v>3</v>
      </c>
      <c r="K1640" t="s">
        <v>19</v>
      </c>
      <c r="L1640" t="s">
        <v>115</v>
      </c>
      <c r="M1640">
        <f>orders[[#This Row],[Ship Date]]-orders[[#This Row],[Order Date]]</f>
        <v>3</v>
      </c>
      <c r="N1640">
        <f>WEEKNUM(orders[[#This Row],[Order Date]])</f>
        <v>10</v>
      </c>
      <c r="O1640" t="str">
        <f>_xlfn.IFS(orders[[#This Row],[Customer Gender]]="M","Male", orders[[#This Row],[Customer Gender]]="F","Female", orders[[#This Row],[Customer Gender]]="O","Other", TRUE,"Unknown")</f>
        <v>Male</v>
      </c>
    </row>
    <row r="1641" spans="1:15">
      <c r="A1641" t="s">
        <v>1740</v>
      </c>
      <c r="B1641" t="s">
        <v>37</v>
      </c>
      <c r="C1641">
        <v>7</v>
      </c>
      <c r="D1641">
        <v>29.4</v>
      </c>
      <c r="E1641">
        <v>205.79999999999998</v>
      </c>
      <c r="F1641" s="1">
        <v>45718</v>
      </c>
      <c r="G1641" s="1">
        <v>45718</v>
      </c>
      <c r="H1641" t="s">
        <v>23</v>
      </c>
      <c r="I1641" t="s">
        <v>51</v>
      </c>
      <c r="J1641">
        <v>5</v>
      </c>
      <c r="K1641" t="s">
        <v>19</v>
      </c>
      <c r="L1641" t="s">
        <v>115</v>
      </c>
      <c r="M1641">
        <f>orders[[#This Row],[Ship Date]]-orders[[#This Row],[Order Date]]</f>
        <v>0</v>
      </c>
      <c r="N1641">
        <f>WEEKNUM(orders[[#This Row],[Order Date]])</f>
        <v>10</v>
      </c>
      <c r="O1641" t="str">
        <f>_xlfn.IFS(orders[[#This Row],[Customer Gender]]="M","Male", orders[[#This Row],[Customer Gender]]="F","Female", orders[[#This Row],[Customer Gender]]="O","Other", TRUE,"Unknown")</f>
        <v>Male</v>
      </c>
    </row>
    <row r="1642" spans="1:15">
      <c r="A1642" t="s">
        <v>1741</v>
      </c>
      <c r="B1642" t="s">
        <v>123</v>
      </c>
      <c r="C1642">
        <v>2</v>
      </c>
      <c r="D1642">
        <v>32.299999999999997</v>
      </c>
      <c r="E1642">
        <v>64.599999999999994</v>
      </c>
      <c r="F1642" s="1">
        <v>45718</v>
      </c>
      <c r="G1642" s="1">
        <v>45719</v>
      </c>
      <c r="H1642" t="s">
        <v>23</v>
      </c>
      <c r="I1642" t="s">
        <v>18</v>
      </c>
      <c r="J1642">
        <v>5</v>
      </c>
      <c r="K1642" t="s">
        <v>19</v>
      </c>
      <c r="L1642" t="s">
        <v>115</v>
      </c>
      <c r="M1642">
        <f>orders[[#This Row],[Ship Date]]-orders[[#This Row],[Order Date]]</f>
        <v>1</v>
      </c>
      <c r="N1642">
        <f>WEEKNUM(orders[[#This Row],[Order Date]])</f>
        <v>10</v>
      </c>
      <c r="O1642" t="str">
        <f>_xlfn.IFS(orders[[#This Row],[Customer Gender]]="M","Male", orders[[#This Row],[Customer Gender]]="F","Female", orders[[#This Row],[Customer Gender]]="O","Other", TRUE,"Unknown")</f>
        <v>Male</v>
      </c>
    </row>
    <row r="1643" spans="1:15">
      <c r="A1643" t="s">
        <v>1742</v>
      </c>
      <c r="B1643" t="s">
        <v>39</v>
      </c>
      <c r="C1643">
        <v>1</v>
      </c>
      <c r="D1643">
        <v>42.2</v>
      </c>
      <c r="E1643">
        <v>42.2</v>
      </c>
      <c r="F1643" s="1">
        <v>45719</v>
      </c>
      <c r="G1643" s="1">
        <v>45721</v>
      </c>
      <c r="H1643" t="s">
        <v>27</v>
      </c>
      <c r="I1643" t="s">
        <v>18</v>
      </c>
      <c r="J1643">
        <v>5</v>
      </c>
      <c r="K1643" t="s">
        <v>19</v>
      </c>
      <c r="L1643" t="s">
        <v>115</v>
      </c>
      <c r="M1643">
        <f>orders[[#This Row],[Ship Date]]-orders[[#This Row],[Order Date]]</f>
        <v>2</v>
      </c>
      <c r="N1643">
        <f>WEEKNUM(orders[[#This Row],[Order Date]])</f>
        <v>10</v>
      </c>
      <c r="O1643" t="str">
        <f>_xlfn.IFS(orders[[#This Row],[Customer Gender]]="M","Male", orders[[#This Row],[Customer Gender]]="F","Female", orders[[#This Row],[Customer Gender]]="O","Other", TRUE,"Unknown")</f>
        <v>Female</v>
      </c>
    </row>
    <row r="1644" spans="1:15">
      <c r="A1644" t="s">
        <v>1743</v>
      </c>
      <c r="B1644" t="s">
        <v>39</v>
      </c>
      <c r="C1644">
        <v>1</v>
      </c>
      <c r="D1644">
        <v>53.7</v>
      </c>
      <c r="E1644">
        <v>53.7</v>
      </c>
      <c r="F1644" s="1">
        <v>45719</v>
      </c>
      <c r="G1644" s="1">
        <v>45721</v>
      </c>
      <c r="H1644" t="s">
        <v>23</v>
      </c>
      <c r="I1644" t="s">
        <v>35</v>
      </c>
      <c r="J1644">
        <v>3</v>
      </c>
      <c r="K1644" t="s">
        <v>19</v>
      </c>
      <c r="L1644" t="s">
        <v>24</v>
      </c>
      <c r="M1644">
        <f>orders[[#This Row],[Ship Date]]-orders[[#This Row],[Order Date]]</f>
        <v>2</v>
      </c>
      <c r="N1644">
        <f>WEEKNUM(orders[[#This Row],[Order Date]])</f>
        <v>10</v>
      </c>
      <c r="O1644" t="str">
        <f>_xlfn.IFS(orders[[#This Row],[Customer Gender]]="M","Male", orders[[#This Row],[Customer Gender]]="F","Female", orders[[#This Row],[Customer Gender]]="O","Other", TRUE,"Unknown")</f>
        <v>Male</v>
      </c>
    </row>
    <row r="1645" spans="1:15">
      <c r="A1645" t="s">
        <v>1744</v>
      </c>
      <c r="B1645" t="s">
        <v>26</v>
      </c>
      <c r="C1645">
        <v>2</v>
      </c>
      <c r="D1645">
        <v>123.9</v>
      </c>
      <c r="E1645">
        <v>247.8</v>
      </c>
      <c r="F1645" s="1">
        <v>45719</v>
      </c>
      <c r="G1645" s="1">
        <v>45722</v>
      </c>
      <c r="H1645" t="s">
        <v>23</v>
      </c>
      <c r="I1645" t="s">
        <v>40</v>
      </c>
      <c r="J1645">
        <v>4</v>
      </c>
      <c r="K1645" t="s">
        <v>19</v>
      </c>
      <c r="L1645" t="s">
        <v>24</v>
      </c>
      <c r="M1645">
        <f>orders[[#This Row],[Ship Date]]-orders[[#This Row],[Order Date]]</f>
        <v>3</v>
      </c>
      <c r="N1645">
        <f>WEEKNUM(orders[[#This Row],[Order Date]])</f>
        <v>10</v>
      </c>
      <c r="O1645" t="str">
        <f>_xlfn.IFS(orders[[#This Row],[Customer Gender]]="M","Male", orders[[#This Row],[Customer Gender]]="F","Female", orders[[#This Row],[Customer Gender]]="O","Other", TRUE,"Unknown")</f>
        <v>Male</v>
      </c>
    </row>
    <row r="1646" spans="1:15">
      <c r="A1646" t="s">
        <v>1745</v>
      </c>
      <c r="B1646" t="s">
        <v>32</v>
      </c>
      <c r="C1646">
        <v>3</v>
      </c>
      <c r="D1646">
        <v>35.9</v>
      </c>
      <c r="E1646">
        <v>107.69999999999999</v>
      </c>
      <c r="F1646" s="1">
        <v>45719</v>
      </c>
      <c r="G1646" s="1">
        <v>45721</v>
      </c>
      <c r="H1646" t="s">
        <v>23</v>
      </c>
      <c r="I1646" t="s">
        <v>40</v>
      </c>
      <c r="J1646">
        <v>4</v>
      </c>
      <c r="K1646" t="s">
        <v>19</v>
      </c>
      <c r="L1646" t="s">
        <v>147</v>
      </c>
      <c r="M1646">
        <f>orders[[#This Row],[Ship Date]]-orders[[#This Row],[Order Date]]</f>
        <v>2</v>
      </c>
      <c r="N1646">
        <f>WEEKNUM(orders[[#This Row],[Order Date]])</f>
        <v>10</v>
      </c>
      <c r="O1646" t="str">
        <f>_xlfn.IFS(orders[[#This Row],[Customer Gender]]="M","Male", orders[[#This Row],[Customer Gender]]="F","Female", orders[[#This Row],[Customer Gender]]="O","Other", TRUE,"Unknown")</f>
        <v>Male</v>
      </c>
    </row>
    <row r="1647" spans="1:15">
      <c r="A1647" t="s">
        <v>1746</v>
      </c>
      <c r="B1647" t="s">
        <v>32</v>
      </c>
      <c r="C1647">
        <v>2</v>
      </c>
      <c r="D1647">
        <v>23.6</v>
      </c>
      <c r="E1647">
        <v>47.2</v>
      </c>
      <c r="F1647" s="1">
        <v>45719</v>
      </c>
      <c r="G1647" s="1">
        <v>45722</v>
      </c>
      <c r="H1647" t="s">
        <v>23</v>
      </c>
      <c r="I1647" t="s">
        <v>18</v>
      </c>
      <c r="J1647">
        <v>5</v>
      </c>
      <c r="K1647" t="s">
        <v>19</v>
      </c>
      <c r="L1647" t="s">
        <v>33</v>
      </c>
      <c r="M1647">
        <f>orders[[#This Row],[Ship Date]]-orders[[#This Row],[Order Date]]</f>
        <v>3</v>
      </c>
      <c r="N1647">
        <f>WEEKNUM(orders[[#This Row],[Order Date]])</f>
        <v>10</v>
      </c>
      <c r="O1647" t="str">
        <f>_xlfn.IFS(orders[[#This Row],[Customer Gender]]="M","Male", orders[[#This Row],[Customer Gender]]="F","Female", orders[[#This Row],[Customer Gender]]="O","Other", TRUE,"Unknown")</f>
        <v>Male</v>
      </c>
    </row>
    <row r="1648" spans="1:15">
      <c r="A1648" t="s">
        <v>1747</v>
      </c>
      <c r="B1648" t="s">
        <v>123</v>
      </c>
      <c r="C1648">
        <v>35</v>
      </c>
      <c r="D1648">
        <v>45.7</v>
      </c>
      <c r="E1648">
        <v>1599.5</v>
      </c>
      <c r="F1648" s="1">
        <v>45719</v>
      </c>
      <c r="G1648" s="1">
        <v>45720</v>
      </c>
      <c r="H1648" t="s">
        <v>23</v>
      </c>
      <c r="I1648" t="s">
        <v>18</v>
      </c>
      <c r="J1648">
        <v>3</v>
      </c>
      <c r="K1648" t="s">
        <v>19</v>
      </c>
      <c r="L1648" t="s">
        <v>33</v>
      </c>
      <c r="M1648">
        <f>orders[[#This Row],[Ship Date]]-orders[[#This Row],[Order Date]]</f>
        <v>1</v>
      </c>
      <c r="N1648">
        <f>WEEKNUM(orders[[#This Row],[Order Date]])</f>
        <v>10</v>
      </c>
      <c r="O1648" t="str">
        <f>_xlfn.IFS(orders[[#This Row],[Customer Gender]]="M","Male", orders[[#This Row],[Customer Gender]]="F","Female", orders[[#This Row],[Customer Gender]]="O","Other", TRUE,"Unknown")</f>
        <v>Male</v>
      </c>
    </row>
    <row r="1649" spans="1:15">
      <c r="A1649" t="s">
        <v>1748</v>
      </c>
      <c r="B1649" t="s">
        <v>39</v>
      </c>
      <c r="C1649">
        <v>11</v>
      </c>
      <c r="D1649">
        <v>118.3</v>
      </c>
      <c r="E1649">
        <v>1301.3</v>
      </c>
      <c r="F1649" s="1">
        <v>45719</v>
      </c>
      <c r="G1649" s="1">
        <v>45721</v>
      </c>
      <c r="H1649" t="s">
        <v>23</v>
      </c>
      <c r="I1649" t="s">
        <v>70</v>
      </c>
      <c r="J1649">
        <v>5</v>
      </c>
      <c r="K1649" t="s">
        <v>19</v>
      </c>
      <c r="L1649" t="s">
        <v>33</v>
      </c>
      <c r="M1649">
        <f>orders[[#This Row],[Ship Date]]-orders[[#This Row],[Order Date]]</f>
        <v>2</v>
      </c>
      <c r="N1649">
        <f>WEEKNUM(orders[[#This Row],[Order Date]])</f>
        <v>10</v>
      </c>
      <c r="O1649" t="str">
        <f>_xlfn.IFS(orders[[#This Row],[Customer Gender]]="M","Male", orders[[#This Row],[Customer Gender]]="F","Female", orders[[#This Row],[Customer Gender]]="O","Other", TRUE,"Unknown")</f>
        <v>Male</v>
      </c>
    </row>
    <row r="1650" spans="1:15">
      <c r="A1650" t="s">
        <v>1749</v>
      </c>
      <c r="B1650" t="s">
        <v>171</v>
      </c>
      <c r="C1650">
        <v>1</v>
      </c>
      <c r="D1650">
        <v>36</v>
      </c>
      <c r="E1650">
        <v>36</v>
      </c>
      <c r="F1650" s="1">
        <v>45719</v>
      </c>
      <c r="G1650" s="1">
        <v>45720</v>
      </c>
      <c r="H1650" t="s">
        <v>27</v>
      </c>
      <c r="I1650" t="s">
        <v>18</v>
      </c>
      <c r="J1650">
        <v>3</v>
      </c>
      <c r="K1650" t="s">
        <v>19</v>
      </c>
      <c r="L1650" t="s">
        <v>33</v>
      </c>
      <c r="M1650">
        <f>orders[[#This Row],[Ship Date]]-orders[[#This Row],[Order Date]]</f>
        <v>1</v>
      </c>
      <c r="N1650">
        <f>WEEKNUM(orders[[#This Row],[Order Date]])</f>
        <v>10</v>
      </c>
      <c r="O1650" t="str">
        <f>_xlfn.IFS(orders[[#This Row],[Customer Gender]]="M","Male", orders[[#This Row],[Customer Gender]]="F","Female", orders[[#This Row],[Customer Gender]]="O","Other", TRUE,"Unknown")</f>
        <v>Female</v>
      </c>
    </row>
    <row r="1651" spans="1:15">
      <c r="A1651" t="s">
        <v>1750</v>
      </c>
      <c r="B1651" t="s">
        <v>44</v>
      </c>
      <c r="C1651">
        <v>2</v>
      </c>
      <c r="D1651">
        <v>37.1</v>
      </c>
      <c r="E1651">
        <v>74.2</v>
      </c>
      <c r="F1651" s="1">
        <v>45719</v>
      </c>
      <c r="G1651" s="1">
        <v>45722</v>
      </c>
      <c r="H1651" t="s">
        <v>27</v>
      </c>
      <c r="I1651" t="s">
        <v>40</v>
      </c>
      <c r="J1651">
        <v>4</v>
      </c>
      <c r="K1651" t="s">
        <v>19</v>
      </c>
      <c r="L1651" t="s">
        <v>33</v>
      </c>
      <c r="M1651">
        <f>orders[[#This Row],[Ship Date]]-orders[[#This Row],[Order Date]]</f>
        <v>3</v>
      </c>
      <c r="N1651">
        <f>WEEKNUM(orders[[#This Row],[Order Date]])</f>
        <v>10</v>
      </c>
      <c r="O1651" t="str">
        <f>_xlfn.IFS(orders[[#This Row],[Customer Gender]]="M","Male", orders[[#This Row],[Customer Gender]]="F","Female", orders[[#This Row],[Customer Gender]]="O","Other", TRUE,"Unknown")</f>
        <v>Female</v>
      </c>
    </row>
    <row r="1652" spans="1:15">
      <c r="A1652" t="s">
        <v>1751</v>
      </c>
      <c r="B1652" t="s">
        <v>146</v>
      </c>
      <c r="C1652">
        <v>3</v>
      </c>
      <c r="D1652">
        <v>45.1</v>
      </c>
      <c r="E1652">
        <v>135.30000000000001</v>
      </c>
      <c r="F1652" s="1">
        <v>45719</v>
      </c>
      <c r="G1652" s="1">
        <v>45721</v>
      </c>
      <c r="H1652" t="s">
        <v>27</v>
      </c>
      <c r="I1652" t="s">
        <v>35</v>
      </c>
      <c r="J1652">
        <v>5</v>
      </c>
      <c r="K1652" t="s">
        <v>19</v>
      </c>
      <c r="L1652" t="s">
        <v>33</v>
      </c>
      <c r="M1652">
        <f>orders[[#This Row],[Ship Date]]-orders[[#This Row],[Order Date]]</f>
        <v>2</v>
      </c>
      <c r="N1652">
        <f>WEEKNUM(orders[[#This Row],[Order Date]])</f>
        <v>10</v>
      </c>
      <c r="O1652" t="str">
        <f>_xlfn.IFS(orders[[#This Row],[Customer Gender]]="M","Male", orders[[#This Row],[Customer Gender]]="F","Female", orders[[#This Row],[Customer Gender]]="O","Other", TRUE,"Unknown")</f>
        <v>Female</v>
      </c>
    </row>
    <row r="1653" spans="1:15">
      <c r="A1653" t="s">
        <v>1752</v>
      </c>
      <c r="B1653" t="s">
        <v>37</v>
      </c>
      <c r="C1653">
        <v>16</v>
      </c>
      <c r="D1653">
        <v>37.9</v>
      </c>
      <c r="E1653">
        <v>606.4</v>
      </c>
      <c r="F1653" s="1">
        <v>45719</v>
      </c>
      <c r="G1653" s="1">
        <v>45720</v>
      </c>
      <c r="H1653" t="s">
        <v>27</v>
      </c>
      <c r="I1653" t="s">
        <v>51</v>
      </c>
      <c r="J1653">
        <v>5</v>
      </c>
      <c r="K1653" t="s">
        <v>19</v>
      </c>
      <c r="L1653" t="s">
        <v>33</v>
      </c>
      <c r="M1653">
        <f>orders[[#This Row],[Ship Date]]-orders[[#This Row],[Order Date]]</f>
        <v>1</v>
      </c>
      <c r="N1653">
        <f>WEEKNUM(orders[[#This Row],[Order Date]])</f>
        <v>10</v>
      </c>
      <c r="O1653" t="str">
        <f>_xlfn.IFS(orders[[#This Row],[Customer Gender]]="M","Male", orders[[#This Row],[Customer Gender]]="F","Female", orders[[#This Row],[Customer Gender]]="O","Other", TRUE,"Unknown")</f>
        <v>Female</v>
      </c>
    </row>
    <row r="1654" spans="1:15">
      <c r="A1654" t="s">
        <v>1753</v>
      </c>
      <c r="B1654" t="s">
        <v>26</v>
      </c>
      <c r="C1654">
        <v>2</v>
      </c>
      <c r="D1654">
        <v>121.6</v>
      </c>
      <c r="E1654">
        <v>243.2</v>
      </c>
      <c r="F1654" s="1">
        <v>45719</v>
      </c>
      <c r="G1654" s="1">
        <v>45722</v>
      </c>
      <c r="H1654" t="s">
        <v>23</v>
      </c>
      <c r="I1654" t="s">
        <v>51</v>
      </c>
      <c r="J1654">
        <v>5</v>
      </c>
      <c r="K1654" t="s">
        <v>19</v>
      </c>
      <c r="L1654" t="s">
        <v>33</v>
      </c>
      <c r="M1654">
        <f>orders[[#This Row],[Ship Date]]-orders[[#This Row],[Order Date]]</f>
        <v>3</v>
      </c>
      <c r="N1654">
        <f>WEEKNUM(orders[[#This Row],[Order Date]])</f>
        <v>10</v>
      </c>
      <c r="O1654" t="str">
        <f>_xlfn.IFS(orders[[#This Row],[Customer Gender]]="M","Male", orders[[#This Row],[Customer Gender]]="F","Female", orders[[#This Row],[Customer Gender]]="O","Other", TRUE,"Unknown")</f>
        <v>Male</v>
      </c>
    </row>
    <row r="1655" spans="1:15">
      <c r="A1655" t="s">
        <v>1754</v>
      </c>
      <c r="B1655" t="s">
        <v>37</v>
      </c>
      <c r="C1655">
        <v>7</v>
      </c>
      <c r="D1655">
        <v>38.200000000000003</v>
      </c>
      <c r="E1655">
        <v>267.40000000000003</v>
      </c>
      <c r="F1655" s="1">
        <v>45719</v>
      </c>
      <c r="G1655" s="1">
        <v>45722</v>
      </c>
      <c r="H1655" t="s">
        <v>27</v>
      </c>
      <c r="I1655" t="s">
        <v>18</v>
      </c>
      <c r="J1655">
        <v>4</v>
      </c>
      <c r="K1655" t="s">
        <v>19</v>
      </c>
      <c r="L1655" t="s">
        <v>33</v>
      </c>
      <c r="M1655">
        <f>orders[[#This Row],[Ship Date]]-orders[[#This Row],[Order Date]]</f>
        <v>3</v>
      </c>
      <c r="N1655">
        <f>WEEKNUM(orders[[#This Row],[Order Date]])</f>
        <v>10</v>
      </c>
      <c r="O1655" t="str">
        <f>_xlfn.IFS(orders[[#This Row],[Customer Gender]]="M","Male", orders[[#This Row],[Customer Gender]]="F","Female", orders[[#This Row],[Customer Gender]]="O","Other", TRUE,"Unknown")</f>
        <v>Female</v>
      </c>
    </row>
    <row r="1656" spans="1:15">
      <c r="A1656" t="s">
        <v>1755</v>
      </c>
      <c r="B1656" t="s">
        <v>135</v>
      </c>
      <c r="C1656">
        <v>2</v>
      </c>
      <c r="D1656">
        <v>37.200000000000003</v>
      </c>
      <c r="E1656">
        <v>74.400000000000006</v>
      </c>
      <c r="F1656" s="1">
        <v>45719</v>
      </c>
      <c r="G1656" s="1">
        <v>45722</v>
      </c>
      <c r="H1656" t="s">
        <v>23</v>
      </c>
      <c r="I1656" t="s">
        <v>70</v>
      </c>
      <c r="J1656">
        <v>4</v>
      </c>
      <c r="K1656" t="s">
        <v>19</v>
      </c>
      <c r="L1656" t="s">
        <v>33</v>
      </c>
      <c r="M1656">
        <f>orders[[#This Row],[Ship Date]]-orders[[#This Row],[Order Date]]</f>
        <v>3</v>
      </c>
      <c r="N1656">
        <f>WEEKNUM(orders[[#This Row],[Order Date]])</f>
        <v>10</v>
      </c>
      <c r="O1656" t="str">
        <f>_xlfn.IFS(orders[[#This Row],[Customer Gender]]="M","Male", orders[[#This Row],[Customer Gender]]="F","Female", orders[[#This Row],[Customer Gender]]="O","Other", TRUE,"Unknown")</f>
        <v>Male</v>
      </c>
    </row>
    <row r="1657" spans="1:15">
      <c r="A1657" t="s">
        <v>1756</v>
      </c>
      <c r="B1657" t="s">
        <v>26</v>
      </c>
      <c r="C1657">
        <v>4</v>
      </c>
      <c r="D1657">
        <v>115.7</v>
      </c>
      <c r="E1657">
        <v>462.8</v>
      </c>
      <c r="F1657" s="1">
        <v>45719</v>
      </c>
      <c r="G1657" s="1">
        <v>45722</v>
      </c>
      <c r="H1657" t="s">
        <v>27</v>
      </c>
      <c r="I1657" t="s">
        <v>35</v>
      </c>
      <c r="J1657">
        <v>4</v>
      </c>
      <c r="K1657" t="s">
        <v>19</v>
      </c>
      <c r="L1657" t="s">
        <v>33</v>
      </c>
      <c r="M1657">
        <f>orders[[#This Row],[Ship Date]]-orders[[#This Row],[Order Date]]</f>
        <v>3</v>
      </c>
      <c r="N1657">
        <f>WEEKNUM(orders[[#This Row],[Order Date]])</f>
        <v>10</v>
      </c>
      <c r="O1657" t="str">
        <f>_xlfn.IFS(orders[[#This Row],[Customer Gender]]="M","Male", orders[[#This Row],[Customer Gender]]="F","Female", orders[[#This Row],[Customer Gender]]="O","Other", TRUE,"Unknown")</f>
        <v>Female</v>
      </c>
    </row>
    <row r="1658" spans="1:15">
      <c r="A1658" t="s">
        <v>1757</v>
      </c>
      <c r="B1658" t="s">
        <v>26</v>
      </c>
      <c r="C1658">
        <v>6</v>
      </c>
      <c r="D1658">
        <v>99.4</v>
      </c>
      <c r="E1658">
        <v>596.40000000000009</v>
      </c>
      <c r="F1658" s="1">
        <v>45719</v>
      </c>
      <c r="G1658" s="1">
        <v>45722</v>
      </c>
      <c r="H1658" t="s">
        <v>23</v>
      </c>
      <c r="I1658" t="s">
        <v>18</v>
      </c>
      <c r="J1658">
        <v>5</v>
      </c>
      <c r="K1658" t="s">
        <v>19</v>
      </c>
      <c r="L1658" t="s">
        <v>33</v>
      </c>
      <c r="M1658">
        <f>orders[[#This Row],[Ship Date]]-orders[[#This Row],[Order Date]]</f>
        <v>3</v>
      </c>
      <c r="N1658">
        <f>WEEKNUM(orders[[#This Row],[Order Date]])</f>
        <v>10</v>
      </c>
      <c r="O1658" t="str">
        <f>_xlfn.IFS(orders[[#This Row],[Customer Gender]]="M","Male", orders[[#This Row],[Customer Gender]]="F","Female", orders[[#This Row],[Customer Gender]]="O","Other", TRUE,"Unknown")</f>
        <v>Male</v>
      </c>
    </row>
    <row r="1659" spans="1:15">
      <c r="A1659" t="s">
        <v>1758</v>
      </c>
      <c r="B1659" t="s">
        <v>67</v>
      </c>
      <c r="C1659">
        <v>1</v>
      </c>
      <c r="D1659">
        <v>38.700000000000003</v>
      </c>
      <c r="E1659">
        <v>38.700000000000003</v>
      </c>
      <c r="F1659" s="1">
        <v>45719</v>
      </c>
      <c r="G1659" s="1">
        <v>45720</v>
      </c>
      <c r="H1659" t="s">
        <v>27</v>
      </c>
      <c r="I1659" t="s">
        <v>40</v>
      </c>
      <c r="J1659">
        <v>4</v>
      </c>
      <c r="K1659" t="s">
        <v>19</v>
      </c>
      <c r="L1659" t="s">
        <v>188</v>
      </c>
      <c r="M1659">
        <f>orders[[#This Row],[Ship Date]]-orders[[#This Row],[Order Date]]</f>
        <v>1</v>
      </c>
      <c r="N1659">
        <f>WEEKNUM(orders[[#This Row],[Order Date]])</f>
        <v>10</v>
      </c>
      <c r="O1659" t="str">
        <f>_xlfn.IFS(orders[[#This Row],[Customer Gender]]="M","Male", orders[[#This Row],[Customer Gender]]="F","Female", orders[[#This Row],[Customer Gender]]="O","Other", TRUE,"Unknown")</f>
        <v>Female</v>
      </c>
    </row>
    <row r="1660" spans="1:15">
      <c r="A1660" t="s">
        <v>1759</v>
      </c>
      <c r="B1660" t="s">
        <v>32</v>
      </c>
      <c r="C1660">
        <v>2</v>
      </c>
      <c r="D1660">
        <v>35.5</v>
      </c>
      <c r="E1660">
        <v>71</v>
      </c>
      <c r="F1660" s="1">
        <v>45719</v>
      </c>
      <c r="G1660" s="1">
        <v>45722</v>
      </c>
      <c r="H1660" t="s">
        <v>23</v>
      </c>
      <c r="I1660" t="s">
        <v>18</v>
      </c>
      <c r="J1660">
        <v>5</v>
      </c>
      <c r="K1660" t="s">
        <v>19</v>
      </c>
      <c r="L1660" t="s">
        <v>188</v>
      </c>
      <c r="M1660">
        <f>orders[[#This Row],[Ship Date]]-orders[[#This Row],[Order Date]]</f>
        <v>3</v>
      </c>
      <c r="N1660">
        <f>WEEKNUM(orders[[#This Row],[Order Date]])</f>
        <v>10</v>
      </c>
      <c r="O1660" t="str">
        <f>_xlfn.IFS(orders[[#This Row],[Customer Gender]]="M","Male", orders[[#This Row],[Customer Gender]]="F","Female", orders[[#This Row],[Customer Gender]]="O","Other", TRUE,"Unknown")</f>
        <v>Male</v>
      </c>
    </row>
    <row r="1661" spans="1:15">
      <c r="A1661" t="s">
        <v>1760</v>
      </c>
      <c r="B1661" t="s">
        <v>26</v>
      </c>
      <c r="C1661">
        <v>4</v>
      </c>
      <c r="D1661">
        <v>93.3</v>
      </c>
      <c r="E1661">
        <v>373.2</v>
      </c>
      <c r="F1661" s="1">
        <v>45719</v>
      </c>
      <c r="G1661" s="1">
        <v>45722</v>
      </c>
      <c r="H1661" t="s">
        <v>27</v>
      </c>
      <c r="I1661" t="s">
        <v>18</v>
      </c>
      <c r="J1661">
        <v>5</v>
      </c>
      <c r="K1661" t="s">
        <v>19</v>
      </c>
      <c r="L1661" t="s">
        <v>55</v>
      </c>
      <c r="M1661">
        <f>orders[[#This Row],[Ship Date]]-orders[[#This Row],[Order Date]]</f>
        <v>3</v>
      </c>
      <c r="N1661">
        <f>WEEKNUM(orders[[#This Row],[Order Date]])</f>
        <v>10</v>
      </c>
      <c r="O1661" t="str">
        <f>_xlfn.IFS(orders[[#This Row],[Customer Gender]]="M","Male", orders[[#This Row],[Customer Gender]]="F","Female", orders[[#This Row],[Customer Gender]]="O","Other", TRUE,"Unknown")</f>
        <v>Female</v>
      </c>
    </row>
    <row r="1662" spans="1:15">
      <c r="A1662" t="s">
        <v>1761</v>
      </c>
      <c r="B1662" t="s">
        <v>128</v>
      </c>
      <c r="C1662">
        <v>1</v>
      </c>
      <c r="D1662">
        <v>31.4</v>
      </c>
      <c r="E1662">
        <v>31.4</v>
      </c>
      <c r="F1662" s="1">
        <v>45719</v>
      </c>
      <c r="G1662" s="1">
        <v>45724</v>
      </c>
      <c r="H1662" t="s">
        <v>27</v>
      </c>
      <c r="I1662" t="s">
        <v>40</v>
      </c>
      <c r="J1662">
        <v>5</v>
      </c>
      <c r="K1662" t="s">
        <v>19</v>
      </c>
      <c r="L1662" t="s">
        <v>55</v>
      </c>
      <c r="M1662">
        <f>orders[[#This Row],[Ship Date]]-orders[[#This Row],[Order Date]]</f>
        <v>5</v>
      </c>
      <c r="N1662">
        <f>WEEKNUM(orders[[#This Row],[Order Date]])</f>
        <v>10</v>
      </c>
      <c r="O1662" t="str">
        <f>_xlfn.IFS(orders[[#This Row],[Customer Gender]]="M","Male", orders[[#This Row],[Customer Gender]]="F","Female", orders[[#This Row],[Customer Gender]]="O","Other", TRUE,"Unknown")</f>
        <v>Female</v>
      </c>
    </row>
    <row r="1663" spans="1:15">
      <c r="A1663" t="s">
        <v>1762</v>
      </c>
      <c r="B1663" t="s">
        <v>22</v>
      </c>
      <c r="C1663">
        <v>1</v>
      </c>
      <c r="D1663">
        <v>85.9</v>
      </c>
      <c r="E1663">
        <v>85.9</v>
      </c>
      <c r="F1663" s="1">
        <v>45719</v>
      </c>
      <c r="G1663" s="1">
        <v>45722</v>
      </c>
      <c r="H1663" t="s">
        <v>23</v>
      </c>
      <c r="I1663" t="s">
        <v>35</v>
      </c>
      <c r="J1663">
        <v>4</v>
      </c>
      <c r="K1663" t="s">
        <v>19</v>
      </c>
      <c r="L1663" t="s">
        <v>55</v>
      </c>
      <c r="M1663">
        <f>orders[[#This Row],[Ship Date]]-orders[[#This Row],[Order Date]]</f>
        <v>3</v>
      </c>
      <c r="N1663">
        <f>WEEKNUM(orders[[#This Row],[Order Date]])</f>
        <v>10</v>
      </c>
      <c r="O1663" t="str">
        <f>_xlfn.IFS(orders[[#This Row],[Customer Gender]]="M","Male", orders[[#This Row],[Customer Gender]]="F","Female", orders[[#This Row],[Customer Gender]]="O","Other", TRUE,"Unknown")</f>
        <v>Male</v>
      </c>
    </row>
    <row r="1664" spans="1:15">
      <c r="A1664" t="s">
        <v>1763</v>
      </c>
      <c r="B1664" t="s">
        <v>39</v>
      </c>
      <c r="C1664">
        <v>8</v>
      </c>
      <c r="D1664">
        <v>41.7</v>
      </c>
      <c r="E1664">
        <v>333.6</v>
      </c>
      <c r="F1664" s="1">
        <v>45719</v>
      </c>
      <c r="G1664" s="1">
        <v>45727</v>
      </c>
      <c r="H1664" t="s">
        <v>23</v>
      </c>
      <c r="I1664" t="s">
        <v>18</v>
      </c>
      <c r="J1664">
        <v>5</v>
      </c>
      <c r="K1664" t="s">
        <v>19</v>
      </c>
      <c r="L1664" t="s">
        <v>59</v>
      </c>
      <c r="M1664">
        <f>orders[[#This Row],[Ship Date]]-orders[[#This Row],[Order Date]]</f>
        <v>8</v>
      </c>
      <c r="N1664">
        <f>WEEKNUM(orders[[#This Row],[Order Date]])</f>
        <v>10</v>
      </c>
      <c r="O1664" t="str">
        <f>_xlfn.IFS(orders[[#This Row],[Customer Gender]]="M","Male", orders[[#This Row],[Customer Gender]]="F","Female", orders[[#This Row],[Customer Gender]]="O","Other", TRUE,"Unknown")</f>
        <v>Male</v>
      </c>
    </row>
    <row r="1665" spans="1:15">
      <c r="A1665" t="s">
        <v>1764</v>
      </c>
      <c r="B1665" t="s">
        <v>44</v>
      </c>
      <c r="C1665">
        <v>4</v>
      </c>
      <c r="D1665">
        <v>31.5</v>
      </c>
      <c r="E1665">
        <v>126</v>
      </c>
      <c r="F1665" s="1">
        <v>45719</v>
      </c>
      <c r="G1665" s="1">
        <v>45720</v>
      </c>
      <c r="H1665" t="s">
        <v>27</v>
      </c>
      <c r="I1665" t="s">
        <v>18</v>
      </c>
      <c r="J1665">
        <v>4</v>
      </c>
      <c r="K1665" t="s">
        <v>19</v>
      </c>
      <c r="L1665" t="s">
        <v>59</v>
      </c>
      <c r="M1665">
        <f>orders[[#This Row],[Ship Date]]-orders[[#This Row],[Order Date]]</f>
        <v>1</v>
      </c>
      <c r="N1665">
        <f>WEEKNUM(orders[[#This Row],[Order Date]])</f>
        <v>10</v>
      </c>
      <c r="O1665" t="str">
        <f>_xlfn.IFS(orders[[#This Row],[Customer Gender]]="M","Male", orders[[#This Row],[Customer Gender]]="F","Female", orders[[#This Row],[Customer Gender]]="O","Other", TRUE,"Unknown")</f>
        <v>Female</v>
      </c>
    </row>
    <row r="1666" spans="1:15">
      <c r="A1666" t="s">
        <v>1765</v>
      </c>
      <c r="B1666" t="s">
        <v>44</v>
      </c>
      <c r="C1666">
        <v>2</v>
      </c>
      <c r="D1666">
        <v>36.299999999999997</v>
      </c>
      <c r="E1666">
        <v>72.599999999999994</v>
      </c>
      <c r="F1666" s="1">
        <v>45719</v>
      </c>
      <c r="G1666" s="1">
        <v>45720</v>
      </c>
      <c r="H1666" t="s">
        <v>27</v>
      </c>
      <c r="I1666" t="s">
        <v>18</v>
      </c>
      <c r="J1666">
        <v>2</v>
      </c>
      <c r="K1666" t="s">
        <v>19</v>
      </c>
      <c r="L1666" t="s">
        <v>62</v>
      </c>
      <c r="M1666">
        <f>orders[[#This Row],[Ship Date]]-orders[[#This Row],[Order Date]]</f>
        <v>1</v>
      </c>
      <c r="N1666">
        <f>WEEKNUM(orders[[#This Row],[Order Date]])</f>
        <v>10</v>
      </c>
      <c r="O1666" t="str">
        <f>_xlfn.IFS(orders[[#This Row],[Customer Gender]]="M","Male", orders[[#This Row],[Customer Gender]]="F","Female", orders[[#This Row],[Customer Gender]]="O","Other", TRUE,"Unknown")</f>
        <v>Female</v>
      </c>
    </row>
    <row r="1667" spans="1:15">
      <c r="A1667" t="s">
        <v>1766</v>
      </c>
      <c r="B1667" t="s">
        <v>44</v>
      </c>
      <c r="C1667">
        <v>3</v>
      </c>
      <c r="D1667">
        <v>33.4</v>
      </c>
      <c r="E1667">
        <v>100.19999999999999</v>
      </c>
      <c r="F1667" s="1">
        <v>45719</v>
      </c>
      <c r="G1667" s="1">
        <v>45720</v>
      </c>
      <c r="H1667" t="s">
        <v>27</v>
      </c>
      <c r="I1667" t="s">
        <v>51</v>
      </c>
      <c r="J1667">
        <v>4</v>
      </c>
      <c r="K1667" t="s">
        <v>19</v>
      </c>
      <c r="L1667" t="s">
        <v>103</v>
      </c>
      <c r="M1667">
        <f>orders[[#This Row],[Ship Date]]-orders[[#This Row],[Order Date]]</f>
        <v>1</v>
      </c>
      <c r="N1667">
        <f>WEEKNUM(orders[[#This Row],[Order Date]])</f>
        <v>10</v>
      </c>
      <c r="O1667" t="str">
        <f>_xlfn.IFS(orders[[#This Row],[Customer Gender]]="M","Male", orders[[#This Row],[Customer Gender]]="F","Female", orders[[#This Row],[Customer Gender]]="O","Other", TRUE,"Unknown")</f>
        <v>Female</v>
      </c>
    </row>
    <row r="1668" spans="1:15">
      <c r="A1668" t="s">
        <v>1767</v>
      </c>
      <c r="B1668" t="s">
        <v>26</v>
      </c>
      <c r="C1668">
        <v>3</v>
      </c>
      <c r="D1668">
        <v>65.2</v>
      </c>
      <c r="E1668">
        <v>195.60000000000002</v>
      </c>
      <c r="F1668" s="1">
        <v>45719</v>
      </c>
      <c r="G1668" s="1">
        <v>45720</v>
      </c>
      <c r="H1668" t="s">
        <v>27</v>
      </c>
      <c r="I1668" t="s">
        <v>40</v>
      </c>
      <c r="J1668">
        <v>5</v>
      </c>
      <c r="K1668" t="s">
        <v>19</v>
      </c>
      <c r="L1668" t="s">
        <v>201</v>
      </c>
      <c r="M1668">
        <f>orders[[#This Row],[Ship Date]]-orders[[#This Row],[Order Date]]</f>
        <v>1</v>
      </c>
      <c r="N1668">
        <f>WEEKNUM(orders[[#This Row],[Order Date]])</f>
        <v>10</v>
      </c>
      <c r="O1668" t="str">
        <f>_xlfn.IFS(orders[[#This Row],[Customer Gender]]="M","Male", orders[[#This Row],[Customer Gender]]="F","Female", orders[[#This Row],[Customer Gender]]="O","Other", TRUE,"Unknown")</f>
        <v>Female</v>
      </c>
    </row>
    <row r="1669" spans="1:15">
      <c r="A1669" t="s">
        <v>1768</v>
      </c>
      <c r="B1669" t="s">
        <v>44</v>
      </c>
      <c r="C1669">
        <v>9</v>
      </c>
      <c r="D1669">
        <v>65.5</v>
      </c>
      <c r="E1669">
        <v>589.5</v>
      </c>
      <c r="F1669" s="1">
        <v>45719</v>
      </c>
      <c r="G1669" s="1">
        <v>45722</v>
      </c>
      <c r="H1669" t="s">
        <v>27</v>
      </c>
      <c r="I1669" t="s">
        <v>18</v>
      </c>
      <c r="J1669">
        <v>5</v>
      </c>
      <c r="K1669" t="s">
        <v>19</v>
      </c>
      <c r="L1669" t="s">
        <v>72</v>
      </c>
      <c r="M1669">
        <f>orders[[#This Row],[Ship Date]]-orders[[#This Row],[Order Date]]</f>
        <v>3</v>
      </c>
      <c r="N1669">
        <f>WEEKNUM(orders[[#This Row],[Order Date]])</f>
        <v>10</v>
      </c>
      <c r="O1669" t="str">
        <f>_xlfn.IFS(orders[[#This Row],[Customer Gender]]="M","Male", orders[[#This Row],[Customer Gender]]="F","Female", orders[[#This Row],[Customer Gender]]="O","Other", TRUE,"Unknown")</f>
        <v>Female</v>
      </c>
    </row>
    <row r="1670" spans="1:15">
      <c r="A1670" t="s">
        <v>1769</v>
      </c>
      <c r="B1670" t="s">
        <v>39</v>
      </c>
      <c r="C1670">
        <v>3</v>
      </c>
      <c r="D1670">
        <v>52.8</v>
      </c>
      <c r="E1670">
        <v>158.39999999999998</v>
      </c>
      <c r="F1670" s="1">
        <v>45719</v>
      </c>
      <c r="G1670" s="1">
        <v>45722</v>
      </c>
      <c r="H1670" t="s">
        <v>23</v>
      </c>
      <c r="I1670" t="s">
        <v>40</v>
      </c>
      <c r="J1670">
        <v>4</v>
      </c>
      <c r="K1670" t="s">
        <v>19</v>
      </c>
      <c r="L1670" t="s">
        <v>72</v>
      </c>
      <c r="M1670">
        <f>orders[[#This Row],[Ship Date]]-orders[[#This Row],[Order Date]]</f>
        <v>3</v>
      </c>
      <c r="N1670">
        <f>WEEKNUM(orders[[#This Row],[Order Date]])</f>
        <v>10</v>
      </c>
      <c r="O1670" t="str">
        <f>_xlfn.IFS(orders[[#This Row],[Customer Gender]]="M","Male", orders[[#This Row],[Customer Gender]]="F","Female", orders[[#This Row],[Customer Gender]]="O","Other", TRUE,"Unknown")</f>
        <v>Male</v>
      </c>
    </row>
    <row r="1671" spans="1:15">
      <c r="A1671" t="s">
        <v>1770</v>
      </c>
      <c r="B1671" t="s">
        <v>46</v>
      </c>
      <c r="C1671">
        <v>5</v>
      </c>
      <c r="D1671">
        <v>24</v>
      </c>
      <c r="E1671">
        <v>120</v>
      </c>
      <c r="F1671" s="1">
        <v>45719</v>
      </c>
      <c r="G1671" s="1">
        <v>45723</v>
      </c>
      <c r="H1671" t="s">
        <v>23</v>
      </c>
      <c r="I1671" t="s">
        <v>18</v>
      </c>
      <c r="J1671">
        <v>3</v>
      </c>
      <c r="K1671" t="s">
        <v>19</v>
      </c>
      <c r="L1671" t="s">
        <v>77</v>
      </c>
      <c r="M1671">
        <f>orders[[#This Row],[Ship Date]]-orders[[#This Row],[Order Date]]</f>
        <v>4</v>
      </c>
      <c r="N1671">
        <f>WEEKNUM(orders[[#This Row],[Order Date]])</f>
        <v>10</v>
      </c>
      <c r="O1671" t="str">
        <f>_xlfn.IFS(orders[[#This Row],[Customer Gender]]="M","Male", orders[[#This Row],[Customer Gender]]="F","Female", orders[[#This Row],[Customer Gender]]="O","Other", TRUE,"Unknown")</f>
        <v>Male</v>
      </c>
    </row>
    <row r="1672" spans="1:15">
      <c r="A1672" t="s">
        <v>1771</v>
      </c>
      <c r="B1672" t="s">
        <v>30</v>
      </c>
      <c r="C1672">
        <v>3</v>
      </c>
      <c r="D1672">
        <v>51.2</v>
      </c>
      <c r="E1672">
        <v>153.60000000000002</v>
      </c>
      <c r="F1672" s="1">
        <v>45719</v>
      </c>
      <c r="G1672" s="1">
        <v>45720</v>
      </c>
      <c r="H1672" t="s">
        <v>27</v>
      </c>
      <c r="I1672" t="s">
        <v>18</v>
      </c>
      <c r="J1672">
        <v>4</v>
      </c>
      <c r="K1672" t="s">
        <v>19</v>
      </c>
      <c r="L1672" t="s">
        <v>309</v>
      </c>
      <c r="M1672">
        <f>orders[[#This Row],[Ship Date]]-orders[[#This Row],[Order Date]]</f>
        <v>1</v>
      </c>
      <c r="N1672">
        <f>WEEKNUM(orders[[#This Row],[Order Date]])</f>
        <v>10</v>
      </c>
      <c r="O1672" t="str">
        <f>_xlfn.IFS(orders[[#This Row],[Customer Gender]]="M","Male", orders[[#This Row],[Customer Gender]]="F","Female", orders[[#This Row],[Customer Gender]]="O","Other", TRUE,"Unknown")</f>
        <v>Female</v>
      </c>
    </row>
    <row r="1673" spans="1:15">
      <c r="A1673" t="s">
        <v>1772</v>
      </c>
      <c r="B1673" t="s">
        <v>37</v>
      </c>
      <c r="C1673">
        <v>3</v>
      </c>
      <c r="D1673">
        <v>28.3</v>
      </c>
      <c r="E1673">
        <v>84.9</v>
      </c>
      <c r="F1673" s="1">
        <v>45719</v>
      </c>
      <c r="G1673" s="1">
        <v>45721</v>
      </c>
      <c r="H1673" t="s">
        <v>23</v>
      </c>
      <c r="I1673" t="s">
        <v>70</v>
      </c>
      <c r="J1673">
        <v>4</v>
      </c>
      <c r="K1673" t="s">
        <v>19</v>
      </c>
      <c r="L1673" t="s">
        <v>110</v>
      </c>
      <c r="M1673">
        <f>orders[[#This Row],[Ship Date]]-orders[[#This Row],[Order Date]]</f>
        <v>2</v>
      </c>
      <c r="N1673">
        <f>WEEKNUM(orders[[#This Row],[Order Date]])</f>
        <v>10</v>
      </c>
      <c r="O1673" t="str">
        <f>_xlfn.IFS(orders[[#This Row],[Customer Gender]]="M","Male", orders[[#This Row],[Customer Gender]]="F","Female", orders[[#This Row],[Customer Gender]]="O","Other", TRUE,"Unknown")</f>
        <v>Male</v>
      </c>
    </row>
    <row r="1674" spans="1:15">
      <c r="A1674" t="s">
        <v>1773</v>
      </c>
      <c r="B1674" t="s">
        <v>39</v>
      </c>
      <c r="C1674">
        <v>3</v>
      </c>
      <c r="D1674">
        <v>42.3</v>
      </c>
      <c r="E1674">
        <v>126.89999999999999</v>
      </c>
      <c r="F1674" s="1">
        <v>45719</v>
      </c>
      <c r="G1674" s="1">
        <v>45719</v>
      </c>
      <c r="H1674" t="s">
        <v>27</v>
      </c>
      <c r="I1674" t="s">
        <v>40</v>
      </c>
      <c r="J1674">
        <v>3</v>
      </c>
      <c r="K1674" t="s">
        <v>19</v>
      </c>
      <c r="L1674" t="s">
        <v>110</v>
      </c>
      <c r="M1674">
        <f>orders[[#This Row],[Ship Date]]-orders[[#This Row],[Order Date]]</f>
        <v>0</v>
      </c>
      <c r="N1674">
        <f>WEEKNUM(orders[[#This Row],[Order Date]])</f>
        <v>10</v>
      </c>
      <c r="O1674" t="str">
        <f>_xlfn.IFS(orders[[#This Row],[Customer Gender]]="M","Male", orders[[#This Row],[Customer Gender]]="F","Female", orders[[#This Row],[Customer Gender]]="O","Other", TRUE,"Unknown")</f>
        <v>Female</v>
      </c>
    </row>
    <row r="1675" spans="1:15">
      <c r="A1675" t="s">
        <v>1774</v>
      </c>
      <c r="B1675" t="s">
        <v>26</v>
      </c>
      <c r="C1675">
        <v>8</v>
      </c>
      <c r="D1675">
        <v>163.30000000000001</v>
      </c>
      <c r="E1675">
        <v>1306.4000000000001</v>
      </c>
      <c r="F1675" s="1">
        <v>45720</v>
      </c>
      <c r="G1675" s="1">
        <v>45721</v>
      </c>
      <c r="H1675" t="s">
        <v>27</v>
      </c>
      <c r="I1675" t="s">
        <v>35</v>
      </c>
      <c r="J1675">
        <v>4</v>
      </c>
      <c r="K1675" t="s">
        <v>19</v>
      </c>
      <c r="L1675" t="s">
        <v>82</v>
      </c>
      <c r="M1675">
        <f>orders[[#This Row],[Ship Date]]-orders[[#This Row],[Order Date]]</f>
        <v>1</v>
      </c>
      <c r="N1675">
        <f>WEEKNUM(orders[[#This Row],[Order Date]])</f>
        <v>10</v>
      </c>
      <c r="O1675" t="str">
        <f>_xlfn.IFS(orders[[#This Row],[Customer Gender]]="M","Male", orders[[#This Row],[Customer Gender]]="F","Female", orders[[#This Row],[Customer Gender]]="O","Other", TRUE,"Unknown")</f>
        <v>Female</v>
      </c>
    </row>
    <row r="1676" spans="1:15">
      <c r="A1676" t="s">
        <v>1775</v>
      </c>
      <c r="B1676" t="s">
        <v>39</v>
      </c>
      <c r="C1676">
        <v>7</v>
      </c>
      <c r="D1676">
        <v>47.3</v>
      </c>
      <c r="E1676">
        <v>331.09999999999997</v>
      </c>
      <c r="F1676" s="1">
        <v>45720</v>
      </c>
      <c r="G1676" s="1">
        <v>45723</v>
      </c>
      <c r="H1676" t="s">
        <v>27</v>
      </c>
      <c r="I1676" t="s">
        <v>70</v>
      </c>
      <c r="J1676">
        <v>3</v>
      </c>
      <c r="K1676" t="s">
        <v>19</v>
      </c>
      <c r="L1676" t="s">
        <v>115</v>
      </c>
      <c r="M1676">
        <f>orders[[#This Row],[Ship Date]]-orders[[#This Row],[Order Date]]</f>
        <v>3</v>
      </c>
      <c r="N1676">
        <f>WEEKNUM(orders[[#This Row],[Order Date]])</f>
        <v>10</v>
      </c>
      <c r="O1676" t="str">
        <f>_xlfn.IFS(orders[[#This Row],[Customer Gender]]="M","Male", orders[[#This Row],[Customer Gender]]="F","Female", orders[[#This Row],[Customer Gender]]="O","Other", TRUE,"Unknown")</f>
        <v>Female</v>
      </c>
    </row>
    <row r="1677" spans="1:15">
      <c r="A1677" t="s">
        <v>1776</v>
      </c>
      <c r="B1677" t="s">
        <v>44</v>
      </c>
      <c r="C1677">
        <v>16</v>
      </c>
      <c r="D1677">
        <v>27.3</v>
      </c>
      <c r="E1677">
        <v>436.8</v>
      </c>
      <c r="F1677" s="1">
        <v>45720</v>
      </c>
      <c r="G1677" s="1">
        <v>45721</v>
      </c>
      <c r="H1677" t="s">
        <v>27</v>
      </c>
      <c r="I1677" t="s">
        <v>40</v>
      </c>
      <c r="J1677">
        <v>4</v>
      </c>
      <c r="K1677" t="s">
        <v>19</v>
      </c>
      <c r="L1677" t="s">
        <v>115</v>
      </c>
      <c r="M1677">
        <f>orders[[#This Row],[Ship Date]]-orders[[#This Row],[Order Date]]</f>
        <v>1</v>
      </c>
      <c r="N1677">
        <f>WEEKNUM(orders[[#This Row],[Order Date]])</f>
        <v>10</v>
      </c>
      <c r="O1677" t="str">
        <f>_xlfn.IFS(orders[[#This Row],[Customer Gender]]="M","Male", orders[[#This Row],[Customer Gender]]="F","Female", orders[[#This Row],[Customer Gender]]="O","Other", TRUE,"Unknown")</f>
        <v>Female</v>
      </c>
    </row>
    <row r="1678" spans="1:15">
      <c r="A1678" t="s">
        <v>1777</v>
      </c>
      <c r="B1678" t="s">
        <v>54</v>
      </c>
      <c r="C1678">
        <v>6</v>
      </c>
      <c r="D1678">
        <v>34.9</v>
      </c>
      <c r="E1678">
        <v>209.39999999999998</v>
      </c>
      <c r="F1678" s="1">
        <v>45720</v>
      </c>
      <c r="G1678" s="1">
        <v>45731</v>
      </c>
      <c r="H1678" t="s">
        <v>27</v>
      </c>
      <c r="I1678" t="s">
        <v>18</v>
      </c>
      <c r="J1678">
        <v>4</v>
      </c>
      <c r="K1678" t="s">
        <v>19</v>
      </c>
      <c r="L1678" t="s">
        <v>115</v>
      </c>
      <c r="M1678">
        <f>orders[[#This Row],[Ship Date]]-orders[[#This Row],[Order Date]]</f>
        <v>11</v>
      </c>
      <c r="N1678">
        <f>WEEKNUM(orders[[#This Row],[Order Date]])</f>
        <v>10</v>
      </c>
      <c r="O1678" t="str">
        <f>_xlfn.IFS(orders[[#This Row],[Customer Gender]]="M","Male", orders[[#This Row],[Customer Gender]]="F","Female", orders[[#This Row],[Customer Gender]]="O","Other", TRUE,"Unknown")</f>
        <v>Female</v>
      </c>
    </row>
    <row r="1679" spans="1:15">
      <c r="A1679" t="s">
        <v>1778</v>
      </c>
      <c r="B1679" t="s">
        <v>39</v>
      </c>
      <c r="C1679">
        <v>2</v>
      </c>
      <c r="D1679">
        <v>53.9</v>
      </c>
      <c r="E1679">
        <v>107.8</v>
      </c>
      <c r="F1679" s="1">
        <v>45720</v>
      </c>
      <c r="G1679" s="1">
        <v>45723</v>
      </c>
      <c r="H1679" t="s">
        <v>89</v>
      </c>
      <c r="I1679" t="s">
        <v>18</v>
      </c>
      <c r="J1679">
        <v>2</v>
      </c>
      <c r="K1679" t="s">
        <v>19</v>
      </c>
      <c r="L1679" t="s">
        <v>24</v>
      </c>
      <c r="M1679">
        <f>orders[[#This Row],[Ship Date]]-orders[[#This Row],[Order Date]]</f>
        <v>3</v>
      </c>
      <c r="N1679">
        <f>WEEKNUM(orders[[#This Row],[Order Date]])</f>
        <v>10</v>
      </c>
      <c r="O1679" t="str">
        <f>_xlfn.IFS(orders[[#This Row],[Customer Gender]]="M","Male", orders[[#This Row],[Customer Gender]]="F","Female", orders[[#This Row],[Customer Gender]]="O","Other", TRUE,"Unknown")</f>
        <v>Other</v>
      </c>
    </row>
    <row r="1680" spans="1:15">
      <c r="A1680" t="s">
        <v>1779</v>
      </c>
      <c r="B1680" t="s">
        <v>26</v>
      </c>
      <c r="C1680">
        <v>2</v>
      </c>
      <c r="D1680">
        <v>87.2</v>
      </c>
      <c r="E1680">
        <v>174.4</v>
      </c>
      <c r="F1680" s="1">
        <v>45720</v>
      </c>
      <c r="G1680" s="1">
        <v>45721</v>
      </c>
      <c r="H1680" t="s">
        <v>27</v>
      </c>
      <c r="I1680" t="s">
        <v>18</v>
      </c>
      <c r="J1680">
        <v>3</v>
      </c>
      <c r="K1680" t="s">
        <v>19</v>
      </c>
      <c r="L1680" t="s">
        <v>24</v>
      </c>
      <c r="M1680">
        <f>orders[[#This Row],[Ship Date]]-orders[[#This Row],[Order Date]]</f>
        <v>1</v>
      </c>
      <c r="N1680">
        <f>WEEKNUM(orders[[#This Row],[Order Date]])</f>
        <v>10</v>
      </c>
      <c r="O1680" t="str">
        <f>_xlfn.IFS(orders[[#This Row],[Customer Gender]]="M","Male", orders[[#This Row],[Customer Gender]]="F","Female", orders[[#This Row],[Customer Gender]]="O","Other", TRUE,"Unknown")</f>
        <v>Female</v>
      </c>
    </row>
    <row r="1681" spans="1:15">
      <c r="A1681" t="s">
        <v>1780</v>
      </c>
      <c r="B1681" t="s">
        <v>123</v>
      </c>
      <c r="C1681">
        <v>1</v>
      </c>
      <c r="D1681">
        <v>58.8</v>
      </c>
      <c r="E1681">
        <v>58.8</v>
      </c>
      <c r="F1681" s="1">
        <v>45720</v>
      </c>
      <c r="G1681" s="1">
        <v>45722</v>
      </c>
      <c r="H1681" t="s">
        <v>27</v>
      </c>
      <c r="I1681" t="s">
        <v>40</v>
      </c>
      <c r="J1681">
        <v>4</v>
      </c>
      <c r="K1681" t="s">
        <v>19</v>
      </c>
      <c r="L1681" t="s">
        <v>587</v>
      </c>
      <c r="M1681">
        <f>orders[[#This Row],[Ship Date]]-orders[[#This Row],[Order Date]]</f>
        <v>2</v>
      </c>
      <c r="N1681">
        <f>WEEKNUM(orders[[#This Row],[Order Date]])</f>
        <v>10</v>
      </c>
      <c r="O1681" t="str">
        <f>_xlfn.IFS(orders[[#This Row],[Customer Gender]]="M","Male", orders[[#This Row],[Customer Gender]]="F","Female", orders[[#This Row],[Customer Gender]]="O","Other", TRUE,"Unknown")</f>
        <v>Female</v>
      </c>
    </row>
    <row r="1682" spans="1:15">
      <c r="A1682" t="s">
        <v>1781</v>
      </c>
      <c r="B1682" t="s">
        <v>26</v>
      </c>
      <c r="C1682">
        <v>7</v>
      </c>
      <c r="D1682">
        <v>125.5</v>
      </c>
      <c r="E1682">
        <v>878.5</v>
      </c>
      <c r="F1682" s="1">
        <v>45720</v>
      </c>
      <c r="G1682" s="1">
        <v>45721</v>
      </c>
      <c r="H1682" t="s">
        <v>23</v>
      </c>
      <c r="I1682" t="s">
        <v>40</v>
      </c>
      <c r="J1682">
        <v>2</v>
      </c>
      <c r="K1682" t="s">
        <v>19</v>
      </c>
      <c r="L1682" t="s">
        <v>147</v>
      </c>
      <c r="M1682">
        <f>orders[[#This Row],[Ship Date]]-orders[[#This Row],[Order Date]]</f>
        <v>1</v>
      </c>
      <c r="N1682">
        <f>WEEKNUM(orders[[#This Row],[Order Date]])</f>
        <v>10</v>
      </c>
      <c r="O1682" t="str">
        <f>_xlfn.IFS(orders[[#This Row],[Customer Gender]]="M","Male", orders[[#This Row],[Customer Gender]]="F","Female", orders[[#This Row],[Customer Gender]]="O","Other", TRUE,"Unknown")</f>
        <v>Male</v>
      </c>
    </row>
    <row r="1683" spans="1:15">
      <c r="A1683" t="s">
        <v>1782</v>
      </c>
      <c r="B1683" t="s">
        <v>22</v>
      </c>
      <c r="C1683">
        <v>4</v>
      </c>
      <c r="D1683">
        <v>124.6</v>
      </c>
      <c r="E1683">
        <v>498.4</v>
      </c>
      <c r="F1683" s="1">
        <v>45720</v>
      </c>
      <c r="G1683" s="1">
        <v>45722</v>
      </c>
      <c r="H1683" t="s">
        <v>27</v>
      </c>
      <c r="I1683" t="s">
        <v>18</v>
      </c>
      <c r="J1683">
        <v>3</v>
      </c>
      <c r="K1683" t="s">
        <v>19</v>
      </c>
      <c r="L1683" t="s">
        <v>147</v>
      </c>
      <c r="M1683">
        <f>orders[[#This Row],[Ship Date]]-orders[[#This Row],[Order Date]]</f>
        <v>2</v>
      </c>
      <c r="N1683">
        <f>WEEKNUM(orders[[#This Row],[Order Date]])</f>
        <v>10</v>
      </c>
      <c r="O1683" t="str">
        <f>_xlfn.IFS(orders[[#This Row],[Customer Gender]]="M","Male", orders[[#This Row],[Customer Gender]]="F","Female", orders[[#This Row],[Customer Gender]]="O","Other", TRUE,"Unknown")</f>
        <v>Female</v>
      </c>
    </row>
    <row r="1684" spans="1:15">
      <c r="A1684" t="s">
        <v>1783</v>
      </c>
      <c r="B1684" t="s">
        <v>22</v>
      </c>
      <c r="C1684">
        <v>7</v>
      </c>
      <c r="D1684">
        <v>39.9</v>
      </c>
      <c r="E1684">
        <v>279.3</v>
      </c>
      <c r="F1684" s="1">
        <v>45720</v>
      </c>
      <c r="G1684" s="1">
        <v>45721</v>
      </c>
      <c r="H1684" t="s">
        <v>23</v>
      </c>
      <c r="I1684" t="s">
        <v>40</v>
      </c>
      <c r="J1684">
        <v>3</v>
      </c>
      <c r="K1684" t="s">
        <v>19</v>
      </c>
      <c r="L1684" t="s">
        <v>33</v>
      </c>
      <c r="M1684">
        <f>orders[[#This Row],[Ship Date]]-orders[[#This Row],[Order Date]]</f>
        <v>1</v>
      </c>
      <c r="N1684">
        <f>WEEKNUM(orders[[#This Row],[Order Date]])</f>
        <v>10</v>
      </c>
      <c r="O1684" t="str">
        <f>_xlfn.IFS(orders[[#This Row],[Customer Gender]]="M","Male", orders[[#This Row],[Customer Gender]]="F","Female", orders[[#This Row],[Customer Gender]]="O","Other", TRUE,"Unknown")</f>
        <v>Male</v>
      </c>
    </row>
    <row r="1685" spans="1:15">
      <c r="A1685" t="s">
        <v>1784</v>
      </c>
      <c r="B1685" t="s">
        <v>39</v>
      </c>
      <c r="C1685">
        <v>1</v>
      </c>
      <c r="D1685">
        <v>94.6</v>
      </c>
      <c r="E1685">
        <v>94.6</v>
      </c>
      <c r="F1685" s="1">
        <v>45720</v>
      </c>
      <c r="G1685" s="1">
        <v>45734</v>
      </c>
      <c r="H1685" t="s">
        <v>27</v>
      </c>
      <c r="I1685" t="s">
        <v>18</v>
      </c>
      <c r="J1685">
        <v>3</v>
      </c>
      <c r="K1685" t="s">
        <v>19</v>
      </c>
      <c r="L1685" t="s">
        <v>33</v>
      </c>
      <c r="M1685">
        <f>orders[[#This Row],[Ship Date]]-orders[[#This Row],[Order Date]]</f>
        <v>14</v>
      </c>
      <c r="N1685">
        <f>WEEKNUM(orders[[#This Row],[Order Date]])</f>
        <v>10</v>
      </c>
      <c r="O1685" t="str">
        <f>_xlfn.IFS(orders[[#This Row],[Customer Gender]]="M","Male", orders[[#This Row],[Customer Gender]]="F","Female", orders[[#This Row],[Customer Gender]]="O","Other", TRUE,"Unknown")</f>
        <v>Female</v>
      </c>
    </row>
    <row r="1686" spans="1:15">
      <c r="A1686" t="s">
        <v>1785</v>
      </c>
      <c r="B1686" t="s">
        <v>26</v>
      </c>
      <c r="C1686">
        <v>2</v>
      </c>
      <c r="D1686">
        <v>149.6</v>
      </c>
      <c r="E1686">
        <v>299.2</v>
      </c>
      <c r="F1686" s="1">
        <v>45720</v>
      </c>
      <c r="G1686" s="1">
        <v>45721</v>
      </c>
      <c r="H1686" t="s">
        <v>27</v>
      </c>
      <c r="I1686" t="s">
        <v>18</v>
      </c>
      <c r="J1686">
        <v>4</v>
      </c>
      <c r="K1686" t="s">
        <v>19</v>
      </c>
      <c r="L1686" t="s">
        <v>33</v>
      </c>
      <c r="M1686">
        <f>orders[[#This Row],[Ship Date]]-orders[[#This Row],[Order Date]]</f>
        <v>1</v>
      </c>
      <c r="N1686">
        <f>WEEKNUM(orders[[#This Row],[Order Date]])</f>
        <v>10</v>
      </c>
      <c r="O1686" t="str">
        <f>_xlfn.IFS(orders[[#This Row],[Customer Gender]]="M","Male", orders[[#This Row],[Customer Gender]]="F","Female", orders[[#This Row],[Customer Gender]]="O","Other", TRUE,"Unknown")</f>
        <v>Female</v>
      </c>
    </row>
    <row r="1687" spans="1:15">
      <c r="A1687" t="s">
        <v>1786</v>
      </c>
      <c r="B1687" t="s">
        <v>44</v>
      </c>
      <c r="C1687">
        <v>1</v>
      </c>
      <c r="D1687">
        <v>52.2</v>
      </c>
      <c r="E1687">
        <v>52.2</v>
      </c>
      <c r="F1687" s="1">
        <v>45720</v>
      </c>
      <c r="G1687" s="1">
        <v>45721</v>
      </c>
      <c r="H1687" t="s">
        <v>17</v>
      </c>
      <c r="I1687" t="s">
        <v>35</v>
      </c>
      <c r="J1687">
        <v>4</v>
      </c>
      <c r="K1687" t="s">
        <v>19</v>
      </c>
      <c r="L1687" t="s">
        <v>33</v>
      </c>
      <c r="M1687">
        <f>orders[[#This Row],[Ship Date]]-orders[[#This Row],[Order Date]]</f>
        <v>1</v>
      </c>
      <c r="N1687">
        <f>WEEKNUM(orders[[#This Row],[Order Date]])</f>
        <v>10</v>
      </c>
      <c r="O1687" t="str">
        <f>_xlfn.IFS(orders[[#This Row],[Customer Gender]]="M","Male", orders[[#This Row],[Customer Gender]]="F","Female", orders[[#This Row],[Customer Gender]]="O","Other", TRUE,"Unknown")</f>
        <v>Unknown</v>
      </c>
    </row>
    <row r="1688" spans="1:15">
      <c r="A1688" t="s">
        <v>1787</v>
      </c>
      <c r="B1688" t="s">
        <v>39</v>
      </c>
      <c r="C1688">
        <v>2</v>
      </c>
      <c r="D1688">
        <v>96.5</v>
      </c>
      <c r="E1688">
        <v>193</v>
      </c>
      <c r="F1688" s="1">
        <v>45720</v>
      </c>
      <c r="G1688" s="1">
        <v>45721</v>
      </c>
      <c r="H1688" t="s">
        <v>27</v>
      </c>
      <c r="I1688" t="s">
        <v>35</v>
      </c>
      <c r="J1688">
        <v>3</v>
      </c>
      <c r="K1688" t="s">
        <v>19</v>
      </c>
      <c r="L1688" t="s">
        <v>33</v>
      </c>
      <c r="M1688">
        <f>orders[[#This Row],[Ship Date]]-orders[[#This Row],[Order Date]]</f>
        <v>1</v>
      </c>
      <c r="N1688">
        <f>WEEKNUM(orders[[#This Row],[Order Date]])</f>
        <v>10</v>
      </c>
      <c r="O1688" t="str">
        <f>_xlfn.IFS(orders[[#This Row],[Customer Gender]]="M","Male", orders[[#This Row],[Customer Gender]]="F","Female", orders[[#This Row],[Customer Gender]]="O","Other", TRUE,"Unknown")</f>
        <v>Female</v>
      </c>
    </row>
    <row r="1689" spans="1:15">
      <c r="A1689" t="s">
        <v>1788</v>
      </c>
      <c r="B1689" t="s">
        <v>44</v>
      </c>
      <c r="C1689">
        <v>2</v>
      </c>
      <c r="D1689">
        <v>79.8</v>
      </c>
      <c r="E1689">
        <v>159.6</v>
      </c>
      <c r="F1689" s="1">
        <v>45720</v>
      </c>
      <c r="G1689" s="1">
        <v>45722</v>
      </c>
      <c r="H1689" t="s">
        <v>27</v>
      </c>
      <c r="I1689" t="s">
        <v>18</v>
      </c>
      <c r="J1689">
        <v>3</v>
      </c>
      <c r="K1689" t="s">
        <v>19</v>
      </c>
      <c r="L1689" t="s">
        <v>33</v>
      </c>
      <c r="M1689">
        <f>orders[[#This Row],[Ship Date]]-orders[[#This Row],[Order Date]]</f>
        <v>2</v>
      </c>
      <c r="N1689">
        <f>WEEKNUM(orders[[#This Row],[Order Date]])</f>
        <v>10</v>
      </c>
      <c r="O1689" t="str">
        <f>_xlfn.IFS(orders[[#This Row],[Customer Gender]]="M","Male", orders[[#This Row],[Customer Gender]]="F","Female", orders[[#This Row],[Customer Gender]]="O","Other", TRUE,"Unknown")</f>
        <v>Female</v>
      </c>
    </row>
    <row r="1690" spans="1:15">
      <c r="A1690" t="s">
        <v>1789</v>
      </c>
      <c r="B1690" t="s">
        <v>44</v>
      </c>
      <c r="C1690">
        <v>3</v>
      </c>
      <c r="D1690">
        <v>35.6</v>
      </c>
      <c r="E1690">
        <v>106.80000000000001</v>
      </c>
      <c r="F1690" s="1">
        <v>45720</v>
      </c>
      <c r="G1690" s="1">
        <v>45721</v>
      </c>
      <c r="H1690" t="s">
        <v>27</v>
      </c>
      <c r="I1690" t="s">
        <v>40</v>
      </c>
      <c r="J1690">
        <v>4</v>
      </c>
      <c r="K1690" t="s">
        <v>19</v>
      </c>
      <c r="L1690" t="s">
        <v>33</v>
      </c>
      <c r="M1690">
        <f>orders[[#This Row],[Ship Date]]-orders[[#This Row],[Order Date]]</f>
        <v>1</v>
      </c>
      <c r="N1690">
        <f>WEEKNUM(orders[[#This Row],[Order Date]])</f>
        <v>10</v>
      </c>
      <c r="O1690" t="str">
        <f>_xlfn.IFS(orders[[#This Row],[Customer Gender]]="M","Male", orders[[#This Row],[Customer Gender]]="F","Female", orders[[#This Row],[Customer Gender]]="O","Other", TRUE,"Unknown")</f>
        <v>Female</v>
      </c>
    </row>
    <row r="1691" spans="1:15">
      <c r="A1691" t="s">
        <v>1790</v>
      </c>
      <c r="B1691" t="s">
        <v>128</v>
      </c>
      <c r="C1691">
        <v>1</v>
      </c>
      <c r="D1691">
        <v>50.2</v>
      </c>
      <c r="E1691">
        <v>50.2</v>
      </c>
      <c r="F1691" s="1">
        <v>45720</v>
      </c>
      <c r="G1691" s="1">
        <v>45721</v>
      </c>
      <c r="H1691" t="s">
        <v>27</v>
      </c>
      <c r="I1691" t="s">
        <v>35</v>
      </c>
      <c r="J1691">
        <v>5</v>
      </c>
      <c r="K1691" t="s">
        <v>19</v>
      </c>
      <c r="L1691" t="s">
        <v>33</v>
      </c>
      <c r="M1691">
        <f>orders[[#This Row],[Ship Date]]-orders[[#This Row],[Order Date]]</f>
        <v>1</v>
      </c>
      <c r="N1691">
        <f>WEEKNUM(orders[[#This Row],[Order Date]])</f>
        <v>10</v>
      </c>
      <c r="O1691" t="str">
        <f>_xlfn.IFS(orders[[#This Row],[Customer Gender]]="M","Male", orders[[#This Row],[Customer Gender]]="F","Female", orders[[#This Row],[Customer Gender]]="O","Other", TRUE,"Unknown")</f>
        <v>Female</v>
      </c>
    </row>
    <row r="1692" spans="1:15">
      <c r="A1692" t="s">
        <v>1791</v>
      </c>
      <c r="B1692" t="s">
        <v>22</v>
      </c>
      <c r="C1692">
        <v>3</v>
      </c>
      <c r="D1692">
        <v>55.3</v>
      </c>
      <c r="E1692">
        <v>165.89999999999998</v>
      </c>
      <c r="F1692" s="1">
        <v>45720</v>
      </c>
      <c r="G1692" s="1">
        <v>45723</v>
      </c>
      <c r="H1692" t="s">
        <v>27</v>
      </c>
      <c r="I1692" t="s">
        <v>18</v>
      </c>
      <c r="J1692">
        <v>2</v>
      </c>
      <c r="K1692" t="s">
        <v>19</v>
      </c>
      <c r="L1692" t="s">
        <v>416</v>
      </c>
      <c r="M1692">
        <f>orders[[#This Row],[Ship Date]]-orders[[#This Row],[Order Date]]</f>
        <v>3</v>
      </c>
      <c r="N1692">
        <f>WEEKNUM(orders[[#This Row],[Order Date]])</f>
        <v>10</v>
      </c>
      <c r="O1692" t="str">
        <f>_xlfn.IFS(orders[[#This Row],[Customer Gender]]="M","Male", orders[[#This Row],[Customer Gender]]="F","Female", orders[[#This Row],[Customer Gender]]="O","Other", TRUE,"Unknown")</f>
        <v>Female</v>
      </c>
    </row>
    <row r="1693" spans="1:15">
      <c r="A1693" t="s">
        <v>1792</v>
      </c>
      <c r="B1693" t="s">
        <v>39</v>
      </c>
      <c r="C1693">
        <v>7</v>
      </c>
      <c r="D1693">
        <v>104.5</v>
      </c>
      <c r="E1693">
        <v>731.5</v>
      </c>
      <c r="F1693" s="1">
        <v>45720</v>
      </c>
      <c r="G1693" s="1">
        <v>45724</v>
      </c>
      <c r="H1693" t="s">
        <v>27</v>
      </c>
      <c r="I1693" t="s">
        <v>35</v>
      </c>
      <c r="J1693">
        <v>4</v>
      </c>
      <c r="K1693" t="s">
        <v>19</v>
      </c>
      <c r="L1693" t="s">
        <v>59</v>
      </c>
      <c r="M1693">
        <f>orders[[#This Row],[Ship Date]]-orders[[#This Row],[Order Date]]</f>
        <v>4</v>
      </c>
      <c r="N1693">
        <f>WEEKNUM(orders[[#This Row],[Order Date]])</f>
        <v>10</v>
      </c>
      <c r="O1693" t="str">
        <f>_xlfn.IFS(orders[[#This Row],[Customer Gender]]="M","Male", orders[[#This Row],[Customer Gender]]="F","Female", orders[[#This Row],[Customer Gender]]="O","Other", TRUE,"Unknown")</f>
        <v>Female</v>
      </c>
    </row>
    <row r="1694" spans="1:15">
      <c r="A1694" t="s">
        <v>1793</v>
      </c>
      <c r="B1694" t="s">
        <v>39</v>
      </c>
      <c r="C1694">
        <v>4</v>
      </c>
      <c r="D1694">
        <v>66.5</v>
      </c>
      <c r="E1694">
        <v>266</v>
      </c>
      <c r="F1694" s="1">
        <v>45720</v>
      </c>
      <c r="G1694" s="1">
        <v>45722</v>
      </c>
      <c r="H1694" t="s">
        <v>23</v>
      </c>
      <c r="I1694" t="s">
        <v>35</v>
      </c>
      <c r="J1694">
        <v>4</v>
      </c>
      <c r="K1694" t="s">
        <v>19</v>
      </c>
      <c r="L1694" t="s">
        <v>59</v>
      </c>
      <c r="M1694">
        <f>orders[[#This Row],[Ship Date]]-orders[[#This Row],[Order Date]]</f>
        <v>2</v>
      </c>
      <c r="N1694">
        <f>WEEKNUM(orders[[#This Row],[Order Date]])</f>
        <v>10</v>
      </c>
      <c r="O1694" t="str">
        <f>_xlfn.IFS(orders[[#This Row],[Customer Gender]]="M","Male", orders[[#This Row],[Customer Gender]]="F","Female", orders[[#This Row],[Customer Gender]]="O","Other", TRUE,"Unknown")</f>
        <v>Male</v>
      </c>
    </row>
    <row r="1695" spans="1:15">
      <c r="A1695" t="s">
        <v>1794</v>
      </c>
      <c r="B1695" t="s">
        <v>54</v>
      </c>
      <c r="C1695">
        <v>8</v>
      </c>
      <c r="D1695">
        <v>38.299999999999997</v>
      </c>
      <c r="E1695">
        <v>306.39999999999998</v>
      </c>
      <c r="F1695" s="1">
        <v>45720</v>
      </c>
      <c r="G1695" s="1">
        <v>45721</v>
      </c>
      <c r="H1695" t="s">
        <v>27</v>
      </c>
      <c r="I1695" t="s">
        <v>18</v>
      </c>
      <c r="J1695">
        <v>4</v>
      </c>
      <c r="K1695" t="s">
        <v>19</v>
      </c>
      <c r="L1695" t="s">
        <v>59</v>
      </c>
      <c r="M1695">
        <f>orders[[#This Row],[Ship Date]]-orders[[#This Row],[Order Date]]</f>
        <v>1</v>
      </c>
      <c r="N1695">
        <f>WEEKNUM(orders[[#This Row],[Order Date]])</f>
        <v>10</v>
      </c>
      <c r="O1695" t="str">
        <f>_xlfn.IFS(orders[[#This Row],[Customer Gender]]="M","Male", orders[[#This Row],[Customer Gender]]="F","Female", orders[[#This Row],[Customer Gender]]="O","Other", TRUE,"Unknown")</f>
        <v>Female</v>
      </c>
    </row>
    <row r="1696" spans="1:15">
      <c r="A1696" t="s">
        <v>1795</v>
      </c>
      <c r="B1696" t="s">
        <v>39</v>
      </c>
      <c r="C1696">
        <v>3</v>
      </c>
      <c r="D1696">
        <v>63.8</v>
      </c>
      <c r="E1696">
        <v>191.39999999999998</v>
      </c>
      <c r="F1696" s="1">
        <v>45720</v>
      </c>
      <c r="G1696" s="1">
        <v>45723</v>
      </c>
      <c r="H1696" t="s">
        <v>27</v>
      </c>
      <c r="I1696" t="s">
        <v>35</v>
      </c>
      <c r="J1696">
        <v>4</v>
      </c>
      <c r="K1696" t="s">
        <v>19</v>
      </c>
      <c r="L1696" t="s">
        <v>62</v>
      </c>
      <c r="M1696">
        <f>orders[[#This Row],[Ship Date]]-orders[[#This Row],[Order Date]]</f>
        <v>3</v>
      </c>
      <c r="N1696">
        <f>WEEKNUM(orders[[#This Row],[Order Date]])</f>
        <v>10</v>
      </c>
      <c r="O1696" t="str">
        <f>_xlfn.IFS(orders[[#This Row],[Customer Gender]]="M","Male", orders[[#This Row],[Customer Gender]]="F","Female", orders[[#This Row],[Customer Gender]]="O","Other", TRUE,"Unknown")</f>
        <v>Female</v>
      </c>
    </row>
    <row r="1697" spans="1:15">
      <c r="A1697" t="s">
        <v>1796</v>
      </c>
      <c r="B1697" t="s">
        <v>123</v>
      </c>
      <c r="C1697">
        <v>1</v>
      </c>
      <c r="D1697">
        <v>21.4</v>
      </c>
      <c r="E1697">
        <v>21.4</v>
      </c>
      <c r="F1697" s="1">
        <v>45720</v>
      </c>
      <c r="G1697" s="1">
        <v>45720</v>
      </c>
      <c r="H1697" t="s">
        <v>23</v>
      </c>
      <c r="I1697" t="s">
        <v>70</v>
      </c>
      <c r="J1697">
        <v>4</v>
      </c>
      <c r="K1697" t="s">
        <v>19</v>
      </c>
      <c r="L1697" t="s">
        <v>62</v>
      </c>
      <c r="M1697">
        <f>orders[[#This Row],[Ship Date]]-orders[[#This Row],[Order Date]]</f>
        <v>0</v>
      </c>
      <c r="N1697">
        <f>WEEKNUM(orders[[#This Row],[Order Date]])</f>
        <v>10</v>
      </c>
      <c r="O1697" t="str">
        <f>_xlfn.IFS(orders[[#This Row],[Customer Gender]]="M","Male", orders[[#This Row],[Customer Gender]]="F","Female", orders[[#This Row],[Customer Gender]]="O","Other", TRUE,"Unknown")</f>
        <v>Male</v>
      </c>
    </row>
    <row r="1698" spans="1:15">
      <c r="A1698" t="s">
        <v>1797</v>
      </c>
      <c r="B1698" t="s">
        <v>44</v>
      </c>
      <c r="C1698">
        <v>4</v>
      </c>
      <c r="D1698">
        <v>44.1</v>
      </c>
      <c r="E1698">
        <v>176.4</v>
      </c>
      <c r="F1698" s="1">
        <v>45720</v>
      </c>
      <c r="G1698" s="1">
        <v>45722</v>
      </c>
      <c r="H1698" t="s">
        <v>27</v>
      </c>
      <c r="I1698" t="s">
        <v>40</v>
      </c>
      <c r="J1698">
        <v>4</v>
      </c>
      <c r="K1698" t="s">
        <v>19</v>
      </c>
      <c r="L1698" t="s">
        <v>62</v>
      </c>
      <c r="M1698">
        <f>orders[[#This Row],[Ship Date]]-orders[[#This Row],[Order Date]]</f>
        <v>2</v>
      </c>
      <c r="N1698">
        <f>WEEKNUM(orders[[#This Row],[Order Date]])</f>
        <v>10</v>
      </c>
      <c r="O1698" t="str">
        <f>_xlfn.IFS(orders[[#This Row],[Customer Gender]]="M","Male", orders[[#This Row],[Customer Gender]]="F","Female", orders[[#This Row],[Customer Gender]]="O","Other", TRUE,"Unknown")</f>
        <v>Female</v>
      </c>
    </row>
    <row r="1699" spans="1:15">
      <c r="A1699" t="s">
        <v>1798</v>
      </c>
      <c r="B1699" t="s">
        <v>37</v>
      </c>
      <c r="C1699">
        <v>8</v>
      </c>
      <c r="D1699">
        <v>57.6</v>
      </c>
      <c r="E1699">
        <v>460.8</v>
      </c>
      <c r="F1699" s="1">
        <v>45720</v>
      </c>
      <c r="G1699" s="1">
        <v>45722</v>
      </c>
      <c r="H1699" t="s">
        <v>23</v>
      </c>
      <c r="I1699" t="s">
        <v>35</v>
      </c>
      <c r="J1699">
        <v>5</v>
      </c>
      <c r="K1699" t="s">
        <v>19</v>
      </c>
      <c r="L1699" t="s">
        <v>62</v>
      </c>
      <c r="M1699">
        <f>orders[[#This Row],[Ship Date]]-orders[[#This Row],[Order Date]]</f>
        <v>2</v>
      </c>
      <c r="N1699">
        <f>WEEKNUM(orders[[#This Row],[Order Date]])</f>
        <v>10</v>
      </c>
      <c r="O1699" t="str">
        <f>_xlfn.IFS(orders[[#This Row],[Customer Gender]]="M","Male", orders[[#This Row],[Customer Gender]]="F","Female", orders[[#This Row],[Customer Gender]]="O","Other", TRUE,"Unknown")</f>
        <v>Male</v>
      </c>
    </row>
    <row r="1700" spans="1:15">
      <c r="A1700" t="s">
        <v>1799</v>
      </c>
      <c r="B1700" t="s">
        <v>46</v>
      </c>
      <c r="C1700">
        <v>2</v>
      </c>
      <c r="D1700">
        <v>20.3</v>
      </c>
      <c r="E1700">
        <v>40.6</v>
      </c>
      <c r="F1700" s="1">
        <v>45720</v>
      </c>
      <c r="G1700" s="1">
        <v>45726</v>
      </c>
      <c r="H1700" t="s">
        <v>27</v>
      </c>
      <c r="I1700" t="s">
        <v>51</v>
      </c>
      <c r="J1700">
        <v>4</v>
      </c>
      <c r="K1700" t="s">
        <v>19</v>
      </c>
      <c r="L1700" t="s">
        <v>62</v>
      </c>
      <c r="M1700">
        <f>orders[[#This Row],[Ship Date]]-orders[[#This Row],[Order Date]]</f>
        <v>6</v>
      </c>
      <c r="N1700">
        <f>WEEKNUM(orders[[#This Row],[Order Date]])</f>
        <v>10</v>
      </c>
      <c r="O1700" t="str">
        <f>_xlfn.IFS(orders[[#This Row],[Customer Gender]]="M","Male", orders[[#This Row],[Customer Gender]]="F","Female", orders[[#This Row],[Customer Gender]]="O","Other", TRUE,"Unknown")</f>
        <v>Female</v>
      </c>
    </row>
    <row r="1701" spans="1:15">
      <c r="A1701" t="s">
        <v>1800</v>
      </c>
      <c r="B1701" t="s">
        <v>44</v>
      </c>
      <c r="C1701">
        <v>1</v>
      </c>
      <c r="D1701">
        <v>22.9</v>
      </c>
      <c r="E1701">
        <v>22.9</v>
      </c>
      <c r="F1701" s="1">
        <v>45720</v>
      </c>
      <c r="G1701" s="1">
        <v>45722</v>
      </c>
      <c r="H1701" t="s">
        <v>27</v>
      </c>
      <c r="I1701" t="s">
        <v>40</v>
      </c>
      <c r="J1701">
        <v>5</v>
      </c>
      <c r="K1701" t="s">
        <v>19</v>
      </c>
      <c r="L1701" t="s">
        <v>62</v>
      </c>
      <c r="M1701">
        <f>orders[[#This Row],[Ship Date]]-orders[[#This Row],[Order Date]]</f>
        <v>2</v>
      </c>
      <c r="N1701">
        <f>WEEKNUM(orders[[#This Row],[Order Date]])</f>
        <v>10</v>
      </c>
      <c r="O1701" t="str">
        <f>_xlfn.IFS(orders[[#This Row],[Customer Gender]]="M","Male", orders[[#This Row],[Customer Gender]]="F","Female", orders[[#This Row],[Customer Gender]]="O","Other", TRUE,"Unknown")</f>
        <v>Female</v>
      </c>
    </row>
    <row r="1702" spans="1:15">
      <c r="A1702" t="s">
        <v>1801</v>
      </c>
      <c r="B1702" t="s">
        <v>39</v>
      </c>
      <c r="C1702">
        <v>4</v>
      </c>
      <c r="D1702">
        <v>105.9</v>
      </c>
      <c r="E1702">
        <v>423.6</v>
      </c>
      <c r="F1702" s="1">
        <v>45720</v>
      </c>
      <c r="G1702" s="1">
        <v>45721</v>
      </c>
      <c r="H1702" t="s">
        <v>27</v>
      </c>
      <c r="I1702" t="s">
        <v>35</v>
      </c>
      <c r="J1702">
        <v>5</v>
      </c>
      <c r="K1702" t="s">
        <v>19</v>
      </c>
      <c r="L1702" t="s">
        <v>103</v>
      </c>
      <c r="M1702">
        <f>orders[[#This Row],[Ship Date]]-orders[[#This Row],[Order Date]]</f>
        <v>1</v>
      </c>
      <c r="N1702">
        <f>WEEKNUM(orders[[#This Row],[Order Date]])</f>
        <v>10</v>
      </c>
      <c r="O1702" t="str">
        <f>_xlfn.IFS(orders[[#This Row],[Customer Gender]]="M","Male", orders[[#This Row],[Customer Gender]]="F","Female", orders[[#This Row],[Customer Gender]]="O","Other", TRUE,"Unknown")</f>
        <v>Female</v>
      </c>
    </row>
    <row r="1703" spans="1:15">
      <c r="A1703" t="s">
        <v>1802</v>
      </c>
      <c r="B1703" t="s">
        <v>22</v>
      </c>
      <c r="C1703">
        <v>9</v>
      </c>
      <c r="D1703">
        <v>37.4</v>
      </c>
      <c r="E1703">
        <v>336.59999999999997</v>
      </c>
      <c r="F1703" s="1">
        <v>45720</v>
      </c>
      <c r="G1703" s="1">
        <v>45724</v>
      </c>
      <c r="H1703" t="s">
        <v>23</v>
      </c>
      <c r="I1703" t="s">
        <v>35</v>
      </c>
      <c r="J1703">
        <v>4</v>
      </c>
      <c r="K1703" t="s">
        <v>19</v>
      </c>
      <c r="L1703" t="s">
        <v>77</v>
      </c>
      <c r="M1703">
        <f>orders[[#This Row],[Ship Date]]-orders[[#This Row],[Order Date]]</f>
        <v>4</v>
      </c>
      <c r="N1703">
        <f>WEEKNUM(orders[[#This Row],[Order Date]])</f>
        <v>10</v>
      </c>
      <c r="O1703" t="str">
        <f>_xlfn.IFS(orders[[#This Row],[Customer Gender]]="M","Male", orders[[#This Row],[Customer Gender]]="F","Female", orders[[#This Row],[Customer Gender]]="O","Other", TRUE,"Unknown")</f>
        <v>Male</v>
      </c>
    </row>
    <row r="1704" spans="1:15">
      <c r="A1704" t="s">
        <v>1803</v>
      </c>
      <c r="B1704" t="s">
        <v>146</v>
      </c>
      <c r="C1704">
        <v>2</v>
      </c>
      <c r="D1704">
        <v>79</v>
      </c>
      <c r="E1704">
        <v>158</v>
      </c>
      <c r="F1704" s="1">
        <v>45720</v>
      </c>
      <c r="G1704" s="1">
        <v>45721</v>
      </c>
      <c r="H1704" t="s">
        <v>23</v>
      </c>
      <c r="I1704" t="s">
        <v>40</v>
      </c>
      <c r="J1704">
        <v>4</v>
      </c>
      <c r="K1704" t="s">
        <v>19</v>
      </c>
      <c r="L1704" t="s">
        <v>243</v>
      </c>
      <c r="M1704">
        <f>orders[[#This Row],[Ship Date]]-orders[[#This Row],[Order Date]]</f>
        <v>1</v>
      </c>
      <c r="N1704">
        <f>WEEKNUM(orders[[#This Row],[Order Date]])</f>
        <v>10</v>
      </c>
      <c r="O1704" t="str">
        <f>_xlfn.IFS(orders[[#This Row],[Customer Gender]]="M","Male", orders[[#This Row],[Customer Gender]]="F","Female", orders[[#This Row],[Customer Gender]]="O","Other", TRUE,"Unknown")</f>
        <v>Male</v>
      </c>
    </row>
    <row r="1705" spans="1:15">
      <c r="A1705" t="s">
        <v>1804</v>
      </c>
      <c r="B1705" t="s">
        <v>16</v>
      </c>
      <c r="C1705">
        <v>3</v>
      </c>
      <c r="D1705">
        <v>19.3</v>
      </c>
      <c r="E1705">
        <v>57.900000000000006</v>
      </c>
      <c r="F1705" s="1">
        <v>45720</v>
      </c>
      <c r="G1705" s="1">
        <v>45721</v>
      </c>
      <c r="H1705" t="s">
        <v>27</v>
      </c>
      <c r="I1705" t="s">
        <v>70</v>
      </c>
      <c r="J1705">
        <v>4</v>
      </c>
      <c r="K1705" t="s">
        <v>19</v>
      </c>
      <c r="L1705" t="s">
        <v>115</v>
      </c>
      <c r="M1705">
        <f>orders[[#This Row],[Ship Date]]-orders[[#This Row],[Order Date]]</f>
        <v>1</v>
      </c>
      <c r="N1705">
        <f>WEEKNUM(orders[[#This Row],[Order Date]])</f>
        <v>10</v>
      </c>
      <c r="O1705" t="str">
        <f>_xlfn.IFS(orders[[#This Row],[Customer Gender]]="M","Male", orders[[#This Row],[Customer Gender]]="F","Female", orders[[#This Row],[Customer Gender]]="O","Other", TRUE,"Unknown")</f>
        <v>Female</v>
      </c>
    </row>
    <row r="1706" spans="1:15">
      <c r="A1706" t="s">
        <v>1805</v>
      </c>
      <c r="B1706" t="s">
        <v>16</v>
      </c>
      <c r="C1706">
        <v>1</v>
      </c>
      <c r="D1706">
        <v>24</v>
      </c>
      <c r="E1706">
        <v>24</v>
      </c>
      <c r="F1706" s="1">
        <v>45720</v>
      </c>
      <c r="G1706" s="1">
        <v>45721</v>
      </c>
      <c r="H1706" t="s">
        <v>27</v>
      </c>
      <c r="I1706" t="s">
        <v>35</v>
      </c>
      <c r="J1706">
        <v>4</v>
      </c>
      <c r="K1706" t="s">
        <v>19</v>
      </c>
      <c r="L1706" t="s">
        <v>24</v>
      </c>
      <c r="M1706">
        <f>orders[[#This Row],[Ship Date]]-orders[[#This Row],[Order Date]]</f>
        <v>1</v>
      </c>
      <c r="N1706">
        <f>WEEKNUM(orders[[#This Row],[Order Date]])</f>
        <v>10</v>
      </c>
      <c r="O1706" t="str">
        <f>_xlfn.IFS(orders[[#This Row],[Customer Gender]]="M","Male", orders[[#This Row],[Customer Gender]]="F","Female", orders[[#This Row],[Customer Gender]]="O","Other", TRUE,"Unknown")</f>
        <v>Female</v>
      </c>
    </row>
    <row r="1707" spans="1:15">
      <c r="A1707" t="s">
        <v>1806</v>
      </c>
      <c r="B1707" t="s">
        <v>39</v>
      </c>
      <c r="C1707">
        <v>5</v>
      </c>
      <c r="D1707">
        <v>71.3</v>
      </c>
      <c r="E1707">
        <v>356.5</v>
      </c>
      <c r="F1707" s="1">
        <v>45720</v>
      </c>
      <c r="G1707" s="1">
        <v>45723</v>
      </c>
      <c r="H1707" t="s">
        <v>27</v>
      </c>
      <c r="I1707" t="s">
        <v>40</v>
      </c>
      <c r="J1707">
        <v>4</v>
      </c>
      <c r="K1707" t="s">
        <v>19</v>
      </c>
      <c r="L1707" t="s">
        <v>28</v>
      </c>
      <c r="M1707">
        <f>orders[[#This Row],[Ship Date]]-orders[[#This Row],[Order Date]]</f>
        <v>3</v>
      </c>
      <c r="N1707">
        <f>WEEKNUM(orders[[#This Row],[Order Date]])</f>
        <v>10</v>
      </c>
      <c r="O1707" t="str">
        <f>_xlfn.IFS(orders[[#This Row],[Customer Gender]]="M","Male", orders[[#This Row],[Customer Gender]]="F","Female", orders[[#This Row],[Customer Gender]]="O","Other", TRUE,"Unknown")</f>
        <v>Female</v>
      </c>
    </row>
    <row r="1708" spans="1:15">
      <c r="A1708" t="s">
        <v>1807</v>
      </c>
      <c r="B1708" t="s">
        <v>37</v>
      </c>
      <c r="C1708">
        <v>2</v>
      </c>
      <c r="D1708">
        <v>166.2</v>
      </c>
      <c r="E1708">
        <v>332.4</v>
      </c>
      <c r="F1708" s="1">
        <v>45720</v>
      </c>
      <c r="G1708" s="1">
        <v>45721</v>
      </c>
      <c r="H1708" t="s">
        <v>23</v>
      </c>
      <c r="I1708" t="s">
        <v>18</v>
      </c>
      <c r="J1708">
        <v>5</v>
      </c>
      <c r="K1708" t="s">
        <v>19</v>
      </c>
      <c r="L1708" t="s">
        <v>949</v>
      </c>
      <c r="M1708">
        <f>orders[[#This Row],[Ship Date]]-orders[[#This Row],[Order Date]]</f>
        <v>1</v>
      </c>
      <c r="N1708">
        <f>WEEKNUM(orders[[#This Row],[Order Date]])</f>
        <v>10</v>
      </c>
      <c r="O1708" t="str">
        <f>_xlfn.IFS(orders[[#This Row],[Customer Gender]]="M","Male", orders[[#This Row],[Customer Gender]]="F","Female", orders[[#This Row],[Customer Gender]]="O","Other", TRUE,"Unknown")</f>
        <v>Male</v>
      </c>
    </row>
    <row r="1709" spans="1:15">
      <c r="A1709" t="s">
        <v>1808</v>
      </c>
      <c r="B1709" t="s">
        <v>39</v>
      </c>
      <c r="C1709">
        <v>1</v>
      </c>
      <c r="D1709">
        <v>81</v>
      </c>
      <c r="E1709">
        <v>81</v>
      </c>
      <c r="F1709" s="1">
        <v>45720</v>
      </c>
      <c r="G1709" s="1">
        <v>45721</v>
      </c>
      <c r="H1709" t="s">
        <v>27</v>
      </c>
      <c r="I1709" t="s">
        <v>40</v>
      </c>
      <c r="J1709">
        <v>3</v>
      </c>
      <c r="K1709" t="s">
        <v>19</v>
      </c>
      <c r="L1709" t="s">
        <v>33</v>
      </c>
      <c r="M1709">
        <f>orders[[#This Row],[Ship Date]]-orders[[#This Row],[Order Date]]</f>
        <v>1</v>
      </c>
      <c r="N1709">
        <f>WEEKNUM(orders[[#This Row],[Order Date]])</f>
        <v>10</v>
      </c>
      <c r="O1709" t="str">
        <f>_xlfn.IFS(orders[[#This Row],[Customer Gender]]="M","Male", orders[[#This Row],[Customer Gender]]="F","Female", orders[[#This Row],[Customer Gender]]="O","Other", TRUE,"Unknown")</f>
        <v>Female</v>
      </c>
    </row>
    <row r="1710" spans="1:15">
      <c r="A1710" t="s">
        <v>1809</v>
      </c>
      <c r="B1710" t="s">
        <v>54</v>
      </c>
      <c r="C1710">
        <v>6</v>
      </c>
      <c r="D1710">
        <v>38.5</v>
      </c>
      <c r="E1710">
        <v>231</v>
      </c>
      <c r="F1710" s="1">
        <v>45720</v>
      </c>
      <c r="G1710" s="1">
        <v>45724</v>
      </c>
      <c r="H1710" t="s">
        <v>27</v>
      </c>
      <c r="I1710" t="s">
        <v>18</v>
      </c>
      <c r="J1710">
        <v>4</v>
      </c>
      <c r="K1710" t="s">
        <v>19</v>
      </c>
      <c r="L1710" t="s">
        <v>33</v>
      </c>
      <c r="M1710">
        <f>orders[[#This Row],[Ship Date]]-orders[[#This Row],[Order Date]]</f>
        <v>4</v>
      </c>
      <c r="N1710">
        <f>WEEKNUM(orders[[#This Row],[Order Date]])</f>
        <v>10</v>
      </c>
      <c r="O1710" t="str">
        <f>_xlfn.IFS(orders[[#This Row],[Customer Gender]]="M","Male", orders[[#This Row],[Customer Gender]]="F","Female", orders[[#This Row],[Customer Gender]]="O","Other", TRUE,"Unknown")</f>
        <v>Female</v>
      </c>
    </row>
    <row r="1711" spans="1:15">
      <c r="A1711" t="s">
        <v>1810</v>
      </c>
      <c r="B1711" t="s">
        <v>39</v>
      </c>
      <c r="C1711">
        <v>1</v>
      </c>
      <c r="D1711">
        <v>86.1</v>
      </c>
      <c r="E1711">
        <v>86.1</v>
      </c>
      <c r="F1711" s="1">
        <v>45720</v>
      </c>
      <c r="G1711" s="1">
        <v>45722</v>
      </c>
      <c r="H1711" t="s">
        <v>27</v>
      </c>
      <c r="I1711" t="s">
        <v>51</v>
      </c>
      <c r="J1711">
        <v>4</v>
      </c>
      <c r="K1711" t="s">
        <v>19</v>
      </c>
      <c r="L1711" t="s">
        <v>33</v>
      </c>
      <c r="M1711">
        <f>orders[[#This Row],[Ship Date]]-orders[[#This Row],[Order Date]]</f>
        <v>2</v>
      </c>
      <c r="N1711">
        <f>WEEKNUM(orders[[#This Row],[Order Date]])</f>
        <v>10</v>
      </c>
      <c r="O1711" t="str">
        <f>_xlfn.IFS(orders[[#This Row],[Customer Gender]]="M","Male", orders[[#This Row],[Customer Gender]]="F","Female", orders[[#This Row],[Customer Gender]]="O","Other", TRUE,"Unknown")</f>
        <v>Female</v>
      </c>
    </row>
    <row r="1712" spans="1:15">
      <c r="A1712" t="s">
        <v>1811</v>
      </c>
      <c r="B1712" t="s">
        <v>26</v>
      </c>
      <c r="C1712">
        <v>5</v>
      </c>
      <c r="D1712">
        <v>51</v>
      </c>
      <c r="E1712">
        <v>255</v>
      </c>
      <c r="F1712" s="1">
        <v>45720</v>
      </c>
      <c r="G1712" s="1">
        <v>45721</v>
      </c>
      <c r="H1712" t="s">
        <v>23</v>
      </c>
      <c r="I1712" t="s">
        <v>18</v>
      </c>
      <c r="J1712">
        <v>3</v>
      </c>
      <c r="K1712" t="s">
        <v>19</v>
      </c>
      <c r="L1712" t="s">
        <v>33</v>
      </c>
      <c r="M1712">
        <f>orders[[#This Row],[Ship Date]]-orders[[#This Row],[Order Date]]</f>
        <v>1</v>
      </c>
      <c r="N1712">
        <f>WEEKNUM(orders[[#This Row],[Order Date]])</f>
        <v>10</v>
      </c>
      <c r="O1712" t="str">
        <f>_xlfn.IFS(orders[[#This Row],[Customer Gender]]="M","Male", orders[[#This Row],[Customer Gender]]="F","Female", orders[[#This Row],[Customer Gender]]="O","Other", TRUE,"Unknown")</f>
        <v>Male</v>
      </c>
    </row>
    <row r="1713" spans="1:15">
      <c r="A1713" t="s">
        <v>1812</v>
      </c>
      <c r="B1713" t="s">
        <v>30</v>
      </c>
      <c r="C1713">
        <v>5</v>
      </c>
      <c r="D1713">
        <v>115.4</v>
      </c>
      <c r="E1713">
        <v>577</v>
      </c>
      <c r="F1713" s="1">
        <v>45720</v>
      </c>
      <c r="G1713" s="1">
        <v>45721</v>
      </c>
      <c r="H1713" t="s">
        <v>23</v>
      </c>
      <c r="I1713" t="s">
        <v>18</v>
      </c>
      <c r="J1713">
        <v>4</v>
      </c>
      <c r="K1713" t="s">
        <v>19</v>
      </c>
      <c r="L1713" t="s">
        <v>33</v>
      </c>
      <c r="M1713">
        <f>orders[[#This Row],[Ship Date]]-orders[[#This Row],[Order Date]]</f>
        <v>1</v>
      </c>
      <c r="N1713">
        <f>WEEKNUM(orders[[#This Row],[Order Date]])</f>
        <v>10</v>
      </c>
      <c r="O1713" t="str">
        <f>_xlfn.IFS(orders[[#This Row],[Customer Gender]]="M","Male", orders[[#This Row],[Customer Gender]]="F","Female", orders[[#This Row],[Customer Gender]]="O","Other", TRUE,"Unknown")</f>
        <v>Male</v>
      </c>
    </row>
    <row r="1714" spans="1:15">
      <c r="A1714" t="s">
        <v>1813</v>
      </c>
      <c r="B1714" t="s">
        <v>39</v>
      </c>
      <c r="C1714">
        <v>4</v>
      </c>
      <c r="D1714">
        <v>176.5</v>
      </c>
      <c r="E1714">
        <v>706</v>
      </c>
      <c r="F1714" s="1">
        <v>45720</v>
      </c>
      <c r="G1714" s="1">
        <v>45721</v>
      </c>
      <c r="H1714" t="s">
        <v>27</v>
      </c>
      <c r="I1714" t="s">
        <v>40</v>
      </c>
      <c r="J1714">
        <v>5</v>
      </c>
      <c r="K1714" t="s">
        <v>19</v>
      </c>
      <c r="L1714" t="s">
        <v>33</v>
      </c>
      <c r="M1714">
        <f>orders[[#This Row],[Ship Date]]-orders[[#This Row],[Order Date]]</f>
        <v>1</v>
      </c>
      <c r="N1714">
        <f>WEEKNUM(orders[[#This Row],[Order Date]])</f>
        <v>10</v>
      </c>
      <c r="O1714" t="str">
        <f>_xlfn.IFS(orders[[#This Row],[Customer Gender]]="M","Male", orders[[#This Row],[Customer Gender]]="F","Female", orders[[#This Row],[Customer Gender]]="O","Other", TRUE,"Unknown")</f>
        <v>Female</v>
      </c>
    </row>
    <row r="1715" spans="1:15">
      <c r="A1715" t="s">
        <v>1814</v>
      </c>
      <c r="B1715" t="s">
        <v>42</v>
      </c>
      <c r="C1715">
        <v>3</v>
      </c>
      <c r="D1715">
        <v>48.9</v>
      </c>
      <c r="E1715">
        <v>146.69999999999999</v>
      </c>
      <c r="F1715" s="1">
        <v>45720</v>
      </c>
      <c r="G1715" s="1">
        <v>45721</v>
      </c>
      <c r="H1715" t="s">
        <v>23</v>
      </c>
      <c r="I1715" t="s">
        <v>70</v>
      </c>
      <c r="J1715">
        <v>4</v>
      </c>
      <c r="K1715" t="s">
        <v>19</v>
      </c>
      <c r="L1715" t="s">
        <v>33</v>
      </c>
      <c r="M1715">
        <f>orders[[#This Row],[Ship Date]]-orders[[#This Row],[Order Date]]</f>
        <v>1</v>
      </c>
      <c r="N1715">
        <f>WEEKNUM(orders[[#This Row],[Order Date]])</f>
        <v>10</v>
      </c>
      <c r="O1715" t="str">
        <f>_xlfn.IFS(orders[[#This Row],[Customer Gender]]="M","Male", orders[[#This Row],[Customer Gender]]="F","Female", orders[[#This Row],[Customer Gender]]="O","Other", TRUE,"Unknown")</f>
        <v>Male</v>
      </c>
    </row>
    <row r="1716" spans="1:15">
      <c r="A1716" t="s">
        <v>1815</v>
      </c>
      <c r="B1716" t="s">
        <v>44</v>
      </c>
      <c r="C1716">
        <v>3</v>
      </c>
      <c r="D1716">
        <v>18.100000000000001</v>
      </c>
      <c r="E1716">
        <v>54.300000000000004</v>
      </c>
      <c r="F1716" s="1">
        <v>45720</v>
      </c>
      <c r="G1716" s="1">
        <v>45727</v>
      </c>
      <c r="H1716" t="s">
        <v>27</v>
      </c>
      <c r="I1716" t="s">
        <v>35</v>
      </c>
      <c r="J1716">
        <v>5</v>
      </c>
      <c r="K1716" t="s">
        <v>19</v>
      </c>
      <c r="L1716" t="s">
        <v>258</v>
      </c>
      <c r="M1716">
        <f>orders[[#This Row],[Ship Date]]-orders[[#This Row],[Order Date]]</f>
        <v>7</v>
      </c>
      <c r="N1716">
        <f>WEEKNUM(orders[[#This Row],[Order Date]])</f>
        <v>10</v>
      </c>
      <c r="O1716" t="str">
        <f>_xlfn.IFS(orders[[#This Row],[Customer Gender]]="M","Male", orders[[#This Row],[Customer Gender]]="F","Female", orders[[#This Row],[Customer Gender]]="O","Other", TRUE,"Unknown")</f>
        <v>Female</v>
      </c>
    </row>
    <row r="1717" spans="1:15">
      <c r="A1717" t="s">
        <v>1816</v>
      </c>
      <c r="B1717" t="s">
        <v>26</v>
      </c>
      <c r="C1717">
        <v>2</v>
      </c>
      <c r="D1717">
        <v>118.5</v>
      </c>
      <c r="E1717">
        <v>237</v>
      </c>
      <c r="F1717" s="1">
        <v>45720</v>
      </c>
      <c r="G1717" s="1">
        <v>45723</v>
      </c>
      <c r="H1717" t="s">
        <v>23</v>
      </c>
      <c r="I1717" t="s">
        <v>35</v>
      </c>
      <c r="J1717">
        <v>5</v>
      </c>
      <c r="K1717" t="s">
        <v>19</v>
      </c>
      <c r="L1717" t="s">
        <v>98</v>
      </c>
      <c r="M1717">
        <f>orders[[#This Row],[Ship Date]]-orders[[#This Row],[Order Date]]</f>
        <v>3</v>
      </c>
      <c r="N1717">
        <f>WEEKNUM(orders[[#This Row],[Order Date]])</f>
        <v>10</v>
      </c>
      <c r="O1717" t="str">
        <f>_xlfn.IFS(orders[[#This Row],[Customer Gender]]="M","Male", orders[[#This Row],[Customer Gender]]="F","Female", orders[[#This Row],[Customer Gender]]="O","Other", TRUE,"Unknown")</f>
        <v>Male</v>
      </c>
    </row>
    <row r="1718" spans="1:15">
      <c r="A1718" t="s">
        <v>1817</v>
      </c>
      <c r="B1718" t="s">
        <v>123</v>
      </c>
      <c r="C1718">
        <v>7</v>
      </c>
      <c r="D1718">
        <v>59.1</v>
      </c>
      <c r="E1718">
        <v>413.7</v>
      </c>
      <c r="F1718" s="1">
        <v>45720</v>
      </c>
      <c r="G1718" s="1">
        <v>45721</v>
      </c>
      <c r="H1718" t="s">
        <v>27</v>
      </c>
      <c r="I1718" t="s">
        <v>51</v>
      </c>
      <c r="J1718">
        <v>4</v>
      </c>
      <c r="K1718" t="s">
        <v>19</v>
      </c>
      <c r="L1718" t="s">
        <v>188</v>
      </c>
      <c r="M1718">
        <f>orders[[#This Row],[Ship Date]]-orders[[#This Row],[Order Date]]</f>
        <v>1</v>
      </c>
      <c r="N1718">
        <f>WEEKNUM(orders[[#This Row],[Order Date]])</f>
        <v>10</v>
      </c>
      <c r="O1718" t="str">
        <f>_xlfn.IFS(orders[[#This Row],[Customer Gender]]="M","Male", orders[[#This Row],[Customer Gender]]="F","Female", orders[[#This Row],[Customer Gender]]="O","Other", TRUE,"Unknown")</f>
        <v>Female</v>
      </c>
    </row>
    <row r="1719" spans="1:15">
      <c r="A1719" t="s">
        <v>1818</v>
      </c>
      <c r="B1719" t="s">
        <v>32</v>
      </c>
      <c r="C1719">
        <v>1</v>
      </c>
      <c r="D1719">
        <v>21.2</v>
      </c>
      <c r="E1719">
        <v>21.2</v>
      </c>
      <c r="F1719" s="1">
        <v>45720</v>
      </c>
      <c r="G1719" s="1">
        <v>45721</v>
      </c>
      <c r="H1719" t="s">
        <v>27</v>
      </c>
      <c r="I1719" t="s">
        <v>18</v>
      </c>
      <c r="J1719">
        <v>3</v>
      </c>
      <c r="K1719" t="s">
        <v>19</v>
      </c>
      <c r="L1719" t="s">
        <v>55</v>
      </c>
      <c r="M1719">
        <f>orders[[#This Row],[Ship Date]]-orders[[#This Row],[Order Date]]</f>
        <v>1</v>
      </c>
      <c r="N1719">
        <f>WEEKNUM(orders[[#This Row],[Order Date]])</f>
        <v>10</v>
      </c>
      <c r="O1719" t="str">
        <f>_xlfn.IFS(orders[[#This Row],[Customer Gender]]="M","Male", orders[[#This Row],[Customer Gender]]="F","Female", orders[[#This Row],[Customer Gender]]="O","Other", TRUE,"Unknown")</f>
        <v>Female</v>
      </c>
    </row>
    <row r="1720" spans="1:15">
      <c r="A1720" t="s">
        <v>1819</v>
      </c>
      <c r="B1720" t="s">
        <v>39</v>
      </c>
      <c r="C1720">
        <v>2</v>
      </c>
      <c r="D1720">
        <v>68.8</v>
      </c>
      <c r="E1720">
        <v>137.6</v>
      </c>
      <c r="F1720" s="1">
        <v>45720</v>
      </c>
      <c r="G1720" s="1">
        <v>45725</v>
      </c>
      <c r="H1720" t="s">
        <v>27</v>
      </c>
      <c r="I1720" t="s">
        <v>51</v>
      </c>
      <c r="J1720">
        <v>5</v>
      </c>
      <c r="K1720" t="s">
        <v>19</v>
      </c>
      <c r="L1720" t="s">
        <v>55</v>
      </c>
      <c r="M1720">
        <f>orders[[#This Row],[Ship Date]]-orders[[#This Row],[Order Date]]</f>
        <v>5</v>
      </c>
      <c r="N1720">
        <f>WEEKNUM(orders[[#This Row],[Order Date]])</f>
        <v>10</v>
      </c>
      <c r="O1720" t="str">
        <f>_xlfn.IFS(orders[[#This Row],[Customer Gender]]="M","Male", orders[[#This Row],[Customer Gender]]="F","Female", orders[[#This Row],[Customer Gender]]="O","Other", TRUE,"Unknown")</f>
        <v>Female</v>
      </c>
    </row>
    <row r="1721" spans="1:15">
      <c r="A1721" t="s">
        <v>1820</v>
      </c>
      <c r="B1721" t="s">
        <v>39</v>
      </c>
      <c r="C1721">
        <v>2</v>
      </c>
      <c r="D1721">
        <v>65.400000000000006</v>
      </c>
      <c r="E1721">
        <v>130.80000000000001</v>
      </c>
      <c r="F1721" s="1">
        <v>45720</v>
      </c>
      <c r="G1721" s="1">
        <v>45724</v>
      </c>
      <c r="H1721" t="s">
        <v>27</v>
      </c>
      <c r="I1721" t="s">
        <v>18</v>
      </c>
      <c r="J1721">
        <v>4</v>
      </c>
      <c r="K1721" t="s">
        <v>19</v>
      </c>
      <c r="L1721" t="s">
        <v>55</v>
      </c>
      <c r="M1721">
        <f>orders[[#This Row],[Ship Date]]-orders[[#This Row],[Order Date]]</f>
        <v>4</v>
      </c>
      <c r="N1721">
        <f>WEEKNUM(orders[[#This Row],[Order Date]])</f>
        <v>10</v>
      </c>
      <c r="O1721" t="str">
        <f>_xlfn.IFS(orders[[#This Row],[Customer Gender]]="M","Male", orders[[#This Row],[Customer Gender]]="F","Female", orders[[#This Row],[Customer Gender]]="O","Other", TRUE,"Unknown")</f>
        <v>Female</v>
      </c>
    </row>
    <row r="1722" spans="1:15">
      <c r="A1722" t="s">
        <v>1821</v>
      </c>
      <c r="B1722" t="s">
        <v>69</v>
      </c>
      <c r="C1722">
        <v>5</v>
      </c>
      <c r="D1722">
        <v>66.3</v>
      </c>
      <c r="E1722">
        <v>331.5</v>
      </c>
      <c r="F1722" s="1">
        <v>45721</v>
      </c>
      <c r="G1722" s="1">
        <v>45724</v>
      </c>
      <c r="H1722" t="s">
        <v>27</v>
      </c>
      <c r="I1722" t="s">
        <v>70</v>
      </c>
      <c r="J1722">
        <v>4</v>
      </c>
      <c r="K1722" t="s">
        <v>19</v>
      </c>
      <c r="L1722" t="s">
        <v>55</v>
      </c>
      <c r="M1722">
        <f>orders[[#This Row],[Ship Date]]-orders[[#This Row],[Order Date]]</f>
        <v>3</v>
      </c>
      <c r="N1722">
        <f>WEEKNUM(orders[[#This Row],[Order Date]])</f>
        <v>10</v>
      </c>
      <c r="O1722" t="str">
        <f>_xlfn.IFS(orders[[#This Row],[Customer Gender]]="M","Male", orders[[#This Row],[Customer Gender]]="F","Female", orders[[#This Row],[Customer Gender]]="O","Other", TRUE,"Unknown")</f>
        <v>Female</v>
      </c>
    </row>
    <row r="1723" spans="1:15">
      <c r="A1723" t="s">
        <v>1822</v>
      </c>
      <c r="B1723" t="s">
        <v>39</v>
      </c>
      <c r="C1723">
        <v>3</v>
      </c>
      <c r="D1723">
        <v>97.5</v>
      </c>
      <c r="E1723">
        <v>292.5</v>
      </c>
      <c r="F1723" s="1">
        <v>45721</v>
      </c>
      <c r="G1723" s="1">
        <v>45721</v>
      </c>
      <c r="H1723" t="s">
        <v>23</v>
      </c>
      <c r="I1723" t="s">
        <v>51</v>
      </c>
      <c r="J1723">
        <v>4</v>
      </c>
      <c r="K1723" t="s">
        <v>19</v>
      </c>
      <c r="L1723" t="s">
        <v>62</v>
      </c>
      <c r="M1723">
        <f>orders[[#This Row],[Ship Date]]-orders[[#This Row],[Order Date]]</f>
        <v>0</v>
      </c>
      <c r="N1723">
        <f>WEEKNUM(orders[[#This Row],[Order Date]])</f>
        <v>10</v>
      </c>
      <c r="O1723" t="str">
        <f>_xlfn.IFS(orders[[#This Row],[Customer Gender]]="M","Male", orders[[#This Row],[Customer Gender]]="F","Female", orders[[#This Row],[Customer Gender]]="O","Other", TRUE,"Unknown")</f>
        <v>Male</v>
      </c>
    </row>
    <row r="1724" spans="1:15">
      <c r="A1724" t="s">
        <v>1823</v>
      </c>
      <c r="B1724" t="s">
        <v>22</v>
      </c>
      <c r="C1724">
        <v>2</v>
      </c>
      <c r="D1724">
        <v>44</v>
      </c>
      <c r="E1724">
        <v>88</v>
      </c>
      <c r="F1724" s="1">
        <v>45721</v>
      </c>
      <c r="G1724" s="1">
        <v>45724</v>
      </c>
      <c r="H1724" t="s">
        <v>27</v>
      </c>
      <c r="I1724" t="s">
        <v>35</v>
      </c>
      <c r="J1724">
        <v>5</v>
      </c>
      <c r="K1724" t="s">
        <v>19</v>
      </c>
      <c r="L1724" t="s">
        <v>62</v>
      </c>
      <c r="M1724">
        <f>orders[[#This Row],[Ship Date]]-orders[[#This Row],[Order Date]]</f>
        <v>3</v>
      </c>
      <c r="N1724">
        <f>WEEKNUM(orders[[#This Row],[Order Date]])</f>
        <v>10</v>
      </c>
      <c r="O1724" t="str">
        <f>_xlfn.IFS(orders[[#This Row],[Customer Gender]]="M","Male", orders[[#This Row],[Customer Gender]]="F","Female", orders[[#This Row],[Customer Gender]]="O","Other", TRUE,"Unknown")</f>
        <v>Female</v>
      </c>
    </row>
    <row r="1725" spans="1:15">
      <c r="A1725" t="s">
        <v>1824</v>
      </c>
      <c r="B1725" t="s">
        <v>16</v>
      </c>
      <c r="C1725">
        <v>1</v>
      </c>
      <c r="D1725">
        <v>21.9</v>
      </c>
      <c r="E1725">
        <v>21.9</v>
      </c>
      <c r="F1725" s="1">
        <v>45721</v>
      </c>
      <c r="G1725" s="1">
        <v>45722</v>
      </c>
      <c r="H1725" t="s">
        <v>23</v>
      </c>
      <c r="I1725" t="s">
        <v>18</v>
      </c>
      <c r="J1725">
        <v>4</v>
      </c>
      <c r="K1725" t="s">
        <v>19</v>
      </c>
      <c r="L1725" t="s">
        <v>62</v>
      </c>
      <c r="M1725">
        <f>orders[[#This Row],[Ship Date]]-orders[[#This Row],[Order Date]]</f>
        <v>1</v>
      </c>
      <c r="N1725">
        <f>WEEKNUM(orders[[#This Row],[Order Date]])</f>
        <v>10</v>
      </c>
      <c r="O1725" t="str">
        <f>_xlfn.IFS(orders[[#This Row],[Customer Gender]]="M","Male", orders[[#This Row],[Customer Gender]]="F","Female", orders[[#This Row],[Customer Gender]]="O","Other", TRUE,"Unknown")</f>
        <v>Male</v>
      </c>
    </row>
    <row r="1726" spans="1:15">
      <c r="A1726" t="s">
        <v>1825</v>
      </c>
      <c r="B1726" t="s">
        <v>32</v>
      </c>
      <c r="C1726">
        <v>7</v>
      </c>
      <c r="D1726">
        <v>21.5</v>
      </c>
      <c r="E1726">
        <v>150.5</v>
      </c>
      <c r="F1726" s="1">
        <v>45721</v>
      </c>
      <c r="G1726" s="1">
        <v>45723</v>
      </c>
      <c r="H1726" t="s">
        <v>27</v>
      </c>
      <c r="I1726" t="s">
        <v>35</v>
      </c>
      <c r="J1726">
        <v>5</v>
      </c>
      <c r="K1726" t="s">
        <v>19</v>
      </c>
      <c r="L1726" t="s">
        <v>72</v>
      </c>
      <c r="M1726">
        <f>orders[[#This Row],[Ship Date]]-orders[[#This Row],[Order Date]]</f>
        <v>2</v>
      </c>
      <c r="N1726">
        <f>WEEKNUM(orders[[#This Row],[Order Date]])</f>
        <v>10</v>
      </c>
      <c r="O1726" t="str">
        <f>_xlfn.IFS(orders[[#This Row],[Customer Gender]]="M","Male", orders[[#This Row],[Customer Gender]]="F","Female", orders[[#This Row],[Customer Gender]]="O","Other", TRUE,"Unknown")</f>
        <v>Female</v>
      </c>
    </row>
    <row r="1727" spans="1:15">
      <c r="A1727" t="s">
        <v>1826</v>
      </c>
      <c r="B1727" t="s">
        <v>69</v>
      </c>
      <c r="C1727">
        <v>6</v>
      </c>
      <c r="D1727">
        <v>133</v>
      </c>
      <c r="E1727">
        <v>798</v>
      </c>
      <c r="F1727" s="1">
        <v>45721</v>
      </c>
      <c r="G1727" s="1">
        <v>45722</v>
      </c>
      <c r="H1727" t="s">
        <v>89</v>
      </c>
      <c r="I1727" t="s">
        <v>18</v>
      </c>
      <c r="J1727">
        <v>5</v>
      </c>
      <c r="K1727" t="s">
        <v>19</v>
      </c>
      <c r="L1727" t="s">
        <v>74</v>
      </c>
      <c r="M1727">
        <f>orders[[#This Row],[Ship Date]]-orders[[#This Row],[Order Date]]</f>
        <v>1</v>
      </c>
      <c r="N1727">
        <f>WEEKNUM(orders[[#This Row],[Order Date]])</f>
        <v>10</v>
      </c>
      <c r="O1727" t="str">
        <f>_xlfn.IFS(orders[[#This Row],[Customer Gender]]="M","Male", orders[[#This Row],[Customer Gender]]="F","Female", orders[[#This Row],[Customer Gender]]="O","Other", TRUE,"Unknown")</f>
        <v>Other</v>
      </c>
    </row>
    <row r="1728" spans="1:15">
      <c r="A1728" t="s">
        <v>1827</v>
      </c>
      <c r="B1728" t="s">
        <v>44</v>
      </c>
      <c r="C1728">
        <v>2</v>
      </c>
      <c r="D1728">
        <v>47.7</v>
      </c>
      <c r="E1728">
        <v>95.4</v>
      </c>
      <c r="F1728" s="1">
        <v>45721</v>
      </c>
      <c r="G1728" s="1">
        <v>45725</v>
      </c>
      <c r="H1728" t="s">
        <v>23</v>
      </c>
      <c r="I1728" t="s">
        <v>18</v>
      </c>
      <c r="J1728">
        <v>5</v>
      </c>
      <c r="K1728" t="s">
        <v>19</v>
      </c>
      <c r="L1728" t="s">
        <v>74</v>
      </c>
      <c r="M1728">
        <f>orders[[#This Row],[Ship Date]]-orders[[#This Row],[Order Date]]</f>
        <v>4</v>
      </c>
      <c r="N1728">
        <f>WEEKNUM(orders[[#This Row],[Order Date]])</f>
        <v>10</v>
      </c>
      <c r="O1728" t="str">
        <f>_xlfn.IFS(orders[[#This Row],[Customer Gender]]="M","Male", orders[[#This Row],[Customer Gender]]="F","Female", orders[[#This Row],[Customer Gender]]="O","Other", TRUE,"Unknown")</f>
        <v>Male</v>
      </c>
    </row>
    <row r="1729" spans="1:15">
      <c r="A1729" t="s">
        <v>1828</v>
      </c>
      <c r="B1729" t="s">
        <v>128</v>
      </c>
      <c r="C1729">
        <v>3</v>
      </c>
      <c r="D1729">
        <v>58.1</v>
      </c>
      <c r="E1729">
        <v>174.3</v>
      </c>
      <c r="F1729" s="1">
        <v>45721</v>
      </c>
      <c r="G1729" s="1">
        <v>45722</v>
      </c>
      <c r="H1729" t="s">
        <v>27</v>
      </c>
      <c r="I1729" t="s">
        <v>18</v>
      </c>
      <c r="J1729">
        <v>4</v>
      </c>
      <c r="K1729" t="s">
        <v>19</v>
      </c>
      <c r="L1729" t="s">
        <v>77</v>
      </c>
      <c r="M1729">
        <f>orders[[#This Row],[Ship Date]]-orders[[#This Row],[Order Date]]</f>
        <v>1</v>
      </c>
      <c r="N1729">
        <f>WEEKNUM(orders[[#This Row],[Order Date]])</f>
        <v>10</v>
      </c>
      <c r="O1729" t="str">
        <f>_xlfn.IFS(orders[[#This Row],[Customer Gender]]="M","Male", orders[[#This Row],[Customer Gender]]="F","Female", orders[[#This Row],[Customer Gender]]="O","Other", TRUE,"Unknown")</f>
        <v>Female</v>
      </c>
    </row>
    <row r="1730" spans="1:15">
      <c r="A1730" t="s">
        <v>1829</v>
      </c>
      <c r="B1730" t="s">
        <v>69</v>
      </c>
      <c r="C1730">
        <v>4</v>
      </c>
      <c r="D1730">
        <v>66.599999999999994</v>
      </c>
      <c r="E1730">
        <v>266.39999999999998</v>
      </c>
      <c r="F1730" s="1">
        <v>45721</v>
      </c>
      <c r="G1730" s="1">
        <v>45722</v>
      </c>
      <c r="H1730" t="s">
        <v>17</v>
      </c>
      <c r="I1730" t="s">
        <v>18</v>
      </c>
      <c r="J1730">
        <v>4</v>
      </c>
      <c r="K1730" t="s">
        <v>19</v>
      </c>
      <c r="L1730" t="s">
        <v>77</v>
      </c>
      <c r="M1730">
        <f>orders[[#This Row],[Ship Date]]-orders[[#This Row],[Order Date]]</f>
        <v>1</v>
      </c>
      <c r="N1730">
        <f>WEEKNUM(orders[[#This Row],[Order Date]])</f>
        <v>10</v>
      </c>
      <c r="O1730" t="str">
        <f>_xlfn.IFS(orders[[#This Row],[Customer Gender]]="M","Male", orders[[#This Row],[Customer Gender]]="F","Female", orders[[#This Row],[Customer Gender]]="O","Other", TRUE,"Unknown")</f>
        <v>Unknown</v>
      </c>
    </row>
    <row r="1731" spans="1:15">
      <c r="A1731" t="s">
        <v>1830</v>
      </c>
      <c r="B1731" t="s">
        <v>46</v>
      </c>
      <c r="C1731">
        <v>1</v>
      </c>
      <c r="D1731">
        <v>24.1</v>
      </c>
      <c r="E1731">
        <v>24.1</v>
      </c>
      <c r="F1731" s="1">
        <v>45721</v>
      </c>
      <c r="G1731" s="1">
        <v>45724</v>
      </c>
      <c r="H1731" t="s">
        <v>23</v>
      </c>
      <c r="I1731" t="s">
        <v>40</v>
      </c>
      <c r="J1731">
        <v>3</v>
      </c>
      <c r="K1731" t="s">
        <v>19</v>
      </c>
      <c r="L1731" t="s">
        <v>110</v>
      </c>
      <c r="M1731">
        <f>orders[[#This Row],[Ship Date]]-orders[[#This Row],[Order Date]]</f>
        <v>3</v>
      </c>
      <c r="N1731">
        <f>WEEKNUM(orders[[#This Row],[Order Date]])</f>
        <v>10</v>
      </c>
      <c r="O1731" t="str">
        <f>_xlfn.IFS(orders[[#This Row],[Customer Gender]]="M","Male", orders[[#This Row],[Customer Gender]]="F","Female", orders[[#This Row],[Customer Gender]]="O","Other", TRUE,"Unknown")</f>
        <v>Male</v>
      </c>
    </row>
    <row r="1732" spans="1:15">
      <c r="A1732" t="s">
        <v>1831</v>
      </c>
      <c r="B1732" t="s">
        <v>54</v>
      </c>
      <c r="C1732">
        <v>5</v>
      </c>
      <c r="D1732">
        <v>51.5</v>
      </c>
      <c r="E1732">
        <v>257.5</v>
      </c>
      <c r="F1732" s="1">
        <v>45721</v>
      </c>
      <c r="G1732" s="1">
        <v>45726</v>
      </c>
      <c r="H1732" t="s">
        <v>27</v>
      </c>
      <c r="I1732" t="s">
        <v>18</v>
      </c>
      <c r="J1732">
        <v>4</v>
      </c>
      <c r="K1732" t="s">
        <v>19</v>
      </c>
      <c r="L1732" t="s">
        <v>82</v>
      </c>
      <c r="M1732">
        <f>orders[[#This Row],[Ship Date]]-orders[[#This Row],[Order Date]]</f>
        <v>5</v>
      </c>
      <c r="N1732">
        <f>WEEKNUM(orders[[#This Row],[Order Date]])</f>
        <v>10</v>
      </c>
      <c r="O1732" t="str">
        <f>_xlfn.IFS(orders[[#This Row],[Customer Gender]]="M","Male", orders[[#This Row],[Customer Gender]]="F","Female", orders[[#This Row],[Customer Gender]]="O","Other", TRUE,"Unknown")</f>
        <v>Female</v>
      </c>
    </row>
    <row r="1733" spans="1:15">
      <c r="A1733" t="s">
        <v>1832</v>
      </c>
      <c r="B1733" t="s">
        <v>16</v>
      </c>
      <c r="C1733">
        <v>11</v>
      </c>
      <c r="D1733">
        <v>25.8</v>
      </c>
      <c r="E1733">
        <v>283.8</v>
      </c>
      <c r="F1733" s="1">
        <v>45721</v>
      </c>
      <c r="G1733" s="1">
        <v>45725</v>
      </c>
      <c r="H1733" t="s">
        <v>27</v>
      </c>
      <c r="I1733" t="s">
        <v>51</v>
      </c>
      <c r="J1733">
        <v>2</v>
      </c>
      <c r="K1733" t="s">
        <v>19</v>
      </c>
      <c r="L1733" t="s">
        <v>115</v>
      </c>
      <c r="M1733">
        <f>orders[[#This Row],[Ship Date]]-orders[[#This Row],[Order Date]]</f>
        <v>4</v>
      </c>
      <c r="N1733">
        <f>WEEKNUM(orders[[#This Row],[Order Date]])</f>
        <v>10</v>
      </c>
      <c r="O1733" t="str">
        <f>_xlfn.IFS(orders[[#This Row],[Customer Gender]]="M","Male", orders[[#This Row],[Customer Gender]]="F","Female", orders[[#This Row],[Customer Gender]]="O","Other", TRUE,"Unknown")</f>
        <v>Female</v>
      </c>
    </row>
    <row r="1734" spans="1:15">
      <c r="A1734" t="s">
        <v>1833</v>
      </c>
      <c r="B1734" t="s">
        <v>46</v>
      </c>
      <c r="C1734">
        <v>4</v>
      </c>
      <c r="D1734">
        <v>47.7</v>
      </c>
      <c r="E1734">
        <v>190.8</v>
      </c>
      <c r="F1734" s="1">
        <v>45721</v>
      </c>
      <c r="G1734" s="1">
        <v>45721</v>
      </c>
      <c r="H1734" t="s">
        <v>27</v>
      </c>
      <c r="I1734" t="s">
        <v>18</v>
      </c>
      <c r="J1734">
        <v>3</v>
      </c>
      <c r="K1734" t="s">
        <v>19</v>
      </c>
      <c r="L1734" t="s">
        <v>115</v>
      </c>
      <c r="M1734">
        <f>orders[[#This Row],[Ship Date]]-orders[[#This Row],[Order Date]]</f>
        <v>0</v>
      </c>
      <c r="N1734">
        <f>WEEKNUM(orders[[#This Row],[Order Date]])</f>
        <v>10</v>
      </c>
      <c r="O1734" t="str">
        <f>_xlfn.IFS(orders[[#This Row],[Customer Gender]]="M","Male", orders[[#This Row],[Customer Gender]]="F","Female", orders[[#This Row],[Customer Gender]]="O","Other", TRUE,"Unknown")</f>
        <v>Female</v>
      </c>
    </row>
    <row r="1735" spans="1:15">
      <c r="A1735" t="s">
        <v>1834</v>
      </c>
      <c r="B1735" t="s">
        <v>42</v>
      </c>
      <c r="C1735">
        <v>5</v>
      </c>
      <c r="D1735">
        <v>73.599999999999994</v>
      </c>
      <c r="E1735">
        <v>368</v>
      </c>
      <c r="F1735" s="1">
        <v>45721</v>
      </c>
      <c r="G1735" s="1">
        <v>45725</v>
      </c>
      <c r="H1735" t="s">
        <v>23</v>
      </c>
      <c r="I1735" t="s">
        <v>35</v>
      </c>
      <c r="J1735">
        <v>4</v>
      </c>
      <c r="K1735" t="s">
        <v>19</v>
      </c>
      <c r="L1735" t="s">
        <v>115</v>
      </c>
      <c r="M1735">
        <f>orders[[#This Row],[Ship Date]]-orders[[#This Row],[Order Date]]</f>
        <v>4</v>
      </c>
      <c r="N1735">
        <f>WEEKNUM(orders[[#This Row],[Order Date]])</f>
        <v>10</v>
      </c>
      <c r="O1735" t="str">
        <f>_xlfn.IFS(orders[[#This Row],[Customer Gender]]="M","Male", orders[[#This Row],[Customer Gender]]="F","Female", orders[[#This Row],[Customer Gender]]="O","Other", TRUE,"Unknown")</f>
        <v>Male</v>
      </c>
    </row>
    <row r="1736" spans="1:15">
      <c r="A1736" t="s">
        <v>1835</v>
      </c>
      <c r="B1736" t="s">
        <v>37</v>
      </c>
      <c r="C1736">
        <v>7</v>
      </c>
      <c r="D1736">
        <v>91.2</v>
      </c>
      <c r="E1736">
        <v>638.4</v>
      </c>
      <c r="F1736" s="1">
        <v>45721</v>
      </c>
      <c r="G1736" s="1">
        <v>45722</v>
      </c>
      <c r="H1736" t="s">
        <v>23</v>
      </c>
      <c r="I1736" t="s">
        <v>35</v>
      </c>
      <c r="J1736">
        <v>5</v>
      </c>
      <c r="K1736" t="s">
        <v>19</v>
      </c>
      <c r="L1736" t="s">
        <v>115</v>
      </c>
      <c r="M1736">
        <f>orders[[#This Row],[Ship Date]]-orders[[#This Row],[Order Date]]</f>
        <v>1</v>
      </c>
      <c r="N1736">
        <f>WEEKNUM(orders[[#This Row],[Order Date]])</f>
        <v>10</v>
      </c>
      <c r="O1736" t="str">
        <f>_xlfn.IFS(orders[[#This Row],[Customer Gender]]="M","Male", orders[[#This Row],[Customer Gender]]="F","Female", orders[[#This Row],[Customer Gender]]="O","Other", TRUE,"Unknown")</f>
        <v>Male</v>
      </c>
    </row>
    <row r="1737" spans="1:15">
      <c r="A1737" t="s">
        <v>1836</v>
      </c>
      <c r="B1737" t="s">
        <v>22</v>
      </c>
      <c r="C1737">
        <v>8</v>
      </c>
      <c r="D1737">
        <v>36.200000000000003</v>
      </c>
      <c r="E1737">
        <v>289.60000000000002</v>
      </c>
      <c r="F1737" s="1">
        <v>45721</v>
      </c>
      <c r="G1737" s="1">
        <v>45721</v>
      </c>
      <c r="H1737" t="s">
        <v>23</v>
      </c>
      <c r="I1737" t="s">
        <v>40</v>
      </c>
      <c r="J1737">
        <v>5</v>
      </c>
      <c r="K1737" t="s">
        <v>19</v>
      </c>
      <c r="L1737" t="s">
        <v>24</v>
      </c>
      <c r="M1737">
        <f>orders[[#This Row],[Ship Date]]-orders[[#This Row],[Order Date]]</f>
        <v>0</v>
      </c>
      <c r="N1737">
        <f>WEEKNUM(orders[[#This Row],[Order Date]])</f>
        <v>10</v>
      </c>
      <c r="O1737" t="str">
        <f>_xlfn.IFS(orders[[#This Row],[Customer Gender]]="M","Male", orders[[#This Row],[Customer Gender]]="F","Female", orders[[#This Row],[Customer Gender]]="O","Other", TRUE,"Unknown")</f>
        <v>Male</v>
      </c>
    </row>
    <row r="1738" spans="1:15">
      <c r="A1738" t="s">
        <v>1837</v>
      </c>
      <c r="B1738" t="s">
        <v>46</v>
      </c>
      <c r="C1738">
        <v>8</v>
      </c>
      <c r="D1738">
        <v>98</v>
      </c>
      <c r="E1738">
        <v>784</v>
      </c>
      <c r="F1738" s="1">
        <v>45721</v>
      </c>
      <c r="G1738" s="1">
        <v>45725</v>
      </c>
      <c r="H1738" t="s">
        <v>27</v>
      </c>
      <c r="I1738" t="s">
        <v>40</v>
      </c>
      <c r="J1738">
        <v>4</v>
      </c>
      <c r="K1738" t="s">
        <v>19</v>
      </c>
      <c r="L1738" t="s">
        <v>28</v>
      </c>
      <c r="M1738">
        <f>orders[[#This Row],[Ship Date]]-orders[[#This Row],[Order Date]]</f>
        <v>4</v>
      </c>
      <c r="N1738">
        <f>WEEKNUM(orders[[#This Row],[Order Date]])</f>
        <v>10</v>
      </c>
      <c r="O1738" t="str">
        <f>_xlfn.IFS(orders[[#This Row],[Customer Gender]]="M","Male", orders[[#This Row],[Customer Gender]]="F","Female", orders[[#This Row],[Customer Gender]]="O","Other", TRUE,"Unknown")</f>
        <v>Female</v>
      </c>
    </row>
    <row r="1739" spans="1:15">
      <c r="A1739" t="s">
        <v>1838</v>
      </c>
      <c r="B1739" t="s">
        <v>22</v>
      </c>
      <c r="C1739">
        <v>8</v>
      </c>
      <c r="D1739">
        <v>43.6</v>
      </c>
      <c r="E1739">
        <v>348.8</v>
      </c>
      <c r="F1739" s="1">
        <v>45721</v>
      </c>
      <c r="G1739" s="1">
        <v>45722</v>
      </c>
      <c r="H1739" t="s">
        <v>27</v>
      </c>
      <c r="I1739" t="s">
        <v>40</v>
      </c>
      <c r="J1739">
        <v>4</v>
      </c>
      <c r="K1739" t="s">
        <v>19</v>
      </c>
      <c r="L1739" t="s">
        <v>147</v>
      </c>
      <c r="M1739">
        <f>orders[[#This Row],[Ship Date]]-orders[[#This Row],[Order Date]]</f>
        <v>1</v>
      </c>
      <c r="N1739">
        <f>WEEKNUM(orders[[#This Row],[Order Date]])</f>
        <v>10</v>
      </c>
      <c r="O1739" t="str">
        <f>_xlfn.IFS(orders[[#This Row],[Customer Gender]]="M","Male", orders[[#This Row],[Customer Gender]]="F","Female", orders[[#This Row],[Customer Gender]]="O","Other", TRUE,"Unknown")</f>
        <v>Female</v>
      </c>
    </row>
    <row r="1740" spans="1:15">
      <c r="A1740" t="s">
        <v>1839</v>
      </c>
      <c r="B1740" t="s">
        <v>44</v>
      </c>
      <c r="C1740">
        <v>10</v>
      </c>
      <c r="D1740">
        <v>37.799999999999997</v>
      </c>
      <c r="E1740">
        <v>378</v>
      </c>
      <c r="F1740" s="1">
        <v>45721</v>
      </c>
      <c r="G1740" s="1">
        <v>45721</v>
      </c>
      <c r="H1740" t="s">
        <v>89</v>
      </c>
      <c r="I1740" t="s">
        <v>18</v>
      </c>
      <c r="J1740">
        <v>4</v>
      </c>
      <c r="K1740" t="s">
        <v>19</v>
      </c>
      <c r="L1740" t="s">
        <v>949</v>
      </c>
      <c r="M1740">
        <f>orders[[#This Row],[Ship Date]]-orders[[#This Row],[Order Date]]</f>
        <v>0</v>
      </c>
      <c r="N1740">
        <f>WEEKNUM(orders[[#This Row],[Order Date]])</f>
        <v>10</v>
      </c>
      <c r="O1740" t="str">
        <f>_xlfn.IFS(orders[[#This Row],[Customer Gender]]="M","Male", orders[[#This Row],[Customer Gender]]="F","Female", orders[[#This Row],[Customer Gender]]="O","Other", TRUE,"Unknown")</f>
        <v>Other</v>
      </c>
    </row>
    <row r="1741" spans="1:15">
      <c r="A1741" t="s">
        <v>1840</v>
      </c>
      <c r="B1741" t="s">
        <v>135</v>
      </c>
      <c r="C1741">
        <v>5</v>
      </c>
      <c r="D1741">
        <v>63.7</v>
      </c>
      <c r="E1741">
        <v>318.5</v>
      </c>
      <c r="F1741" s="1">
        <v>45721</v>
      </c>
      <c r="G1741" s="1">
        <v>45724</v>
      </c>
      <c r="H1741" t="s">
        <v>27</v>
      </c>
      <c r="I1741" t="s">
        <v>40</v>
      </c>
      <c r="J1741">
        <v>3</v>
      </c>
      <c r="K1741" t="s">
        <v>19</v>
      </c>
      <c r="L1741" t="s">
        <v>33</v>
      </c>
      <c r="M1741">
        <f>orders[[#This Row],[Ship Date]]-orders[[#This Row],[Order Date]]</f>
        <v>3</v>
      </c>
      <c r="N1741">
        <f>WEEKNUM(orders[[#This Row],[Order Date]])</f>
        <v>10</v>
      </c>
      <c r="O1741" t="str">
        <f>_xlfn.IFS(orders[[#This Row],[Customer Gender]]="M","Male", orders[[#This Row],[Customer Gender]]="F","Female", orders[[#This Row],[Customer Gender]]="O","Other", TRUE,"Unknown")</f>
        <v>Female</v>
      </c>
    </row>
    <row r="1742" spans="1:15">
      <c r="A1742" t="s">
        <v>1841</v>
      </c>
      <c r="B1742" t="s">
        <v>37</v>
      </c>
      <c r="C1742">
        <v>9</v>
      </c>
      <c r="D1742">
        <v>62.9</v>
      </c>
      <c r="E1742">
        <v>566.1</v>
      </c>
      <c r="F1742" s="1">
        <v>45721</v>
      </c>
      <c r="G1742" s="1">
        <v>45726</v>
      </c>
      <c r="H1742" t="s">
        <v>23</v>
      </c>
      <c r="I1742" t="s">
        <v>51</v>
      </c>
      <c r="J1742">
        <v>5</v>
      </c>
      <c r="K1742" t="s">
        <v>19</v>
      </c>
      <c r="L1742" t="s">
        <v>33</v>
      </c>
      <c r="M1742">
        <f>orders[[#This Row],[Ship Date]]-orders[[#This Row],[Order Date]]</f>
        <v>5</v>
      </c>
      <c r="N1742">
        <f>WEEKNUM(orders[[#This Row],[Order Date]])</f>
        <v>10</v>
      </c>
      <c r="O1742" t="str">
        <f>_xlfn.IFS(orders[[#This Row],[Customer Gender]]="M","Male", orders[[#This Row],[Customer Gender]]="F","Female", orders[[#This Row],[Customer Gender]]="O","Other", TRUE,"Unknown")</f>
        <v>Male</v>
      </c>
    </row>
    <row r="1743" spans="1:15">
      <c r="A1743" t="s">
        <v>1842</v>
      </c>
      <c r="B1743" t="s">
        <v>39</v>
      </c>
      <c r="C1743">
        <v>7</v>
      </c>
      <c r="D1743">
        <v>61.7</v>
      </c>
      <c r="E1743">
        <v>431.90000000000003</v>
      </c>
      <c r="F1743" s="1">
        <v>45721</v>
      </c>
      <c r="G1743" s="1">
        <v>45724</v>
      </c>
      <c r="H1743" t="s">
        <v>27</v>
      </c>
      <c r="I1743" t="s">
        <v>40</v>
      </c>
      <c r="J1743">
        <v>5</v>
      </c>
      <c r="K1743" t="s">
        <v>19</v>
      </c>
      <c r="L1743" t="s">
        <v>33</v>
      </c>
      <c r="M1743">
        <f>orders[[#This Row],[Ship Date]]-orders[[#This Row],[Order Date]]</f>
        <v>3</v>
      </c>
      <c r="N1743">
        <f>WEEKNUM(orders[[#This Row],[Order Date]])</f>
        <v>10</v>
      </c>
      <c r="O1743" t="str">
        <f>_xlfn.IFS(orders[[#This Row],[Customer Gender]]="M","Male", orders[[#This Row],[Customer Gender]]="F","Female", orders[[#This Row],[Customer Gender]]="O","Other", TRUE,"Unknown")</f>
        <v>Female</v>
      </c>
    </row>
    <row r="1744" spans="1:15">
      <c r="A1744" t="s">
        <v>1843</v>
      </c>
      <c r="B1744" t="s">
        <v>146</v>
      </c>
      <c r="C1744">
        <v>14</v>
      </c>
      <c r="D1744">
        <v>36.5</v>
      </c>
      <c r="E1744">
        <v>511</v>
      </c>
      <c r="F1744" s="1">
        <v>45721</v>
      </c>
      <c r="G1744" s="1">
        <v>45722</v>
      </c>
      <c r="H1744" t="s">
        <v>23</v>
      </c>
      <c r="I1744" t="s">
        <v>18</v>
      </c>
      <c r="J1744">
        <v>5</v>
      </c>
      <c r="K1744" t="s">
        <v>19</v>
      </c>
      <c r="L1744" t="s">
        <v>33</v>
      </c>
      <c r="M1744">
        <f>orders[[#This Row],[Ship Date]]-orders[[#This Row],[Order Date]]</f>
        <v>1</v>
      </c>
      <c r="N1744">
        <f>WEEKNUM(orders[[#This Row],[Order Date]])</f>
        <v>10</v>
      </c>
      <c r="O1744" t="str">
        <f>_xlfn.IFS(orders[[#This Row],[Customer Gender]]="M","Male", orders[[#This Row],[Customer Gender]]="F","Female", orders[[#This Row],[Customer Gender]]="O","Other", TRUE,"Unknown")</f>
        <v>Male</v>
      </c>
    </row>
    <row r="1745" spans="1:15">
      <c r="A1745" t="s">
        <v>1844</v>
      </c>
      <c r="B1745" t="s">
        <v>67</v>
      </c>
      <c r="C1745">
        <v>3</v>
      </c>
      <c r="D1745">
        <v>98.6</v>
      </c>
      <c r="E1745">
        <v>295.79999999999995</v>
      </c>
      <c r="F1745" s="1">
        <v>45721</v>
      </c>
      <c r="G1745" s="1">
        <v>45724</v>
      </c>
      <c r="H1745" t="s">
        <v>89</v>
      </c>
      <c r="I1745" t="s">
        <v>18</v>
      </c>
      <c r="J1745">
        <v>2</v>
      </c>
      <c r="K1745" t="s">
        <v>19</v>
      </c>
      <c r="L1745" t="s">
        <v>33</v>
      </c>
      <c r="M1745">
        <f>orders[[#This Row],[Ship Date]]-orders[[#This Row],[Order Date]]</f>
        <v>3</v>
      </c>
      <c r="N1745">
        <f>WEEKNUM(orders[[#This Row],[Order Date]])</f>
        <v>10</v>
      </c>
      <c r="O1745" t="str">
        <f>_xlfn.IFS(orders[[#This Row],[Customer Gender]]="M","Male", orders[[#This Row],[Customer Gender]]="F","Female", orders[[#This Row],[Customer Gender]]="O","Other", TRUE,"Unknown")</f>
        <v>Other</v>
      </c>
    </row>
    <row r="1746" spans="1:15">
      <c r="A1746" t="s">
        <v>1845</v>
      </c>
      <c r="B1746" t="s">
        <v>44</v>
      </c>
      <c r="C1746">
        <v>2</v>
      </c>
      <c r="D1746">
        <v>19.2</v>
      </c>
      <c r="E1746">
        <v>38.4</v>
      </c>
      <c r="F1746" s="1">
        <v>45721</v>
      </c>
      <c r="G1746" s="1">
        <v>45731</v>
      </c>
      <c r="H1746" t="s">
        <v>23</v>
      </c>
      <c r="I1746" t="s">
        <v>18</v>
      </c>
      <c r="J1746">
        <v>4</v>
      </c>
      <c r="K1746" t="s">
        <v>19</v>
      </c>
      <c r="L1746" t="s">
        <v>33</v>
      </c>
      <c r="M1746">
        <f>orders[[#This Row],[Ship Date]]-orders[[#This Row],[Order Date]]</f>
        <v>10</v>
      </c>
      <c r="N1746">
        <f>WEEKNUM(orders[[#This Row],[Order Date]])</f>
        <v>10</v>
      </c>
      <c r="O1746" t="str">
        <f>_xlfn.IFS(orders[[#This Row],[Customer Gender]]="M","Male", orders[[#This Row],[Customer Gender]]="F","Female", orders[[#This Row],[Customer Gender]]="O","Other", TRUE,"Unknown")</f>
        <v>Male</v>
      </c>
    </row>
    <row r="1747" spans="1:15">
      <c r="A1747" t="s">
        <v>1846</v>
      </c>
      <c r="B1747" t="s">
        <v>30</v>
      </c>
      <c r="C1747">
        <v>6</v>
      </c>
      <c r="D1747">
        <v>55.6</v>
      </c>
      <c r="E1747">
        <v>333.6</v>
      </c>
      <c r="F1747" s="1">
        <v>45721</v>
      </c>
      <c r="G1747" s="1">
        <v>45725</v>
      </c>
      <c r="H1747" t="s">
        <v>27</v>
      </c>
      <c r="I1747" t="s">
        <v>18</v>
      </c>
      <c r="J1747">
        <v>5</v>
      </c>
      <c r="K1747" t="s">
        <v>19</v>
      </c>
      <c r="L1747" t="s">
        <v>33</v>
      </c>
      <c r="M1747">
        <f>orders[[#This Row],[Ship Date]]-orders[[#This Row],[Order Date]]</f>
        <v>4</v>
      </c>
      <c r="N1747">
        <f>WEEKNUM(orders[[#This Row],[Order Date]])</f>
        <v>10</v>
      </c>
      <c r="O1747" t="str">
        <f>_xlfn.IFS(orders[[#This Row],[Customer Gender]]="M","Male", orders[[#This Row],[Customer Gender]]="F","Female", orders[[#This Row],[Customer Gender]]="O","Other", TRUE,"Unknown")</f>
        <v>Female</v>
      </c>
    </row>
    <row r="1748" spans="1:15">
      <c r="A1748" t="s">
        <v>1847</v>
      </c>
      <c r="B1748" t="s">
        <v>37</v>
      </c>
      <c r="C1748">
        <v>6</v>
      </c>
      <c r="D1748">
        <v>56.4</v>
      </c>
      <c r="E1748">
        <v>338.4</v>
      </c>
      <c r="F1748" s="1">
        <v>45721</v>
      </c>
      <c r="G1748" s="1">
        <v>45722</v>
      </c>
      <c r="H1748" t="s">
        <v>27</v>
      </c>
      <c r="I1748" t="s">
        <v>35</v>
      </c>
      <c r="J1748">
        <v>4</v>
      </c>
      <c r="K1748" t="s">
        <v>19</v>
      </c>
      <c r="L1748" t="s">
        <v>33</v>
      </c>
      <c r="M1748">
        <f>orders[[#This Row],[Ship Date]]-orders[[#This Row],[Order Date]]</f>
        <v>1</v>
      </c>
      <c r="N1748">
        <f>WEEKNUM(orders[[#This Row],[Order Date]])</f>
        <v>10</v>
      </c>
      <c r="O1748" t="str">
        <f>_xlfn.IFS(orders[[#This Row],[Customer Gender]]="M","Male", orders[[#This Row],[Customer Gender]]="F","Female", orders[[#This Row],[Customer Gender]]="O","Other", TRUE,"Unknown")</f>
        <v>Female</v>
      </c>
    </row>
    <row r="1749" spans="1:15">
      <c r="A1749" t="s">
        <v>1848</v>
      </c>
      <c r="B1749" t="s">
        <v>32</v>
      </c>
      <c r="C1749">
        <v>8</v>
      </c>
      <c r="D1749">
        <v>43.1</v>
      </c>
      <c r="E1749">
        <v>344.8</v>
      </c>
      <c r="F1749" s="1">
        <v>45721</v>
      </c>
      <c r="G1749" s="1">
        <v>45725</v>
      </c>
      <c r="H1749" t="s">
        <v>27</v>
      </c>
      <c r="I1749" t="s">
        <v>70</v>
      </c>
      <c r="J1749">
        <v>4</v>
      </c>
      <c r="K1749" t="s">
        <v>19</v>
      </c>
      <c r="L1749" t="s">
        <v>33</v>
      </c>
      <c r="M1749">
        <f>orders[[#This Row],[Ship Date]]-orders[[#This Row],[Order Date]]</f>
        <v>4</v>
      </c>
      <c r="N1749">
        <f>WEEKNUM(orders[[#This Row],[Order Date]])</f>
        <v>10</v>
      </c>
      <c r="O1749" t="str">
        <f>_xlfn.IFS(orders[[#This Row],[Customer Gender]]="M","Male", orders[[#This Row],[Customer Gender]]="F","Female", orders[[#This Row],[Customer Gender]]="O","Other", TRUE,"Unknown")</f>
        <v>Female</v>
      </c>
    </row>
    <row r="1750" spans="1:15">
      <c r="A1750" t="s">
        <v>1849</v>
      </c>
      <c r="B1750" t="s">
        <v>22</v>
      </c>
      <c r="C1750">
        <v>2</v>
      </c>
      <c r="D1750">
        <v>77.3</v>
      </c>
      <c r="E1750">
        <v>154.6</v>
      </c>
      <c r="F1750" s="1">
        <v>45721</v>
      </c>
      <c r="G1750" s="1">
        <v>45723</v>
      </c>
      <c r="H1750" t="s">
        <v>23</v>
      </c>
      <c r="I1750" t="s">
        <v>18</v>
      </c>
      <c r="J1750">
        <v>4</v>
      </c>
      <c r="K1750" t="s">
        <v>19</v>
      </c>
      <c r="L1750" t="s">
        <v>55</v>
      </c>
      <c r="M1750">
        <f>orders[[#This Row],[Ship Date]]-orders[[#This Row],[Order Date]]</f>
        <v>2</v>
      </c>
      <c r="N1750">
        <f>WEEKNUM(orders[[#This Row],[Order Date]])</f>
        <v>10</v>
      </c>
      <c r="O1750" t="str">
        <f>_xlfn.IFS(orders[[#This Row],[Customer Gender]]="M","Male", orders[[#This Row],[Customer Gender]]="F","Female", orders[[#This Row],[Customer Gender]]="O","Other", TRUE,"Unknown")</f>
        <v>Male</v>
      </c>
    </row>
    <row r="1751" spans="1:15">
      <c r="A1751" t="s">
        <v>1850</v>
      </c>
      <c r="B1751" t="s">
        <v>46</v>
      </c>
      <c r="C1751">
        <v>8</v>
      </c>
      <c r="D1751">
        <v>38.299999999999997</v>
      </c>
      <c r="E1751">
        <v>306.39999999999998</v>
      </c>
      <c r="F1751" s="1">
        <v>45721</v>
      </c>
      <c r="G1751" s="1">
        <v>45722</v>
      </c>
      <c r="H1751" t="s">
        <v>23</v>
      </c>
      <c r="I1751" t="s">
        <v>18</v>
      </c>
      <c r="J1751">
        <v>4</v>
      </c>
      <c r="K1751" t="s">
        <v>19</v>
      </c>
      <c r="L1751" t="s">
        <v>59</v>
      </c>
      <c r="M1751">
        <f>orders[[#This Row],[Ship Date]]-orders[[#This Row],[Order Date]]</f>
        <v>1</v>
      </c>
      <c r="N1751">
        <f>WEEKNUM(orders[[#This Row],[Order Date]])</f>
        <v>10</v>
      </c>
      <c r="O1751" t="str">
        <f>_xlfn.IFS(orders[[#This Row],[Customer Gender]]="M","Male", orders[[#This Row],[Customer Gender]]="F","Female", orders[[#This Row],[Customer Gender]]="O","Other", TRUE,"Unknown")</f>
        <v>Male</v>
      </c>
    </row>
    <row r="1752" spans="1:15">
      <c r="A1752" t="s">
        <v>1851</v>
      </c>
      <c r="B1752" t="s">
        <v>16</v>
      </c>
      <c r="C1752">
        <v>7</v>
      </c>
      <c r="D1752">
        <v>16.8</v>
      </c>
      <c r="E1752">
        <v>117.60000000000001</v>
      </c>
      <c r="F1752" s="1">
        <v>45721</v>
      </c>
      <c r="G1752" s="1">
        <v>45724</v>
      </c>
      <c r="H1752" t="s">
        <v>23</v>
      </c>
      <c r="I1752" t="s">
        <v>40</v>
      </c>
      <c r="J1752">
        <v>3</v>
      </c>
      <c r="K1752" t="s">
        <v>19</v>
      </c>
      <c r="L1752" t="s">
        <v>62</v>
      </c>
      <c r="M1752">
        <f>orders[[#This Row],[Ship Date]]-orders[[#This Row],[Order Date]]</f>
        <v>3</v>
      </c>
      <c r="N1752">
        <f>WEEKNUM(orders[[#This Row],[Order Date]])</f>
        <v>10</v>
      </c>
      <c r="O1752" t="str">
        <f>_xlfn.IFS(orders[[#This Row],[Customer Gender]]="M","Male", orders[[#This Row],[Customer Gender]]="F","Female", orders[[#This Row],[Customer Gender]]="O","Other", TRUE,"Unknown")</f>
        <v>Male</v>
      </c>
    </row>
    <row r="1753" spans="1:15">
      <c r="A1753" t="s">
        <v>1852</v>
      </c>
      <c r="B1753" t="s">
        <v>26</v>
      </c>
      <c r="C1753">
        <v>3</v>
      </c>
      <c r="D1753">
        <v>63.2</v>
      </c>
      <c r="E1753">
        <v>189.60000000000002</v>
      </c>
      <c r="F1753" s="1">
        <v>45721</v>
      </c>
      <c r="G1753" s="1">
        <v>45722</v>
      </c>
      <c r="H1753" t="s">
        <v>27</v>
      </c>
      <c r="I1753" t="s">
        <v>18</v>
      </c>
      <c r="J1753">
        <v>5</v>
      </c>
      <c r="K1753" t="s">
        <v>19</v>
      </c>
      <c r="L1753" t="s">
        <v>62</v>
      </c>
      <c r="M1753">
        <f>orders[[#This Row],[Ship Date]]-orders[[#This Row],[Order Date]]</f>
        <v>1</v>
      </c>
      <c r="N1753">
        <f>WEEKNUM(orders[[#This Row],[Order Date]])</f>
        <v>10</v>
      </c>
      <c r="O1753" t="str">
        <f>_xlfn.IFS(orders[[#This Row],[Customer Gender]]="M","Male", orders[[#This Row],[Customer Gender]]="F","Female", orders[[#This Row],[Customer Gender]]="O","Other", TRUE,"Unknown")</f>
        <v>Female</v>
      </c>
    </row>
    <row r="1754" spans="1:15">
      <c r="A1754" t="s">
        <v>1853</v>
      </c>
      <c r="B1754" t="s">
        <v>81</v>
      </c>
      <c r="C1754">
        <v>23</v>
      </c>
      <c r="D1754">
        <v>39.700000000000003</v>
      </c>
      <c r="E1754">
        <v>913.1</v>
      </c>
      <c r="F1754" s="1">
        <v>45721</v>
      </c>
      <c r="G1754" s="1">
        <v>45722</v>
      </c>
      <c r="H1754" t="s">
        <v>23</v>
      </c>
      <c r="I1754" t="s">
        <v>18</v>
      </c>
      <c r="J1754">
        <v>4</v>
      </c>
      <c r="K1754" t="s">
        <v>19</v>
      </c>
      <c r="L1754" t="s">
        <v>62</v>
      </c>
      <c r="M1754">
        <f>orders[[#This Row],[Ship Date]]-orders[[#This Row],[Order Date]]</f>
        <v>1</v>
      </c>
      <c r="N1754">
        <f>WEEKNUM(orders[[#This Row],[Order Date]])</f>
        <v>10</v>
      </c>
      <c r="O1754" t="str">
        <f>_xlfn.IFS(orders[[#This Row],[Customer Gender]]="M","Male", orders[[#This Row],[Customer Gender]]="F","Female", orders[[#This Row],[Customer Gender]]="O","Other", TRUE,"Unknown")</f>
        <v>Male</v>
      </c>
    </row>
    <row r="1755" spans="1:15">
      <c r="A1755" t="s">
        <v>1854</v>
      </c>
      <c r="B1755" t="s">
        <v>54</v>
      </c>
      <c r="C1755">
        <v>3</v>
      </c>
      <c r="D1755">
        <v>45.8</v>
      </c>
      <c r="E1755">
        <v>137.39999999999998</v>
      </c>
      <c r="F1755" s="1">
        <v>45721</v>
      </c>
      <c r="G1755" s="1">
        <v>45722</v>
      </c>
      <c r="H1755" t="s">
        <v>27</v>
      </c>
      <c r="I1755" t="s">
        <v>35</v>
      </c>
      <c r="J1755">
        <v>5</v>
      </c>
      <c r="K1755" t="s">
        <v>19</v>
      </c>
      <c r="L1755" t="s">
        <v>62</v>
      </c>
      <c r="M1755">
        <f>orders[[#This Row],[Ship Date]]-orders[[#This Row],[Order Date]]</f>
        <v>1</v>
      </c>
      <c r="N1755">
        <f>WEEKNUM(orders[[#This Row],[Order Date]])</f>
        <v>10</v>
      </c>
      <c r="O1755" t="str">
        <f>_xlfn.IFS(orders[[#This Row],[Customer Gender]]="M","Male", orders[[#This Row],[Customer Gender]]="F","Female", orders[[#This Row],[Customer Gender]]="O","Other", TRUE,"Unknown")</f>
        <v>Female</v>
      </c>
    </row>
    <row r="1756" spans="1:15">
      <c r="A1756" t="s">
        <v>1855</v>
      </c>
      <c r="B1756" t="s">
        <v>16</v>
      </c>
      <c r="C1756">
        <v>6</v>
      </c>
      <c r="D1756">
        <v>12.4</v>
      </c>
      <c r="E1756">
        <v>74.400000000000006</v>
      </c>
      <c r="F1756" s="1">
        <v>45721</v>
      </c>
      <c r="G1756" s="1">
        <v>45724</v>
      </c>
      <c r="H1756" t="s">
        <v>23</v>
      </c>
      <c r="I1756" t="s">
        <v>18</v>
      </c>
      <c r="J1756">
        <v>4</v>
      </c>
      <c r="K1756" t="s">
        <v>19</v>
      </c>
      <c r="L1756" t="s">
        <v>62</v>
      </c>
      <c r="M1756">
        <f>orders[[#This Row],[Ship Date]]-orders[[#This Row],[Order Date]]</f>
        <v>3</v>
      </c>
      <c r="N1756">
        <f>WEEKNUM(orders[[#This Row],[Order Date]])</f>
        <v>10</v>
      </c>
      <c r="O1756" t="str">
        <f>_xlfn.IFS(orders[[#This Row],[Customer Gender]]="M","Male", orders[[#This Row],[Customer Gender]]="F","Female", orders[[#This Row],[Customer Gender]]="O","Other", TRUE,"Unknown")</f>
        <v>Male</v>
      </c>
    </row>
    <row r="1757" spans="1:15">
      <c r="A1757" t="s">
        <v>1856</v>
      </c>
      <c r="B1757" t="s">
        <v>81</v>
      </c>
      <c r="C1757">
        <v>3</v>
      </c>
      <c r="D1757">
        <v>50.8</v>
      </c>
      <c r="E1757">
        <v>152.39999999999998</v>
      </c>
      <c r="F1757" s="1">
        <v>45722</v>
      </c>
      <c r="G1757" s="1">
        <v>45722</v>
      </c>
      <c r="H1757" t="s">
        <v>27</v>
      </c>
      <c r="I1757" t="s">
        <v>70</v>
      </c>
      <c r="J1757">
        <v>4</v>
      </c>
      <c r="K1757" t="s">
        <v>19</v>
      </c>
      <c r="L1757" t="s">
        <v>103</v>
      </c>
      <c r="M1757">
        <f>orders[[#This Row],[Ship Date]]-orders[[#This Row],[Order Date]]</f>
        <v>0</v>
      </c>
      <c r="N1757">
        <f>WEEKNUM(orders[[#This Row],[Order Date]])</f>
        <v>10</v>
      </c>
      <c r="O1757" t="str">
        <f>_xlfn.IFS(orders[[#This Row],[Customer Gender]]="M","Male", orders[[#This Row],[Customer Gender]]="F","Female", orders[[#This Row],[Customer Gender]]="O","Other", TRUE,"Unknown")</f>
        <v>Female</v>
      </c>
    </row>
    <row r="1758" spans="1:15">
      <c r="A1758" t="s">
        <v>1857</v>
      </c>
      <c r="B1758" t="s">
        <v>46</v>
      </c>
      <c r="C1758">
        <v>1</v>
      </c>
      <c r="D1758">
        <v>76</v>
      </c>
      <c r="E1758">
        <v>76</v>
      </c>
      <c r="F1758" s="1">
        <v>45722</v>
      </c>
      <c r="G1758" s="1">
        <v>45726</v>
      </c>
      <c r="H1758" t="s">
        <v>89</v>
      </c>
      <c r="I1758" t="s">
        <v>40</v>
      </c>
      <c r="J1758">
        <v>5</v>
      </c>
      <c r="K1758" t="s">
        <v>19</v>
      </c>
      <c r="L1758" t="s">
        <v>103</v>
      </c>
      <c r="M1758">
        <f>orders[[#This Row],[Ship Date]]-orders[[#This Row],[Order Date]]</f>
        <v>4</v>
      </c>
      <c r="N1758">
        <f>WEEKNUM(orders[[#This Row],[Order Date]])</f>
        <v>10</v>
      </c>
      <c r="O1758" t="str">
        <f>_xlfn.IFS(orders[[#This Row],[Customer Gender]]="M","Male", orders[[#This Row],[Customer Gender]]="F","Female", orders[[#This Row],[Customer Gender]]="O","Other", TRUE,"Unknown")</f>
        <v>Other</v>
      </c>
    </row>
    <row r="1759" spans="1:15">
      <c r="A1759" t="s">
        <v>1858</v>
      </c>
      <c r="B1759" t="s">
        <v>22</v>
      </c>
      <c r="C1759">
        <v>2</v>
      </c>
      <c r="D1759">
        <v>51.9</v>
      </c>
      <c r="E1759">
        <v>103.8</v>
      </c>
      <c r="F1759" s="1">
        <v>45722</v>
      </c>
      <c r="G1759" s="1">
        <v>45723</v>
      </c>
      <c r="H1759" t="s">
        <v>23</v>
      </c>
      <c r="I1759" t="s">
        <v>35</v>
      </c>
      <c r="J1759">
        <v>5</v>
      </c>
      <c r="K1759" t="s">
        <v>19</v>
      </c>
      <c r="L1759" t="s">
        <v>201</v>
      </c>
      <c r="M1759">
        <f>orders[[#This Row],[Ship Date]]-orders[[#This Row],[Order Date]]</f>
        <v>1</v>
      </c>
      <c r="N1759">
        <f>WEEKNUM(orders[[#This Row],[Order Date]])</f>
        <v>10</v>
      </c>
      <c r="O1759" t="str">
        <f>_xlfn.IFS(orders[[#This Row],[Customer Gender]]="M","Male", orders[[#This Row],[Customer Gender]]="F","Female", orders[[#This Row],[Customer Gender]]="O","Other", TRUE,"Unknown")</f>
        <v>Male</v>
      </c>
    </row>
    <row r="1760" spans="1:15">
      <c r="A1760" t="s">
        <v>1859</v>
      </c>
      <c r="B1760" t="s">
        <v>26</v>
      </c>
      <c r="C1760">
        <v>2</v>
      </c>
      <c r="D1760">
        <v>93.4</v>
      </c>
      <c r="E1760">
        <v>186.8</v>
      </c>
      <c r="F1760" s="1">
        <v>45722</v>
      </c>
      <c r="G1760" s="1">
        <v>45729</v>
      </c>
      <c r="H1760" t="s">
        <v>23</v>
      </c>
      <c r="I1760" t="s">
        <v>18</v>
      </c>
      <c r="J1760">
        <v>1</v>
      </c>
      <c r="K1760" t="s">
        <v>19</v>
      </c>
      <c r="L1760" t="s">
        <v>77</v>
      </c>
      <c r="M1760">
        <f>orders[[#This Row],[Ship Date]]-orders[[#This Row],[Order Date]]</f>
        <v>7</v>
      </c>
      <c r="N1760">
        <f>WEEKNUM(orders[[#This Row],[Order Date]])</f>
        <v>10</v>
      </c>
      <c r="O1760" t="str">
        <f>_xlfn.IFS(orders[[#This Row],[Customer Gender]]="M","Male", orders[[#This Row],[Customer Gender]]="F","Female", orders[[#This Row],[Customer Gender]]="O","Other", TRUE,"Unknown")</f>
        <v>Male</v>
      </c>
    </row>
    <row r="1761" spans="1:15">
      <c r="A1761" t="s">
        <v>1860</v>
      </c>
      <c r="B1761" t="s">
        <v>42</v>
      </c>
      <c r="C1761">
        <v>6</v>
      </c>
      <c r="D1761">
        <v>30.8</v>
      </c>
      <c r="E1761">
        <v>184.8</v>
      </c>
      <c r="F1761" s="1">
        <v>45722</v>
      </c>
      <c r="G1761" s="1">
        <v>45725</v>
      </c>
      <c r="H1761" t="s">
        <v>27</v>
      </c>
      <c r="I1761" t="s">
        <v>35</v>
      </c>
      <c r="J1761">
        <v>4</v>
      </c>
      <c r="K1761" t="s">
        <v>19</v>
      </c>
      <c r="L1761" t="s">
        <v>77</v>
      </c>
      <c r="M1761">
        <f>orders[[#This Row],[Ship Date]]-orders[[#This Row],[Order Date]]</f>
        <v>3</v>
      </c>
      <c r="N1761">
        <f>WEEKNUM(orders[[#This Row],[Order Date]])</f>
        <v>10</v>
      </c>
      <c r="O1761" t="str">
        <f>_xlfn.IFS(orders[[#This Row],[Customer Gender]]="M","Male", orders[[#This Row],[Customer Gender]]="F","Female", orders[[#This Row],[Customer Gender]]="O","Other", TRUE,"Unknown")</f>
        <v>Female</v>
      </c>
    </row>
    <row r="1762" spans="1:15">
      <c r="A1762" t="s">
        <v>1861</v>
      </c>
      <c r="B1762" t="s">
        <v>26</v>
      </c>
      <c r="C1762">
        <v>1</v>
      </c>
      <c r="D1762">
        <v>143.19999999999999</v>
      </c>
      <c r="E1762">
        <v>143.19999999999999</v>
      </c>
      <c r="F1762" s="1">
        <v>45722</v>
      </c>
      <c r="G1762" s="1">
        <v>45725</v>
      </c>
      <c r="H1762" t="s">
        <v>23</v>
      </c>
      <c r="I1762" t="s">
        <v>40</v>
      </c>
      <c r="J1762">
        <v>4</v>
      </c>
      <c r="K1762" t="s">
        <v>19</v>
      </c>
      <c r="L1762" t="s">
        <v>77</v>
      </c>
      <c r="M1762">
        <f>orders[[#This Row],[Ship Date]]-orders[[#This Row],[Order Date]]</f>
        <v>3</v>
      </c>
      <c r="N1762">
        <f>WEEKNUM(orders[[#This Row],[Order Date]])</f>
        <v>10</v>
      </c>
      <c r="O1762" t="str">
        <f>_xlfn.IFS(orders[[#This Row],[Customer Gender]]="M","Male", orders[[#This Row],[Customer Gender]]="F","Female", orders[[#This Row],[Customer Gender]]="O","Other", TRUE,"Unknown")</f>
        <v>Male</v>
      </c>
    </row>
    <row r="1763" spans="1:15">
      <c r="A1763" t="s">
        <v>1862</v>
      </c>
      <c r="B1763" t="s">
        <v>39</v>
      </c>
      <c r="C1763">
        <v>11</v>
      </c>
      <c r="D1763">
        <v>40.4</v>
      </c>
      <c r="E1763">
        <v>444.4</v>
      </c>
      <c r="F1763" s="1">
        <v>45722</v>
      </c>
      <c r="G1763" s="1">
        <v>45724</v>
      </c>
      <c r="H1763" t="s">
        <v>23</v>
      </c>
      <c r="I1763" t="s">
        <v>40</v>
      </c>
      <c r="J1763">
        <v>5</v>
      </c>
      <c r="K1763" t="s">
        <v>19</v>
      </c>
      <c r="L1763" t="s">
        <v>108</v>
      </c>
      <c r="M1763">
        <f>orders[[#This Row],[Ship Date]]-orders[[#This Row],[Order Date]]</f>
        <v>2</v>
      </c>
      <c r="N1763">
        <f>WEEKNUM(orders[[#This Row],[Order Date]])</f>
        <v>10</v>
      </c>
      <c r="O1763" t="str">
        <f>_xlfn.IFS(orders[[#This Row],[Customer Gender]]="M","Male", orders[[#This Row],[Customer Gender]]="F","Female", orders[[#This Row],[Customer Gender]]="O","Other", TRUE,"Unknown")</f>
        <v>Male</v>
      </c>
    </row>
    <row r="1764" spans="1:15">
      <c r="A1764" t="s">
        <v>1863</v>
      </c>
      <c r="B1764" t="s">
        <v>26</v>
      </c>
      <c r="C1764">
        <v>19</v>
      </c>
      <c r="D1764">
        <v>131.5</v>
      </c>
      <c r="E1764">
        <v>2498.5</v>
      </c>
      <c r="F1764" s="1">
        <v>45722</v>
      </c>
      <c r="G1764" s="1">
        <v>45724</v>
      </c>
      <c r="H1764" t="s">
        <v>23</v>
      </c>
      <c r="I1764" t="s">
        <v>35</v>
      </c>
      <c r="J1764">
        <v>3</v>
      </c>
      <c r="K1764" t="s">
        <v>19</v>
      </c>
      <c r="L1764" t="s">
        <v>108</v>
      </c>
      <c r="M1764">
        <f>orders[[#This Row],[Ship Date]]-orders[[#This Row],[Order Date]]</f>
        <v>2</v>
      </c>
      <c r="N1764">
        <f>WEEKNUM(orders[[#This Row],[Order Date]])</f>
        <v>10</v>
      </c>
      <c r="O1764" t="str">
        <f>_xlfn.IFS(orders[[#This Row],[Customer Gender]]="M","Male", orders[[#This Row],[Customer Gender]]="F","Female", orders[[#This Row],[Customer Gender]]="O","Other", TRUE,"Unknown")</f>
        <v>Male</v>
      </c>
    </row>
    <row r="1765" spans="1:15">
      <c r="A1765" t="s">
        <v>1864</v>
      </c>
      <c r="B1765" t="s">
        <v>146</v>
      </c>
      <c r="C1765">
        <v>7</v>
      </c>
      <c r="D1765">
        <v>61.6</v>
      </c>
      <c r="E1765">
        <v>431.2</v>
      </c>
      <c r="F1765" s="1">
        <v>45722</v>
      </c>
      <c r="G1765" s="1">
        <v>45723</v>
      </c>
      <c r="H1765" t="s">
        <v>23</v>
      </c>
      <c r="I1765" t="s">
        <v>40</v>
      </c>
      <c r="J1765">
        <v>4</v>
      </c>
      <c r="K1765" t="s">
        <v>19</v>
      </c>
      <c r="L1765" t="s">
        <v>115</v>
      </c>
      <c r="M1765">
        <f>orders[[#This Row],[Ship Date]]-orders[[#This Row],[Order Date]]</f>
        <v>1</v>
      </c>
      <c r="N1765">
        <f>WEEKNUM(orders[[#This Row],[Order Date]])</f>
        <v>10</v>
      </c>
      <c r="O1765" t="str">
        <f>_xlfn.IFS(orders[[#This Row],[Customer Gender]]="M","Male", orders[[#This Row],[Customer Gender]]="F","Female", orders[[#This Row],[Customer Gender]]="O","Other", TRUE,"Unknown")</f>
        <v>Male</v>
      </c>
    </row>
    <row r="1766" spans="1:15">
      <c r="A1766" t="s">
        <v>1865</v>
      </c>
      <c r="B1766" t="s">
        <v>46</v>
      </c>
      <c r="C1766">
        <v>5</v>
      </c>
      <c r="D1766">
        <v>32.700000000000003</v>
      </c>
      <c r="E1766">
        <v>163.5</v>
      </c>
      <c r="F1766" s="1">
        <v>45722</v>
      </c>
      <c r="G1766" s="1">
        <v>45724</v>
      </c>
      <c r="H1766" t="s">
        <v>23</v>
      </c>
      <c r="I1766" t="s">
        <v>40</v>
      </c>
      <c r="J1766">
        <v>4</v>
      </c>
      <c r="K1766" t="s">
        <v>19</v>
      </c>
      <c r="L1766" t="s">
        <v>24</v>
      </c>
      <c r="M1766">
        <f>orders[[#This Row],[Ship Date]]-orders[[#This Row],[Order Date]]</f>
        <v>2</v>
      </c>
      <c r="N1766">
        <f>WEEKNUM(orders[[#This Row],[Order Date]])</f>
        <v>10</v>
      </c>
      <c r="O1766" t="str">
        <f>_xlfn.IFS(orders[[#This Row],[Customer Gender]]="M","Male", orders[[#This Row],[Customer Gender]]="F","Female", orders[[#This Row],[Customer Gender]]="O","Other", TRUE,"Unknown")</f>
        <v>Male</v>
      </c>
    </row>
    <row r="1767" spans="1:15">
      <c r="A1767" t="s">
        <v>1866</v>
      </c>
      <c r="B1767" t="s">
        <v>16</v>
      </c>
      <c r="C1767">
        <v>10</v>
      </c>
      <c r="D1767">
        <v>13.7</v>
      </c>
      <c r="E1767">
        <v>137</v>
      </c>
      <c r="F1767" s="1">
        <v>45722</v>
      </c>
      <c r="G1767" s="1">
        <v>45723</v>
      </c>
      <c r="H1767" t="s">
        <v>23</v>
      </c>
      <c r="I1767" t="s">
        <v>18</v>
      </c>
      <c r="J1767">
        <v>5</v>
      </c>
      <c r="K1767" t="s">
        <v>19</v>
      </c>
      <c r="L1767" t="s">
        <v>33</v>
      </c>
      <c r="M1767">
        <f>orders[[#This Row],[Ship Date]]-orders[[#This Row],[Order Date]]</f>
        <v>1</v>
      </c>
      <c r="N1767">
        <f>WEEKNUM(orders[[#This Row],[Order Date]])</f>
        <v>10</v>
      </c>
      <c r="O1767" t="str">
        <f>_xlfn.IFS(orders[[#This Row],[Customer Gender]]="M","Male", orders[[#This Row],[Customer Gender]]="F","Female", orders[[#This Row],[Customer Gender]]="O","Other", TRUE,"Unknown")</f>
        <v>Male</v>
      </c>
    </row>
    <row r="1768" spans="1:15">
      <c r="A1768" t="s">
        <v>1867</v>
      </c>
      <c r="B1768" t="s">
        <v>16</v>
      </c>
      <c r="C1768">
        <v>4</v>
      </c>
      <c r="D1768">
        <v>32.1</v>
      </c>
      <c r="E1768">
        <v>128.4</v>
      </c>
      <c r="F1768" s="1">
        <v>45722</v>
      </c>
      <c r="G1768" s="1">
        <v>45723</v>
      </c>
      <c r="H1768" t="s">
        <v>23</v>
      </c>
      <c r="I1768" t="s">
        <v>70</v>
      </c>
      <c r="J1768">
        <v>3</v>
      </c>
      <c r="K1768" t="s">
        <v>19</v>
      </c>
      <c r="L1768" t="s">
        <v>33</v>
      </c>
      <c r="M1768">
        <f>orders[[#This Row],[Ship Date]]-orders[[#This Row],[Order Date]]</f>
        <v>1</v>
      </c>
      <c r="N1768">
        <f>WEEKNUM(orders[[#This Row],[Order Date]])</f>
        <v>10</v>
      </c>
      <c r="O1768" t="str">
        <f>_xlfn.IFS(orders[[#This Row],[Customer Gender]]="M","Male", orders[[#This Row],[Customer Gender]]="F","Female", orders[[#This Row],[Customer Gender]]="O","Other", TRUE,"Unknown")</f>
        <v>Male</v>
      </c>
    </row>
    <row r="1769" spans="1:15">
      <c r="A1769" t="s">
        <v>1868</v>
      </c>
      <c r="B1769" t="s">
        <v>81</v>
      </c>
      <c r="C1769">
        <v>8</v>
      </c>
      <c r="D1769">
        <v>12</v>
      </c>
      <c r="E1769">
        <v>96</v>
      </c>
      <c r="F1769" s="1">
        <v>45722</v>
      </c>
      <c r="G1769" s="1">
        <v>45723</v>
      </c>
      <c r="H1769" t="s">
        <v>23</v>
      </c>
      <c r="I1769" t="s">
        <v>35</v>
      </c>
      <c r="J1769">
        <v>4</v>
      </c>
      <c r="K1769" t="s">
        <v>19</v>
      </c>
      <c r="L1769" t="s">
        <v>186</v>
      </c>
      <c r="M1769">
        <f>orders[[#This Row],[Ship Date]]-orders[[#This Row],[Order Date]]</f>
        <v>1</v>
      </c>
      <c r="N1769">
        <f>WEEKNUM(orders[[#This Row],[Order Date]])</f>
        <v>10</v>
      </c>
      <c r="O1769" t="str">
        <f>_xlfn.IFS(orders[[#This Row],[Customer Gender]]="M","Male", orders[[#This Row],[Customer Gender]]="F","Female", orders[[#This Row],[Customer Gender]]="O","Other", TRUE,"Unknown")</f>
        <v>Male</v>
      </c>
    </row>
    <row r="1770" spans="1:15">
      <c r="A1770" t="s">
        <v>1869</v>
      </c>
      <c r="B1770" t="s">
        <v>69</v>
      </c>
      <c r="C1770">
        <v>1</v>
      </c>
      <c r="D1770">
        <v>64.3</v>
      </c>
      <c r="E1770">
        <v>64.3</v>
      </c>
      <c r="F1770" s="1">
        <v>45722</v>
      </c>
      <c r="G1770" s="1">
        <v>45724</v>
      </c>
      <c r="H1770" t="s">
        <v>27</v>
      </c>
      <c r="I1770" t="s">
        <v>40</v>
      </c>
      <c r="J1770">
        <v>5</v>
      </c>
      <c r="K1770" t="s">
        <v>19</v>
      </c>
      <c r="L1770" t="s">
        <v>55</v>
      </c>
      <c r="M1770">
        <f>orders[[#This Row],[Ship Date]]-orders[[#This Row],[Order Date]]</f>
        <v>2</v>
      </c>
      <c r="N1770">
        <f>WEEKNUM(orders[[#This Row],[Order Date]])</f>
        <v>10</v>
      </c>
      <c r="O1770" t="str">
        <f>_xlfn.IFS(orders[[#This Row],[Customer Gender]]="M","Male", orders[[#This Row],[Customer Gender]]="F","Female", orders[[#This Row],[Customer Gender]]="O","Other", TRUE,"Unknown")</f>
        <v>Female</v>
      </c>
    </row>
    <row r="1771" spans="1:15">
      <c r="A1771" t="s">
        <v>1870</v>
      </c>
      <c r="B1771" t="s">
        <v>22</v>
      </c>
      <c r="C1771">
        <v>3</v>
      </c>
      <c r="D1771">
        <v>58.2</v>
      </c>
      <c r="E1771">
        <v>174.60000000000002</v>
      </c>
      <c r="F1771" s="1">
        <v>45722</v>
      </c>
      <c r="G1771" s="1">
        <v>45724</v>
      </c>
      <c r="H1771" t="s">
        <v>27</v>
      </c>
      <c r="I1771" t="s">
        <v>35</v>
      </c>
      <c r="J1771">
        <v>5</v>
      </c>
      <c r="K1771" t="s">
        <v>19</v>
      </c>
      <c r="L1771" t="s">
        <v>55</v>
      </c>
      <c r="M1771">
        <f>orders[[#This Row],[Ship Date]]-orders[[#This Row],[Order Date]]</f>
        <v>2</v>
      </c>
      <c r="N1771">
        <f>WEEKNUM(orders[[#This Row],[Order Date]])</f>
        <v>10</v>
      </c>
      <c r="O1771" t="str">
        <f>_xlfn.IFS(orders[[#This Row],[Customer Gender]]="M","Male", orders[[#This Row],[Customer Gender]]="F","Female", orders[[#This Row],[Customer Gender]]="O","Other", TRUE,"Unknown")</f>
        <v>Female</v>
      </c>
    </row>
    <row r="1772" spans="1:15">
      <c r="A1772" t="s">
        <v>1871</v>
      </c>
      <c r="B1772" t="s">
        <v>39</v>
      </c>
      <c r="C1772">
        <v>4</v>
      </c>
      <c r="D1772">
        <v>59.2</v>
      </c>
      <c r="E1772">
        <v>236.8</v>
      </c>
      <c r="F1772" s="1">
        <v>45722</v>
      </c>
      <c r="G1772" s="1">
        <v>45722</v>
      </c>
      <c r="H1772" t="s">
        <v>23</v>
      </c>
      <c r="I1772" t="s">
        <v>35</v>
      </c>
      <c r="J1772">
        <v>5</v>
      </c>
      <c r="K1772" t="s">
        <v>19</v>
      </c>
      <c r="L1772" t="s">
        <v>55</v>
      </c>
      <c r="M1772">
        <f>orders[[#This Row],[Ship Date]]-orders[[#This Row],[Order Date]]</f>
        <v>0</v>
      </c>
      <c r="N1772">
        <f>WEEKNUM(orders[[#This Row],[Order Date]])</f>
        <v>10</v>
      </c>
      <c r="O1772" t="str">
        <f>_xlfn.IFS(orders[[#This Row],[Customer Gender]]="M","Male", orders[[#This Row],[Customer Gender]]="F","Female", orders[[#This Row],[Customer Gender]]="O","Other", TRUE,"Unknown")</f>
        <v>Male</v>
      </c>
    </row>
    <row r="1773" spans="1:15">
      <c r="A1773" t="s">
        <v>1872</v>
      </c>
      <c r="B1773" t="s">
        <v>54</v>
      </c>
      <c r="C1773">
        <v>11</v>
      </c>
      <c r="D1773">
        <v>35.6</v>
      </c>
      <c r="E1773">
        <v>391.6</v>
      </c>
      <c r="F1773" s="1">
        <v>45722</v>
      </c>
      <c r="G1773" s="1">
        <v>45729</v>
      </c>
      <c r="H1773" t="s">
        <v>23</v>
      </c>
      <c r="I1773" t="s">
        <v>18</v>
      </c>
      <c r="J1773">
        <v>5</v>
      </c>
      <c r="K1773" t="s">
        <v>19</v>
      </c>
      <c r="L1773" t="s">
        <v>62</v>
      </c>
      <c r="M1773">
        <f>orders[[#This Row],[Ship Date]]-orders[[#This Row],[Order Date]]</f>
        <v>7</v>
      </c>
      <c r="N1773">
        <f>WEEKNUM(orders[[#This Row],[Order Date]])</f>
        <v>10</v>
      </c>
      <c r="O1773" t="str">
        <f>_xlfn.IFS(orders[[#This Row],[Customer Gender]]="M","Male", orders[[#This Row],[Customer Gender]]="F","Female", orders[[#This Row],[Customer Gender]]="O","Other", TRUE,"Unknown")</f>
        <v>Male</v>
      </c>
    </row>
    <row r="1774" spans="1:15">
      <c r="A1774" t="s">
        <v>1873</v>
      </c>
      <c r="B1774" t="s">
        <v>128</v>
      </c>
      <c r="C1774">
        <v>8</v>
      </c>
      <c r="D1774">
        <v>37</v>
      </c>
      <c r="E1774">
        <v>296</v>
      </c>
      <c r="F1774" s="1">
        <v>45722</v>
      </c>
      <c r="G1774" s="1">
        <v>45726</v>
      </c>
      <c r="H1774" t="s">
        <v>27</v>
      </c>
      <c r="I1774" t="s">
        <v>40</v>
      </c>
      <c r="J1774">
        <v>3</v>
      </c>
      <c r="K1774" t="s">
        <v>19</v>
      </c>
      <c r="L1774" t="s">
        <v>62</v>
      </c>
      <c r="M1774">
        <f>orders[[#This Row],[Ship Date]]-orders[[#This Row],[Order Date]]</f>
        <v>4</v>
      </c>
      <c r="N1774">
        <f>WEEKNUM(orders[[#This Row],[Order Date]])</f>
        <v>10</v>
      </c>
      <c r="O1774" t="str">
        <f>_xlfn.IFS(orders[[#This Row],[Customer Gender]]="M","Male", orders[[#This Row],[Customer Gender]]="F","Female", orders[[#This Row],[Customer Gender]]="O","Other", TRUE,"Unknown")</f>
        <v>Female</v>
      </c>
    </row>
    <row r="1775" spans="1:15">
      <c r="A1775" t="s">
        <v>1874</v>
      </c>
      <c r="B1775" t="s">
        <v>22</v>
      </c>
      <c r="C1775">
        <v>13</v>
      </c>
      <c r="D1775">
        <v>80.8</v>
      </c>
      <c r="E1775">
        <v>1050.3999999999999</v>
      </c>
      <c r="F1775" s="1">
        <v>45722</v>
      </c>
      <c r="G1775" s="1">
        <v>45724</v>
      </c>
      <c r="H1775" t="s">
        <v>27</v>
      </c>
      <c r="I1775" t="s">
        <v>18</v>
      </c>
      <c r="J1775">
        <v>4</v>
      </c>
      <c r="K1775" t="s">
        <v>19</v>
      </c>
      <c r="L1775" t="s">
        <v>62</v>
      </c>
      <c r="M1775">
        <f>orders[[#This Row],[Ship Date]]-orders[[#This Row],[Order Date]]</f>
        <v>2</v>
      </c>
      <c r="N1775">
        <f>WEEKNUM(orders[[#This Row],[Order Date]])</f>
        <v>10</v>
      </c>
      <c r="O1775" t="str">
        <f>_xlfn.IFS(orders[[#This Row],[Customer Gender]]="M","Male", orders[[#This Row],[Customer Gender]]="F","Female", orders[[#This Row],[Customer Gender]]="O","Other", TRUE,"Unknown")</f>
        <v>Female</v>
      </c>
    </row>
    <row r="1776" spans="1:15">
      <c r="A1776" t="s">
        <v>1875</v>
      </c>
      <c r="B1776" t="s">
        <v>44</v>
      </c>
      <c r="C1776">
        <v>2</v>
      </c>
      <c r="D1776">
        <v>63.2</v>
      </c>
      <c r="E1776">
        <v>126.4</v>
      </c>
      <c r="F1776" s="1">
        <v>45722</v>
      </c>
      <c r="G1776" s="1">
        <v>45723</v>
      </c>
      <c r="H1776" t="s">
        <v>23</v>
      </c>
      <c r="I1776" t="s">
        <v>18</v>
      </c>
      <c r="J1776">
        <v>3</v>
      </c>
      <c r="K1776" t="s">
        <v>19</v>
      </c>
      <c r="L1776" t="s">
        <v>62</v>
      </c>
      <c r="M1776">
        <f>orders[[#This Row],[Ship Date]]-orders[[#This Row],[Order Date]]</f>
        <v>1</v>
      </c>
      <c r="N1776">
        <f>WEEKNUM(orders[[#This Row],[Order Date]])</f>
        <v>10</v>
      </c>
      <c r="O1776" t="str">
        <f>_xlfn.IFS(orders[[#This Row],[Customer Gender]]="M","Male", orders[[#This Row],[Customer Gender]]="F","Female", orders[[#This Row],[Customer Gender]]="O","Other", TRUE,"Unknown")</f>
        <v>Male</v>
      </c>
    </row>
    <row r="1777" spans="1:15">
      <c r="A1777" t="s">
        <v>1876</v>
      </c>
      <c r="B1777" t="s">
        <v>30</v>
      </c>
      <c r="C1777">
        <v>2</v>
      </c>
      <c r="D1777">
        <v>40.799999999999997</v>
      </c>
      <c r="E1777">
        <v>81.599999999999994</v>
      </c>
      <c r="F1777" s="1">
        <v>45722</v>
      </c>
      <c r="G1777" s="1">
        <v>45724</v>
      </c>
      <c r="H1777" t="s">
        <v>23</v>
      </c>
      <c r="I1777" t="s">
        <v>18</v>
      </c>
      <c r="J1777">
        <v>3</v>
      </c>
      <c r="K1777" t="s">
        <v>19</v>
      </c>
      <c r="L1777" t="s">
        <v>103</v>
      </c>
      <c r="M1777">
        <f>orders[[#This Row],[Ship Date]]-orders[[#This Row],[Order Date]]</f>
        <v>2</v>
      </c>
      <c r="N1777">
        <f>WEEKNUM(orders[[#This Row],[Order Date]])</f>
        <v>10</v>
      </c>
      <c r="O1777" t="str">
        <f>_xlfn.IFS(orders[[#This Row],[Customer Gender]]="M","Male", orders[[#This Row],[Customer Gender]]="F","Female", orders[[#This Row],[Customer Gender]]="O","Other", TRUE,"Unknown")</f>
        <v>Male</v>
      </c>
    </row>
    <row r="1778" spans="1:15">
      <c r="A1778" t="s">
        <v>1877</v>
      </c>
      <c r="B1778" t="s">
        <v>76</v>
      </c>
      <c r="C1778">
        <v>6</v>
      </c>
      <c r="D1778">
        <v>25.7</v>
      </c>
      <c r="E1778">
        <v>154.19999999999999</v>
      </c>
      <c r="F1778" s="1">
        <v>45722</v>
      </c>
      <c r="G1778" s="1">
        <v>45724</v>
      </c>
      <c r="H1778" t="s">
        <v>23</v>
      </c>
      <c r="I1778" t="s">
        <v>70</v>
      </c>
      <c r="J1778">
        <v>4</v>
      </c>
      <c r="K1778" t="s">
        <v>19</v>
      </c>
      <c r="L1778" t="s">
        <v>108</v>
      </c>
      <c r="M1778">
        <f>orders[[#This Row],[Ship Date]]-orders[[#This Row],[Order Date]]</f>
        <v>2</v>
      </c>
      <c r="N1778">
        <f>WEEKNUM(orders[[#This Row],[Order Date]])</f>
        <v>10</v>
      </c>
      <c r="O1778" t="str">
        <f>_xlfn.IFS(orders[[#This Row],[Customer Gender]]="M","Male", orders[[#This Row],[Customer Gender]]="F","Female", orders[[#This Row],[Customer Gender]]="O","Other", TRUE,"Unknown")</f>
        <v>Male</v>
      </c>
    </row>
    <row r="1779" spans="1:15">
      <c r="A1779" t="s">
        <v>1878</v>
      </c>
      <c r="B1779" t="s">
        <v>128</v>
      </c>
      <c r="C1779">
        <v>2</v>
      </c>
      <c r="D1779">
        <v>49.9</v>
      </c>
      <c r="E1779">
        <v>99.8</v>
      </c>
      <c r="F1779" s="1">
        <v>45722</v>
      </c>
      <c r="G1779" s="1">
        <v>45725</v>
      </c>
      <c r="H1779" t="s">
        <v>23</v>
      </c>
      <c r="I1779" t="s">
        <v>18</v>
      </c>
      <c r="J1779">
        <v>4</v>
      </c>
      <c r="K1779" t="s">
        <v>19</v>
      </c>
      <c r="L1779" t="s">
        <v>113</v>
      </c>
      <c r="M1779">
        <f>orders[[#This Row],[Ship Date]]-orders[[#This Row],[Order Date]]</f>
        <v>3</v>
      </c>
      <c r="N1779">
        <f>WEEKNUM(orders[[#This Row],[Order Date]])</f>
        <v>10</v>
      </c>
      <c r="O1779" t="str">
        <f>_xlfn.IFS(orders[[#This Row],[Customer Gender]]="M","Male", orders[[#This Row],[Customer Gender]]="F","Female", orders[[#This Row],[Customer Gender]]="O","Other", TRUE,"Unknown")</f>
        <v>Male</v>
      </c>
    </row>
    <row r="1780" spans="1:15">
      <c r="A1780" t="s">
        <v>1879</v>
      </c>
      <c r="B1780" t="s">
        <v>44</v>
      </c>
      <c r="C1780">
        <v>2</v>
      </c>
      <c r="D1780">
        <v>20.2</v>
      </c>
      <c r="E1780">
        <v>40.4</v>
      </c>
      <c r="F1780" s="1">
        <v>45722</v>
      </c>
      <c r="G1780" s="1">
        <v>45724</v>
      </c>
      <c r="H1780" t="s">
        <v>27</v>
      </c>
      <c r="I1780" t="s">
        <v>51</v>
      </c>
      <c r="J1780">
        <v>4</v>
      </c>
      <c r="K1780" t="s">
        <v>19</v>
      </c>
      <c r="L1780" t="s">
        <v>115</v>
      </c>
      <c r="M1780">
        <f>orders[[#This Row],[Ship Date]]-orders[[#This Row],[Order Date]]</f>
        <v>2</v>
      </c>
      <c r="N1780">
        <f>WEEKNUM(orders[[#This Row],[Order Date]])</f>
        <v>10</v>
      </c>
      <c r="O1780" t="str">
        <f>_xlfn.IFS(orders[[#This Row],[Customer Gender]]="M","Male", orders[[#This Row],[Customer Gender]]="F","Female", orders[[#This Row],[Customer Gender]]="O","Other", TRUE,"Unknown")</f>
        <v>Female</v>
      </c>
    </row>
    <row r="1781" spans="1:15">
      <c r="A1781" t="s">
        <v>1880</v>
      </c>
      <c r="B1781" t="s">
        <v>39</v>
      </c>
      <c r="C1781">
        <v>3</v>
      </c>
      <c r="D1781">
        <v>48.4</v>
      </c>
      <c r="E1781">
        <v>145.19999999999999</v>
      </c>
      <c r="F1781" s="1">
        <v>45722</v>
      </c>
      <c r="G1781" s="1">
        <v>45727</v>
      </c>
      <c r="H1781" t="s">
        <v>27</v>
      </c>
      <c r="I1781" t="s">
        <v>18</v>
      </c>
      <c r="J1781">
        <v>5</v>
      </c>
      <c r="K1781" t="s">
        <v>19</v>
      </c>
      <c r="L1781" t="s">
        <v>115</v>
      </c>
      <c r="M1781">
        <f>orders[[#This Row],[Ship Date]]-orders[[#This Row],[Order Date]]</f>
        <v>5</v>
      </c>
      <c r="N1781">
        <f>WEEKNUM(orders[[#This Row],[Order Date]])</f>
        <v>10</v>
      </c>
      <c r="O1781" t="str">
        <f>_xlfn.IFS(orders[[#This Row],[Customer Gender]]="M","Male", orders[[#This Row],[Customer Gender]]="F","Female", orders[[#This Row],[Customer Gender]]="O","Other", TRUE,"Unknown")</f>
        <v>Female</v>
      </c>
    </row>
    <row r="1782" spans="1:15">
      <c r="A1782" t="s">
        <v>1881</v>
      </c>
      <c r="B1782" t="s">
        <v>39</v>
      </c>
      <c r="C1782">
        <v>2</v>
      </c>
      <c r="D1782">
        <v>81</v>
      </c>
      <c r="E1782">
        <v>162</v>
      </c>
      <c r="F1782" s="1">
        <v>45722</v>
      </c>
      <c r="G1782" s="1">
        <v>45723</v>
      </c>
      <c r="H1782" t="s">
        <v>27</v>
      </c>
      <c r="I1782" t="s">
        <v>35</v>
      </c>
      <c r="J1782">
        <v>5</v>
      </c>
      <c r="K1782" t="s">
        <v>19</v>
      </c>
      <c r="L1782" t="s">
        <v>115</v>
      </c>
      <c r="M1782">
        <f>orders[[#This Row],[Ship Date]]-orders[[#This Row],[Order Date]]</f>
        <v>1</v>
      </c>
      <c r="N1782">
        <f>WEEKNUM(orders[[#This Row],[Order Date]])</f>
        <v>10</v>
      </c>
      <c r="O1782" t="str">
        <f>_xlfn.IFS(orders[[#This Row],[Customer Gender]]="M","Male", orders[[#This Row],[Customer Gender]]="F","Female", orders[[#This Row],[Customer Gender]]="O","Other", TRUE,"Unknown")</f>
        <v>Female</v>
      </c>
    </row>
    <row r="1783" spans="1:15">
      <c r="A1783" t="s">
        <v>1882</v>
      </c>
      <c r="B1783" t="s">
        <v>44</v>
      </c>
      <c r="C1783">
        <v>6</v>
      </c>
      <c r="D1783">
        <v>19.899999999999999</v>
      </c>
      <c r="E1783">
        <v>119.39999999999999</v>
      </c>
      <c r="F1783" s="1">
        <v>45722</v>
      </c>
      <c r="G1783" s="1">
        <v>45725</v>
      </c>
      <c r="H1783" t="s">
        <v>27</v>
      </c>
      <c r="I1783" t="s">
        <v>18</v>
      </c>
      <c r="J1783">
        <v>3</v>
      </c>
      <c r="K1783" t="s">
        <v>19</v>
      </c>
      <c r="L1783" t="s">
        <v>147</v>
      </c>
      <c r="M1783">
        <f>orders[[#This Row],[Ship Date]]-orders[[#This Row],[Order Date]]</f>
        <v>3</v>
      </c>
      <c r="N1783">
        <f>WEEKNUM(orders[[#This Row],[Order Date]])</f>
        <v>10</v>
      </c>
      <c r="O1783" t="str">
        <f>_xlfn.IFS(orders[[#This Row],[Customer Gender]]="M","Male", orders[[#This Row],[Customer Gender]]="F","Female", orders[[#This Row],[Customer Gender]]="O","Other", TRUE,"Unknown")</f>
        <v>Female</v>
      </c>
    </row>
    <row r="1784" spans="1:15">
      <c r="A1784" t="s">
        <v>1883</v>
      </c>
      <c r="B1784" t="s">
        <v>32</v>
      </c>
      <c r="C1784">
        <v>4</v>
      </c>
      <c r="D1784">
        <v>32.200000000000003</v>
      </c>
      <c r="E1784">
        <v>128.80000000000001</v>
      </c>
      <c r="F1784" s="1">
        <v>45722</v>
      </c>
      <c r="G1784" s="1">
        <v>45732</v>
      </c>
      <c r="H1784" t="s">
        <v>23</v>
      </c>
      <c r="I1784" t="s">
        <v>18</v>
      </c>
      <c r="J1784">
        <v>4</v>
      </c>
      <c r="K1784" t="s">
        <v>19</v>
      </c>
      <c r="L1784" t="s">
        <v>147</v>
      </c>
      <c r="M1784">
        <f>orders[[#This Row],[Ship Date]]-orders[[#This Row],[Order Date]]</f>
        <v>10</v>
      </c>
      <c r="N1784">
        <f>WEEKNUM(orders[[#This Row],[Order Date]])</f>
        <v>10</v>
      </c>
      <c r="O1784" t="str">
        <f>_xlfn.IFS(orders[[#This Row],[Customer Gender]]="M","Male", orders[[#This Row],[Customer Gender]]="F","Female", orders[[#This Row],[Customer Gender]]="O","Other", TRUE,"Unknown")</f>
        <v>Male</v>
      </c>
    </row>
    <row r="1785" spans="1:15">
      <c r="A1785" t="s">
        <v>1884</v>
      </c>
      <c r="B1785" t="s">
        <v>37</v>
      </c>
      <c r="C1785">
        <v>3</v>
      </c>
      <c r="D1785">
        <v>76.8</v>
      </c>
      <c r="E1785">
        <v>230.39999999999998</v>
      </c>
      <c r="F1785" s="1">
        <v>45722</v>
      </c>
      <c r="G1785" s="1">
        <v>45723</v>
      </c>
      <c r="H1785" t="s">
        <v>27</v>
      </c>
      <c r="I1785" t="s">
        <v>18</v>
      </c>
      <c r="J1785">
        <v>3</v>
      </c>
      <c r="K1785" t="s">
        <v>19</v>
      </c>
      <c r="L1785" t="s">
        <v>33</v>
      </c>
      <c r="M1785">
        <f>orders[[#This Row],[Ship Date]]-orders[[#This Row],[Order Date]]</f>
        <v>1</v>
      </c>
      <c r="N1785">
        <f>WEEKNUM(orders[[#This Row],[Order Date]])</f>
        <v>10</v>
      </c>
      <c r="O1785" t="str">
        <f>_xlfn.IFS(orders[[#This Row],[Customer Gender]]="M","Male", orders[[#This Row],[Customer Gender]]="F","Female", orders[[#This Row],[Customer Gender]]="O","Other", TRUE,"Unknown")</f>
        <v>Female</v>
      </c>
    </row>
    <row r="1786" spans="1:15">
      <c r="A1786" t="s">
        <v>1885</v>
      </c>
      <c r="B1786" t="s">
        <v>39</v>
      </c>
      <c r="C1786">
        <v>2</v>
      </c>
      <c r="D1786">
        <v>41.9</v>
      </c>
      <c r="E1786">
        <v>83.8</v>
      </c>
      <c r="F1786" s="1">
        <v>45722</v>
      </c>
      <c r="G1786" s="1">
        <v>45724</v>
      </c>
      <c r="H1786" t="s">
        <v>27</v>
      </c>
      <c r="I1786" t="s">
        <v>18</v>
      </c>
      <c r="J1786">
        <v>4</v>
      </c>
      <c r="K1786" t="s">
        <v>19</v>
      </c>
      <c r="L1786" t="s">
        <v>33</v>
      </c>
      <c r="M1786">
        <f>orders[[#This Row],[Ship Date]]-orders[[#This Row],[Order Date]]</f>
        <v>2</v>
      </c>
      <c r="N1786">
        <f>WEEKNUM(orders[[#This Row],[Order Date]])</f>
        <v>10</v>
      </c>
      <c r="O1786" t="str">
        <f>_xlfn.IFS(orders[[#This Row],[Customer Gender]]="M","Male", orders[[#This Row],[Customer Gender]]="F","Female", orders[[#This Row],[Customer Gender]]="O","Other", TRUE,"Unknown")</f>
        <v>Female</v>
      </c>
    </row>
    <row r="1787" spans="1:15">
      <c r="A1787" t="s">
        <v>1886</v>
      </c>
      <c r="B1787" t="s">
        <v>16</v>
      </c>
      <c r="C1787">
        <v>7</v>
      </c>
      <c r="D1787">
        <v>34</v>
      </c>
      <c r="E1787">
        <v>238</v>
      </c>
      <c r="F1787" s="1">
        <v>45722</v>
      </c>
      <c r="G1787" s="1">
        <v>45724</v>
      </c>
      <c r="H1787" t="s">
        <v>27</v>
      </c>
      <c r="I1787" t="s">
        <v>35</v>
      </c>
      <c r="J1787">
        <v>5</v>
      </c>
      <c r="K1787" t="s">
        <v>19</v>
      </c>
      <c r="L1787" t="s">
        <v>33</v>
      </c>
      <c r="M1787">
        <f>orders[[#This Row],[Ship Date]]-orders[[#This Row],[Order Date]]</f>
        <v>2</v>
      </c>
      <c r="N1787">
        <f>WEEKNUM(orders[[#This Row],[Order Date]])</f>
        <v>10</v>
      </c>
      <c r="O1787" t="str">
        <f>_xlfn.IFS(orders[[#This Row],[Customer Gender]]="M","Male", orders[[#This Row],[Customer Gender]]="F","Female", orders[[#This Row],[Customer Gender]]="O","Other", TRUE,"Unknown")</f>
        <v>Female</v>
      </c>
    </row>
    <row r="1788" spans="1:15">
      <c r="A1788" t="s">
        <v>1887</v>
      </c>
      <c r="B1788" t="s">
        <v>42</v>
      </c>
      <c r="C1788">
        <v>7</v>
      </c>
      <c r="D1788">
        <v>61.3</v>
      </c>
      <c r="E1788">
        <v>429.09999999999997</v>
      </c>
      <c r="F1788" s="1">
        <v>45722</v>
      </c>
      <c r="G1788" s="1">
        <v>45722</v>
      </c>
      <c r="H1788" t="s">
        <v>27</v>
      </c>
      <c r="I1788" t="s">
        <v>70</v>
      </c>
      <c r="J1788">
        <v>5</v>
      </c>
      <c r="K1788" t="s">
        <v>19</v>
      </c>
      <c r="L1788" t="s">
        <v>33</v>
      </c>
      <c r="M1788">
        <f>orders[[#This Row],[Ship Date]]-orders[[#This Row],[Order Date]]</f>
        <v>0</v>
      </c>
      <c r="N1788">
        <f>WEEKNUM(orders[[#This Row],[Order Date]])</f>
        <v>10</v>
      </c>
      <c r="O1788" t="str">
        <f>_xlfn.IFS(orders[[#This Row],[Customer Gender]]="M","Male", orders[[#This Row],[Customer Gender]]="F","Female", orders[[#This Row],[Customer Gender]]="O","Other", TRUE,"Unknown")</f>
        <v>Female</v>
      </c>
    </row>
    <row r="1789" spans="1:15">
      <c r="A1789" t="s">
        <v>1888</v>
      </c>
      <c r="B1789" t="s">
        <v>46</v>
      </c>
      <c r="C1789">
        <v>1</v>
      </c>
      <c r="D1789">
        <v>54.7</v>
      </c>
      <c r="E1789">
        <v>54.7</v>
      </c>
      <c r="F1789" s="1">
        <v>45723</v>
      </c>
      <c r="G1789" s="1">
        <v>45724</v>
      </c>
      <c r="H1789" t="s">
        <v>23</v>
      </c>
      <c r="I1789" t="s">
        <v>18</v>
      </c>
      <c r="J1789">
        <v>3</v>
      </c>
      <c r="K1789" t="s">
        <v>19</v>
      </c>
      <c r="L1789" t="s">
        <v>33</v>
      </c>
      <c r="M1789">
        <f>orders[[#This Row],[Ship Date]]-orders[[#This Row],[Order Date]]</f>
        <v>1</v>
      </c>
      <c r="N1789">
        <f>WEEKNUM(orders[[#This Row],[Order Date]])</f>
        <v>10</v>
      </c>
      <c r="O1789" t="str">
        <f>_xlfn.IFS(orders[[#This Row],[Customer Gender]]="M","Male", orders[[#This Row],[Customer Gender]]="F","Female", orders[[#This Row],[Customer Gender]]="O","Other", TRUE,"Unknown")</f>
        <v>Male</v>
      </c>
    </row>
    <row r="1790" spans="1:15">
      <c r="A1790" t="s">
        <v>1889</v>
      </c>
      <c r="B1790" t="s">
        <v>39</v>
      </c>
      <c r="C1790">
        <v>10</v>
      </c>
      <c r="D1790">
        <v>84.7</v>
      </c>
      <c r="E1790">
        <v>847</v>
      </c>
      <c r="F1790" s="1">
        <v>45723</v>
      </c>
      <c r="G1790" s="1">
        <v>45727</v>
      </c>
      <c r="H1790" t="s">
        <v>27</v>
      </c>
      <c r="I1790" t="s">
        <v>18</v>
      </c>
      <c r="J1790">
        <v>4</v>
      </c>
      <c r="K1790" t="s">
        <v>19</v>
      </c>
      <c r="L1790" t="s">
        <v>33</v>
      </c>
      <c r="M1790">
        <f>orders[[#This Row],[Ship Date]]-orders[[#This Row],[Order Date]]</f>
        <v>4</v>
      </c>
      <c r="N1790">
        <f>WEEKNUM(orders[[#This Row],[Order Date]])</f>
        <v>10</v>
      </c>
      <c r="O1790" t="str">
        <f>_xlfn.IFS(orders[[#This Row],[Customer Gender]]="M","Male", orders[[#This Row],[Customer Gender]]="F","Female", orders[[#This Row],[Customer Gender]]="O","Other", TRUE,"Unknown")</f>
        <v>Female</v>
      </c>
    </row>
    <row r="1791" spans="1:15">
      <c r="A1791" t="s">
        <v>1890</v>
      </c>
      <c r="B1791" t="s">
        <v>22</v>
      </c>
      <c r="C1791">
        <v>3</v>
      </c>
      <c r="D1791">
        <v>93.4</v>
      </c>
      <c r="E1791">
        <v>280.20000000000005</v>
      </c>
      <c r="F1791" s="1">
        <v>45723</v>
      </c>
      <c r="G1791" s="1">
        <v>45727</v>
      </c>
      <c r="H1791" t="s">
        <v>27</v>
      </c>
      <c r="I1791" t="s">
        <v>51</v>
      </c>
      <c r="J1791">
        <v>4</v>
      </c>
      <c r="K1791" t="s">
        <v>19</v>
      </c>
      <c r="L1791" t="s">
        <v>33</v>
      </c>
      <c r="M1791">
        <f>orders[[#This Row],[Ship Date]]-orders[[#This Row],[Order Date]]</f>
        <v>4</v>
      </c>
      <c r="N1791">
        <f>WEEKNUM(orders[[#This Row],[Order Date]])</f>
        <v>10</v>
      </c>
      <c r="O1791" t="str">
        <f>_xlfn.IFS(orders[[#This Row],[Customer Gender]]="M","Male", orders[[#This Row],[Customer Gender]]="F","Female", orders[[#This Row],[Customer Gender]]="O","Other", TRUE,"Unknown")</f>
        <v>Female</v>
      </c>
    </row>
    <row r="1792" spans="1:15">
      <c r="A1792" t="s">
        <v>1891</v>
      </c>
      <c r="B1792" t="s">
        <v>44</v>
      </c>
      <c r="C1792">
        <v>5</v>
      </c>
      <c r="D1792">
        <v>27</v>
      </c>
      <c r="E1792">
        <v>135</v>
      </c>
      <c r="F1792" s="1">
        <v>45723</v>
      </c>
      <c r="G1792" s="1">
        <v>45726</v>
      </c>
      <c r="H1792" t="s">
        <v>23</v>
      </c>
      <c r="I1792" t="s">
        <v>18</v>
      </c>
      <c r="J1792">
        <v>3</v>
      </c>
      <c r="K1792" t="s">
        <v>19</v>
      </c>
      <c r="L1792" t="s">
        <v>33</v>
      </c>
      <c r="M1792">
        <f>orders[[#This Row],[Ship Date]]-orders[[#This Row],[Order Date]]</f>
        <v>3</v>
      </c>
      <c r="N1792">
        <f>WEEKNUM(orders[[#This Row],[Order Date]])</f>
        <v>10</v>
      </c>
      <c r="O1792" t="str">
        <f>_xlfn.IFS(orders[[#This Row],[Customer Gender]]="M","Male", orders[[#This Row],[Customer Gender]]="F","Female", orders[[#This Row],[Customer Gender]]="O","Other", TRUE,"Unknown")</f>
        <v>Male</v>
      </c>
    </row>
    <row r="1793" spans="1:15">
      <c r="A1793" t="s">
        <v>1892</v>
      </c>
      <c r="B1793" t="s">
        <v>16</v>
      </c>
      <c r="C1793">
        <v>4</v>
      </c>
      <c r="D1793">
        <v>10.9</v>
      </c>
      <c r="E1793">
        <v>43.6</v>
      </c>
      <c r="F1793" s="1">
        <v>45723</v>
      </c>
      <c r="G1793" s="1">
        <v>45724</v>
      </c>
      <c r="H1793" t="s">
        <v>23</v>
      </c>
      <c r="I1793" t="s">
        <v>40</v>
      </c>
      <c r="J1793">
        <v>4</v>
      </c>
      <c r="K1793" t="s">
        <v>19</v>
      </c>
      <c r="L1793" t="s">
        <v>33</v>
      </c>
      <c r="M1793">
        <f>orders[[#This Row],[Ship Date]]-orders[[#This Row],[Order Date]]</f>
        <v>1</v>
      </c>
      <c r="N1793">
        <f>WEEKNUM(orders[[#This Row],[Order Date]])</f>
        <v>10</v>
      </c>
      <c r="O1793" t="str">
        <f>_xlfn.IFS(orders[[#This Row],[Customer Gender]]="M","Male", orders[[#This Row],[Customer Gender]]="F","Female", orders[[#This Row],[Customer Gender]]="O","Other", TRUE,"Unknown")</f>
        <v>Male</v>
      </c>
    </row>
    <row r="1794" spans="1:15">
      <c r="A1794" t="s">
        <v>1893</v>
      </c>
      <c r="B1794" t="s">
        <v>128</v>
      </c>
      <c r="C1794">
        <v>3</v>
      </c>
      <c r="D1794">
        <v>48</v>
      </c>
      <c r="E1794">
        <v>144</v>
      </c>
      <c r="F1794" s="1">
        <v>45723</v>
      </c>
      <c r="G1794" s="1">
        <v>45728</v>
      </c>
      <c r="H1794" t="s">
        <v>27</v>
      </c>
      <c r="I1794" t="s">
        <v>70</v>
      </c>
      <c r="J1794">
        <v>4</v>
      </c>
      <c r="K1794" t="s">
        <v>19</v>
      </c>
      <c r="L1794" t="s">
        <v>33</v>
      </c>
      <c r="M1794">
        <f>orders[[#This Row],[Ship Date]]-orders[[#This Row],[Order Date]]</f>
        <v>5</v>
      </c>
      <c r="N1794">
        <f>WEEKNUM(orders[[#This Row],[Order Date]])</f>
        <v>10</v>
      </c>
      <c r="O1794" t="str">
        <f>_xlfn.IFS(orders[[#This Row],[Customer Gender]]="M","Male", orders[[#This Row],[Customer Gender]]="F","Female", orders[[#This Row],[Customer Gender]]="O","Other", TRUE,"Unknown")</f>
        <v>Female</v>
      </c>
    </row>
    <row r="1795" spans="1:15">
      <c r="A1795" t="s">
        <v>1894</v>
      </c>
      <c r="B1795" t="s">
        <v>37</v>
      </c>
      <c r="C1795">
        <v>2</v>
      </c>
      <c r="D1795">
        <v>67.900000000000006</v>
      </c>
      <c r="E1795">
        <v>135.80000000000001</v>
      </c>
      <c r="F1795" s="1">
        <v>45723</v>
      </c>
      <c r="G1795" s="1">
        <v>45724</v>
      </c>
      <c r="H1795" t="s">
        <v>23</v>
      </c>
      <c r="I1795" t="s">
        <v>18</v>
      </c>
      <c r="J1795">
        <v>5</v>
      </c>
      <c r="K1795" t="s">
        <v>19</v>
      </c>
      <c r="L1795" t="s">
        <v>158</v>
      </c>
      <c r="M1795">
        <f>orders[[#This Row],[Ship Date]]-orders[[#This Row],[Order Date]]</f>
        <v>1</v>
      </c>
      <c r="N1795">
        <f>WEEKNUM(orders[[#This Row],[Order Date]])</f>
        <v>10</v>
      </c>
      <c r="O1795" t="str">
        <f>_xlfn.IFS(orders[[#This Row],[Customer Gender]]="M","Male", orders[[#This Row],[Customer Gender]]="F","Female", orders[[#This Row],[Customer Gender]]="O","Other", TRUE,"Unknown")</f>
        <v>Male</v>
      </c>
    </row>
    <row r="1796" spans="1:15">
      <c r="A1796" t="s">
        <v>1895</v>
      </c>
      <c r="B1796" t="s">
        <v>32</v>
      </c>
      <c r="C1796">
        <v>3</v>
      </c>
      <c r="D1796">
        <v>36</v>
      </c>
      <c r="E1796">
        <v>108</v>
      </c>
      <c r="F1796" s="1">
        <v>45723</v>
      </c>
      <c r="G1796" s="1">
        <v>45724</v>
      </c>
      <c r="H1796" t="s">
        <v>23</v>
      </c>
      <c r="I1796" t="s">
        <v>35</v>
      </c>
      <c r="J1796">
        <v>4</v>
      </c>
      <c r="K1796" t="s">
        <v>19</v>
      </c>
      <c r="L1796" t="s">
        <v>55</v>
      </c>
      <c r="M1796">
        <f>orders[[#This Row],[Ship Date]]-orders[[#This Row],[Order Date]]</f>
        <v>1</v>
      </c>
      <c r="N1796">
        <f>WEEKNUM(orders[[#This Row],[Order Date]])</f>
        <v>10</v>
      </c>
      <c r="O1796" t="str">
        <f>_xlfn.IFS(orders[[#This Row],[Customer Gender]]="M","Male", orders[[#This Row],[Customer Gender]]="F","Female", orders[[#This Row],[Customer Gender]]="O","Other", TRUE,"Unknown")</f>
        <v>Male</v>
      </c>
    </row>
    <row r="1797" spans="1:15">
      <c r="A1797" t="s">
        <v>1896</v>
      </c>
      <c r="B1797" t="s">
        <v>26</v>
      </c>
      <c r="C1797">
        <v>1</v>
      </c>
      <c r="D1797">
        <v>128.80000000000001</v>
      </c>
      <c r="E1797">
        <v>128.80000000000001</v>
      </c>
      <c r="F1797" s="1">
        <v>45723</v>
      </c>
      <c r="G1797" s="1">
        <v>45724</v>
      </c>
      <c r="H1797" t="s">
        <v>23</v>
      </c>
      <c r="I1797" t="s">
        <v>70</v>
      </c>
      <c r="J1797">
        <v>5</v>
      </c>
      <c r="K1797" t="s">
        <v>19</v>
      </c>
      <c r="L1797" t="s">
        <v>55</v>
      </c>
      <c r="M1797">
        <f>orders[[#This Row],[Ship Date]]-orders[[#This Row],[Order Date]]</f>
        <v>1</v>
      </c>
      <c r="N1797">
        <f>WEEKNUM(orders[[#This Row],[Order Date]])</f>
        <v>10</v>
      </c>
      <c r="O1797" t="str">
        <f>_xlfn.IFS(orders[[#This Row],[Customer Gender]]="M","Male", orders[[#This Row],[Customer Gender]]="F","Female", orders[[#This Row],[Customer Gender]]="O","Other", TRUE,"Unknown")</f>
        <v>Male</v>
      </c>
    </row>
    <row r="1798" spans="1:15">
      <c r="A1798" t="s">
        <v>1897</v>
      </c>
      <c r="B1798" t="s">
        <v>146</v>
      </c>
      <c r="C1798">
        <v>7</v>
      </c>
      <c r="D1798">
        <v>33.299999999999997</v>
      </c>
      <c r="E1798">
        <v>233.09999999999997</v>
      </c>
      <c r="F1798" s="1">
        <v>45723</v>
      </c>
      <c r="G1798" s="1">
        <v>45724</v>
      </c>
      <c r="H1798" t="s">
        <v>27</v>
      </c>
      <c r="I1798" t="s">
        <v>51</v>
      </c>
      <c r="J1798">
        <v>4</v>
      </c>
      <c r="K1798" t="s">
        <v>19</v>
      </c>
      <c r="L1798" t="s">
        <v>62</v>
      </c>
      <c r="M1798">
        <f>orders[[#This Row],[Ship Date]]-orders[[#This Row],[Order Date]]</f>
        <v>1</v>
      </c>
      <c r="N1798">
        <f>WEEKNUM(orders[[#This Row],[Order Date]])</f>
        <v>10</v>
      </c>
      <c r="O1798" t="str">
        <f>_xlfn.IFS(orders[[#This Row],[Customer Gender]]="M","Male", orders[[#This Row],[Customer Gender]]="F","Female", orders[[#This Row],[Customer Gender]]="O","Other", TRUE,"Unknown")</f>
        <v>Female</v>
      </c>
    </row>
    <row r="1799" spans="1:15">
      <c r="A1799" t="s">
        <v>1898</v>
      </c>
      <c r="B1799" t="s">
        <v>54</v>
      </c>
      <c r="C1799">
        <v>3</v>
      </c>
      <c r="D1799">
        <v>37.799999999999997</v>
      </c>
      <c r="E1799">
        <v>113.39999999999999</v>
      </c>
      <c r="F1799" s="1">
        <v>45723</v>
      </c>
      <c r="G1799" s="1">
        <v>45725</v>
      </c>
      <c r="H1799" t="s">
        <v>23</v>
      </c>
      <c r="I1799" t="s">
        <v>35</v>
      </c>
      <c r="J1799">
        <v>5</v>
      </c>
      <c r="K1799" t="s">
        <v>19</v>
      </c>
      <c r="L1799" t="s">
        <v>62</v>
      </c>
      <c r="M1799">
        <f>orders[[#This Row],[Ship Date]]-orders[[#This Row],[Order Date]]</f>
        <v>2</v>
      </c>
      <c r="N1799">
        <f>WEEKNUM(orders[[#This Row],[Order Date]])</f>
        <v>10</v>
      </c>
      <c r="O1799" t="str">
        <f>_xlfn.IFS(orders[[#This Row],[Customer Gender]]="M","Male", orders[[#This Row],[Customer Gender]]="F","Female", orders[[#This Row],[Customer Gender]]="O","Other", TRUE,"Unknown")</f>
        <v>Male</v>
      </c>
    </row>
    <row r="1800" spans="1:15">
      <c r="A1800" t="s">
        <v>1899</v>
      </c>
      <c r="B1800" t="s">
        <v>37</v>
      </c>
      <c r="C1800">
        <v>3</v>
      </c>
      <c r="D1800">
        <v>26</v>
      </c>
      <c r="E1800">
        <v>78</v>
      </c>
      <c r="F1800" s="1">
        <v>45723</v>
      </c>
      <c r="G1800" s="1">
        <v>45728</v>
      </c>
      <c r="H1800" t="s">
        <v>27</v>
      </c>
      <c r="I1800" t="s">
        <v>18</v>
      </c>
      <c r="J1800">
        <v>4</v>
      </c>
      <c r="K1800" t="s">
        <v>19</v>
      </c>
      <c r="L1800" t="s">
        <v>62</v>
      </c>
      <c r="M1800">
        <f>orders[[#This Row],[Ship Date]]-orders[[#This Row],[Order Date]]</f>
        <v>5</v>
      </c>
      <c r="N1800">
        <f>WEEKNUM(orders[[#This Row],[Order Date]])</f>
        <v>10</v>
      </c>
      <c r="O1800" t="str">
        <f>_xlfn.IFS(orders[[#This Row],[Customer Gender]]="M","Male", orders[[#This Row],[Customer Gender]]="F","Female", orders[[#This Row],[Customer Gender]]="O","Other", TRUE,"Unknown")</f>
        <v>Female</v>
      </c>
    </row>
    <row r="1801" spans="1:15">
      <c r="A1801" t="s">
        <v>1900</v>
      </c>
      <c r="B1801" t="s">
        <v>44</v>
      </c>
      <c r="C1801">
        <v>19</v>
      </c>
      <c r="D1801">
        <v>28.3</v>
      </c>
      <c r="E1801">
        <v>537.70000000000005</v>
      </c>
      <c r="F1801" s="1">
        <v>45723</v>
      </c>
      <c r="G1801" s="1">
        <v>45724</v>
      </c>
      <c r="H1801" t="s">
        <v>27</v>
      </c>
      <c r="I1801" t="s">
        <v>51</v>
      </c>
      <c r="J1801">
        <v>2</v>
      </c>
      <c r="K1801" t="s">
        <v>19</v>
      </c>
      <c r="L1801" t="s">
        <v>62</v>
      </c>
      <c r="M1801">
        <f>orders[[#This Row],[Ship Date]]-orders[[#This Row],[Order Date]]</f>
        <v>1</v>
      </c>
      <c r="N1801">
        <f>WEEKNUM(orders[[#This Row],[Order Date]])</f>
        <v>10</v>
      </c>
      <c r="O1801" t="str">
        <f>_xlfn.IFS(orders[[#This Row],[Customer Gender]]="M","Male", orders[[#This Row],[Customer Gender]]="F","Female", orders[[#This Row],[Customer Gender]]="O","Other", TRUE,"Unknown")</f>
        <v>Female</v>
      </c>
    </row>
    <row r="1802" spans="1:15">
      <c r="A1802" t="s">
        <v>1901</v>
      </c>
      <c r="B1802" t="s">
        <v>44</v>
      </c>
      <c r="C1802">
        <v>4</v>
      </c>
      <c r="D1802">
        <v>31.3</v>
      </c>
      <c r="E1802">
        <v>125.2</v>
      </c>
      <c r="F1802" s="1">
        <v>45723</v>
      </c>
      <c r="G1802" s="1">
        <v>45723</v>
      </c>
      <c r="H1802" t="s">
        <v>27</v>
      </c>
      <c r="I1802" t="s">
        <v>18</v>
      </c>
      <c r="J1802">
        <v>4</v>
      </c>
      <c r="K1802" t="s">
        <v>19</v>
      </c>
      <c r="L1802" t="s">
        <v>62</v>
      </c>
      <c r="M1802">
        <f>orders[[#This Row],[Ship Date]]-orders[[#This Row],[Order Date]]</f>
        <v>0</v>
      </c>
      <c r="N1802">
        <f>WEEKNUM(orders[[#This Row],[Order Date]])</f>
        <v>10</v>
      </c>
      <c r="O1802" t="str">
        <f>_xlfn.IFS(orders[[#This Row],[Customer Gender]]="M","Male", orders[[#This Row],[Customer Gender]]="F","Female", orders[[#This Row],[Customer Gender]]="O","Other", TRUE,"Unknown")</f>
        <v>Female</v>
      </c>
    </row>
    <row r="1803" spans="1:15">
      <c r="A1803" t="s">
        <v>1902</v>
      </c>
      <c r="B1803" t="s">
        <v>42</v>
      </c>
      <c r="C1803">
        <v>3</v>
      </c>
      <c r="D1803">
        <v>69.5</v>
      </c>
      <c r="E1803">
        <v>208.5</v>
      </c>
      <c r="F1803" s="1">
        <v>45723</v>
      </c>
      <c r="G1803" s="1">
        <v>45724</v>
      </c>
      <c r="H1803" t="s">
        <v>27</v>
      </c>
      <c r="I1803" t="s">
        <v>51</v>
      </c>
      <c r="J1803">
        <v>5</v>
      </c>
      <c r="K1803" t="s">
        <v>19</v>
      </c>
      <c r="L1803" t="s">
        <v>62</v>
      </c>
      <c r="M1803">
        <f>orders[[#This Row],[Ship Date]]-orders[[#This Row],[Order Date]]</f>
        <v>1</v>
      </c>
      <c r="N1803">
        <f>WEEKNUM(orders[[#This Row],[Order Date]])</f>
        <v>10</v>
      </c>
      <c r="O1803" t="str">
        <f>_xlfn.IFS(orders[[#This Row],[Customer Gender]]="M","Male", orders[[#This Row],[Customer Gender]]="F","Female", orders[[#This Row],[Customer Gender]]="O","Other", TRUE,"Unknown")</f>
        <v>Female</v>
      </c>
    </row>
    <row r="1804" spans="1:15">
      <c r="A1804" t="s">
        <v>1903</v>
      </c>
      <c r="B1804" t="s">
        <v>16</v>
      </c>
      <c r="C1804">
        <v>2</v>
      </c>
      <c r="D1804">
        <v>16.7</v>
      </c>
      <c r="E1804">
        <v>33.4</v>
      </c>
      <c r="F1804" s="1">
        <v>45723</v>
      </c>
      <c r="G1804" s="1">
        <v>45724</v>
      </c>
      <c r="H1804" t="s">
        <v>27</v>
      </c>
      <c r="I1804" t="s">
        <v>51</v>
      </c>
      <c r="J1804">
        <v>3</v>
      </c>
      <c r="K1804" t="s">
        <v>19</v>
      </c>
      <c r="L1804" t="s">
        <v>62</v>
      </c>
      <c r="M1804">
        <f>orders[[#This Row],[Ship Date]]-orders[[#This Row],[Order Date]]</f>
        <v>1</v>
      </c>
      <c r="N1804">
        <f>WEEKNUM(orders[[#This Row],[Order Date]])</f>
        <v>10</v>
      </c>
      <c r="O1804" t="str">
        <f>_xlfn.IFS(orders[[#This Row],[Customer Gender]]="M","Male", orders[[#This Row],[Customer Gender]]="F","Female", orders[[#This Row],[Customer Gender]]="O","Other", TRUE,"Unknown")</f>
        <v>Female</v>
      </c>
    </row>
    <row r="1805" spans="1:15">
      <c r="A1805" t="s">
        <v>1904</v>
      </c>
      <c r="B1805" t="s">
        <v>46</v>
      </c>
      <c r="C1805">
        <v>2</v>
      </c>
      <c r="D1805">
        <v>62.6</v>
      </c>
      <c r="E1805">
        <v>125.2</v>
      </c>
      <c r="F1805" s="1">
        <v>45723</v>
      </c>
      <c r="G1805" s="1">
        <v>45724</v>
      </c>
      <c r="H1805" t="s">
        <v>23</v>
      </c>
      <c r="I1805" t="s">
        <v>40</v>
      </c>
      <c r="J1805">
        <v>5</v>
      </c>
      <c r="K1805" t="s">
        <v>19</v>
      </c>
      <c r="L1805" t="s">
        <v>72</v>
      </c>
      <c r="M1805">
        <f>orders[[#This Row],[Ship Date]]-orders[[#This Row],[Order Date]]</f>
        <v>1</v>
      </c>
      <c r="N1805">
        <f>WEEKNUM(orders[[#This Row],[Order Date]])</f>
        <v>10</v>
      </c>
      <c r="O1805" t="str">
        <f>_xlfn.IFS(orders[[#This Row],[Customer Gender]]="M","Male", orders[[#This Row],[Customer Gender]]="F","Female", orders[[#This Row],[Customer Gender]]="O","Other", TRUE,"Unknown")</f>
        <v>Male</v>
      </c>
    </row>
    <row r="1806" spans="1:15">
      <c r="A1806" t="s">
        <v>1905</v>
      </c>
      <c r="B1806" t="s">
        <v>42</v>
      </c>
      <c r="C1806">
        <v>1</v>
      </c>
      <c r="D1806">
        <v>81.2</v>
      </c>
      <c r="E1806">
        <v>81.2</v>
      </c>
      <c r="F1806" s="1">
        <v>45723</v>
      </c>
      <c r="G1806" s="1">
        <v>45729</v>
      </c>
      <c r="H1806" t="s">
        <v>23</v>
      </c>
      <c r="I1806" t="s">
        <v>70</v>
      </c>
      <c r="J1806">
        <v>2</v>
      </c>
      <c r="K1806" t="s">
        <v>19</v>
      </c>
      <c r="L1806" t="s">
        <v>72</v>
      </c>
      <c r="M1806">
        <f>orders[[#This Row],[Ship Date]]-orders[[#This Row],[Order Date]]</f>
        <v>6</v>
      </c>
      <c r="N1806">
        <f>WEEKNUM(orders[[#This Row],[Order Date]])</f>
        <v>10</v>
      </c>
      <c r="O1806" t="str">
        <f>_xlfn.IFS(orders[[#This Row],[Customer Gender]]="M","Male", orders[[#This Row],[Customer Gender]]="F","Female", orders[[#This Row],[Customer Gender]]="O","Other", TRUE,"Unknown")</f>
        <v>Male</v>
      </c>
    </row>
    <row r="1807" spans="1:15">
      <c r="A1807" t="s">
        <v>1906</v>
      </c>
      <c r="B1807" t="s">
        <v>16</v>
      </c>
      <c r="C1807">
        <v>10</v>
      </c>
      <c r="D1807">
        <v>12.7</v>
      </c>
      <c r="E1807">
        <v>127</v>
      </c>
      <c r="F1807" s="1">
        <v>45723</v>
      </c>
      <c r="G1807" s="1">
        <v>45724</v>
      </c>
      <c r="H1807" t="s">
        <v>27</v>
      </c>
      <c r="I1807" t="s">
        <v>18</v>
      </c>
      <c r="J1807">
        <v>5</v>
      </c>
      <c r="K1807" t="s">
        <v>19</v>
      </c>
      <c r="L1807" t="s">
        <v>72</v>
      </c>
      <c r="M1807">
        <f>orders[[#This Row],[Ship Date]]-orders[[#This Row],[Order Date]]</f>
        <v>1</v>
      </c>
      <c r="N1807">
        <f>WEEKNUM(orders[[#This Row],[Order Date]])</f>
        <v>10</v>
      </c>
      <c r="O1807" t="str">
        <f>_xlfn.IFS(orders[[#This Row],[Customer Gender]]="M","Male", orders[[#This Row],[Customer Gender]]="F","Female", orders[[#This Row],[Customer Gender]]="O","Other", TRUE,"Unknown")</f>
        <v>Female</v>
      </c>
    </row>
    <row r="1808" spans="1:15">
      <c r="A1808" t="s">
        <v>1907</v>
      </c>
      <c r="B1808" t="s">
        <v>42</v>
      </c>
      <c r="C1808">
        <v>4</v>
      </c>
      <c r="D1808">
        <v>77.7</v>
      </c>
      <c r="E1808">
        <v>310.8</v>
      </c>
      <c r="F1808" s="1">
        <v>45724</v>
      </c>
      <c r="G1808" s="1">
        <v>45728</v>
      </c>
      <c r="H1808" t="s">
        <v>23</v>
      </c>
      <c r="I1808" t="s">
        <v>35</v>
      </c>
      <c r="J1808">
        <v>4</v>
      </c>
      <c r="K1808" t="s">
        <v>19</v>
      </c>
      <c r="L1808" t="s">
        <v>77</v>
      </c>
      <c r="M1808">
        <f>orders[[#This Row],[Ship Date]]-orders[[#This Row],[Order Date]]</f>
        <v>4</v>
      </c>
      <c r="N1808">
        <f>WEEKNUM(orders[[#This Row],[Order Date]])</f>
        <v>10</v>
      </c>
      <c r="O1808" t="str">
        <f>_xlfn.IFS(orders[[#This Row],[Customer Gender]]="M","Male", orders[[#This Row],[Customer Gender]]="F","Female", orders[[#This Row],[Customer Gender]]="O","Other", TRUE,"Unknown")</f>
        <v>Male</v>
      </c>
    </row>
    <row r="1809" spans="1:15">
      <c r="A1809" t="s">
        <v>1908</v>
      </c>
      <c r="B1809" t="s">
        <v>37</v>
      </c>
      <c r="C1809">
        <v>2</v>
      </c>
      <c r="D1809">
        <v>37.299999999999997</v>
      </c>
      <c r="E1809">
        <v>74.599999999999994</v>
      </c>
      <c r="F1809" s="1">
        <v>45724</v>
      </c>
      <c r="G1809" s="1">
        <v>45725</v>
      </c>
      <c r="H1809" t="s">
        <v>27</v>
      </c>
      <c r="I1809" t="s">
        <v>18</v>
      </c>
      <c r="J1809">
        <v>5</v>
      </c>
      <c r="K1809" t="s">
        <v>19</v>
      </c>
      <c r="L1809" t="s">
        <v>108</v>
      </c>
      <c r="M1809">
        <f>orders[[#This Row],[Ship Date]]-orders[[#This Row],[Order Date]]</f>
        <v>1</v>
      </c>
      <c r="N1809">
        <f>WEEKNUM(orders[[#This Row],[Order Date]])</f>
        <v>10</v>
      </c>
      <c r="O1809" t="str">
        <f>_xlfn.IFS(orders[[#This Row],[Customer Gender]]="M","Male", orders[[#This Row],[Customer Gender]]="F","Female", orders[[#This Row],[Customer Gender]]="O","Other", TRUE,"Unknown")</f>
        <v>Female</v>
      </c>
    </row>
    <row r="1810" spans="1:15">
      <c r="A1810" t="s">
        <v>1909</v>
      </c>
      <c r="B1810" t="s">
        <v>54</v>
      </c>
      <c r="C1810">
        <v>4</v>
      </c>
      <c r="D1810">
        <v>35.6</v>
      </c>
      <c r="E1810">
        <v>142.4</v>
      </c>
      <c r="F1810" s="1">
        <v>45724</v>
      </c>
      <c r="G1810" s="1">
        <v>45726</v>
      </c>
      <c r="H1810" t="s">
        <v>27</v>
      </c>
      <c r="I1810" t="s">
        <v>35</v>
      </c>
      <c r="J1810">
        <v>3</v>
      </c>
      <c r="K1810" t="s">
        <v>19</v>
      </c>
      <c r="L1810" t="s">
        <v>110</v>
      </c>
      <c r="M1810">
        <f>orders[[#This Row],[Ship Date]]-orders[[#This Row],[Order Date]]</f>
        <v>2</v>
      </c>
      <c r="N1810">
        <f>WEEKNUM(orders[[#This Row],[Order Date]])</f>
        <v>10</v>
      </c>
      <c r="O1810" t="str">
        <f>_xlfn.IFS(orders[[#This Row],[Customer Gender]]="M","Male", orders[[#This Row],[Customer Gender]]="F","Female", orders[[#This Row],[Customer Gender]]="O","Other", TRUE,"Unknown")</f>
        <v>Female</v>
      </c>
    </row>
    <row r="1811" spans="1:15">
      <c r="A1811" t="s">
        <v>1910</v>
      </c>
      <c r="B1811" t="s">
        <v>26</v>
      </c>
      <c r="C1811">
        <v>3</v>
      </c>
      <c r="D1811">
        <v>95</v>
      </c>
      <c r="E1811">
        <v>285</v>
      </c>
      <c r="F1811" s="1">
        <v>45724</v>
      </c>
      <c r="G1811" s="1">
        <v>45728</v>
      </c>
      <c r="H1811" t="s">
        <v>27</v>
      </c>
      <c r="I1811" t="s">
        <v>40</v>
      </c>
      <c r="J1811">
        <v>5</v>
      </c>
      <c r="K1811" t="s">
        <v>19</v>
      </c>
      <c r="L1811" t="s">
        <v>1911</v>
      </c>
      <c r="M1811">
        <f>orders[[#This Row],[Ship Date]]-orders[[#This Row],[Order Date]]</f>
        <v>4</v>
      </c>
      <c r="N1811">
        <f>WEEKNUM(orders[[#This Row],[Order Date]])</f>
        <v>10</v>
      </c>
      <c r="O1811" t="str">
        <f>_xlfn.IFS(orders[[#This Row],[Customer Gender]]="M","Male", orders[[#This Row],[Customer Gender]]="F","Female", orders[[#This Row],[Customer Gender]]="O","Other", TRUE,"Unknown")</f>
        <v>Female</v>
      </c>
    </row>
    <row r="1812" spans="1:15">
      <c r="A1812" t="s">
        <v>1912</v>
      </c>
      <c r="B1812" t="s">
        <v>26</v>
      </c>
      <c r="C1812">
        <v>4</v>
      </c>
      <c r="D1812">
        <v>172.1</v>
      </c>
      <c r="E1812">
        <v>688.4</v>
      </c>
      <c r="F1812" s="1">
        <v>45724</v>
      </c>
      <c r="G1812" s="1">
        <v>45728</v>
      </c>
      <c r="H1812" t="s">
        <v>89</v>
      </c>
      <c r="I1812" t="s">
        <v>40</v>
      </c>
      <c r="J1812">
        <v>5</v>
      </c>
      <c r="K1812" t="s">
        <v>19</v>
      </c>
      <c r="L1812" t="s">
        <v>115</v>
      </c>
      <c r="M1812">
        <f>orders[[#This Row],[Ship Date]]-orders[[#This Row],[Order Date]]</f>
        <v>4</v>
      </c>
      <c r="N1812">
        <f>WEEKNUM(orders[[#This Row],[Order Date]])</f>
        <v>10</v>
      </c>
      <c r="O1812" t="str">
        <f>_xlfn.IFS(orders[[#This Row],[Customer Gender]]="M","Male", orders[[#This Row],[Customer Gender]]="F","Female", orders[[#This Row],[Customer Gender]]="O","Other", TRUE,"Unknown")</f>
        <v>Other</v>
      </c>
    </row>
    <row r="1813" spans="1:15">
      <c r="A1813" t="s">
        <v>1913</v>
      </c>
      <c r="B1813" t="s">
        <v>26</v>
      </c>
      <c r="C1813">
        <v>2</v>
      </c>
      <c r="D1813">
        <v>233</v>
      </c>
      <c r="E1813">
        <v>466</v>
      </c>
      <c r="F1813" s="1">
        <v>45724</v>
      </c>
      <c r="G1813" s="1">
        <v>45727</v>
      </c>
      <c r="H1813" t="s">
        <v>27</v>
      </c>
      <c r="I1813" t="s">
        <v>35</v>
      </c>
      <c r="J1813">
        <v>4</v>
      </c>
      <c r="K1813" t="s">
        <v>19</v>
      </c>
      <c r="L1813" t="s">
        <v>115</v>
      </c>
      <c r="M1813">
        <f>orders[[#This Row],[Ship Date]]-orders[[#This Row],[Order Date]]</f>
        <v>3</v>
      </c>
      <c r="N1813">
        <f>WEEKNUM(orders[[#This Row],[Order Date]])</f>
        <v>10</v>
      </c>
      <c r="O1813" t="str">
        <f>_xlfn.IFS(orders[[#This Row],[Customer Gender]]="M","Male", orders[[#This Row],[Customer Gender]]="F","Female", orders[[#This Row],[Customer Gender]]="O","Other", TRUE,"Unknown")</f>
        <v>Female</v>
      </c>
    </row>
    <row r="1814" spans="1:15">
      <c r="A1814" t="s">
        <v>1914</v>
      </c>
      <c r="B1814" t="s">
        <v>16</v>
      </c>
      <c r="C1814">
        <v>1</v>
      </c>
      <c r="D1814">
        <v>43.5</v>
      </c>
      <c r="E1814">
        <v>43.5</v>
      </c>
      <c r="F1814" s="1">
        <v>45724</v>
      </c>
      <c r="G1814" s="1">
        <v>45725</v>
      </c>
      <c r="H1814" t="s">
        <v>27</v>
      </c>
      <c r="I1814" t="s">
        <v>40</v>
      </c>
      <c r="J1814">
        <v>5</v>
      </c>
      <c r="K1814" t="s">
        <v>19</v>
      </c>
      <c r="L1814" t="s">
        <v>115</v>
      </c>
      <c r="M1814">
        <f>orders[[#This Row],[Ship Date]]-orders[[#This Row],[Order Date]]</f>
        <v>1</v>
      </c>
      <c r="N1814">
        <f>WEEKNUM(orders[[#This Row],[Order Date]])</f>
        <v>10</v>
      </c>
      <c r="O1814" t="str">
        <f>_xlfn.IFS(orders[[#This Row],[Customer Gender]]="M","Male", orders[[#This Row],[Customer Gender]]="F","Female", orders[[#This Row],[Customer Gender]]="O","Other", TRUE,"Unknown")</f>
        <v>Female</v>
      </c>
    </row>
    <row r="1815" spans="1:15">
      <c r="A1815" t="s">
        <v>1915</v>
      </c>
      <c r="B1815" t="s">
        <v>46</v>
      </c>
      <c r="C1815">
        <v>2</v>
      </c>
      <c r="D1815">
        <v>47.8</v>
      </c>
      <c r="E1815">
        <v>95.6</v>
      </c>
      <c r="F1815" s="1">
        <v>45724</v>
      </c>
      <c r="G1815" s="1">
        <v>45727</v>
      </c>
      <c r="H1815" t="s">
        <v>23</v>
      </c>
      <c r="I1815" t="s">
        <v>70</v>
      </c>
      <c r="J1815">
        <v>5</v>
      </c>
      <c r="K1815" t="s">
        <v>19</v>
      </c>
      <c r="L1815" t="s">
        <v>24</v>
      </c>
      <c r="M1815">
        <f>orders[[#This Row],[Ship Date]]-orders[[#This Row],[Order Date]]</f>
        <v>3</v>
      </c>
      <c r="N1815">
        <f>WEEKNUM(orders[[#This Row],[Order Date]])</f>
        <v>10</v>
      </c>
      <c r="O1815" t="str">
        <f>_xlfn.IFS(orders[[#This Row],[Customer Gender]]="M","Male", orders[[#This Row],[Customer Gender]]="F","Female", orders[[#This Row],[Customer Gender]]="O","Other", TRUE,"Unknown")</f>
        <v>Male</v>
      </c>
    </row>
    <row r="1816" spans="1:15">
      <c r="A1816" t="s">
        <v>1916</v>
      </c>
      <c r="B1816" t="s">
        <v>69</v>
      </c>
      <c r="C1816">
        <v>2</v>
      </c>
      <c r="D1816">
        <v>65.8</v>
      </c>
      <c r="E1816">
        <v>131.6</v>
      </c>
      <c r="F1816" s="1">
        <v>45724</v>
      </c>
      <c r="G1816" s="1">
        <v>45726</v>
      </c>
      <c r="H1816" t="s">
        <v>27</v>
      </c>
      <c r="I1816" t="s">
        <v>18</v>
      </c>
      <c r="J1816">
        <v>1</v>
      </c>
      <c r="K1816" t="s">
        <v>19</v>
      </c>
      <c r="L1816" t="s">
        <v>331</v>
      </c>
      <c r="M1816">
        <f>orders[[#This Row],[Ship Date]]-orders[[#This Row],[Order Date]]</f>
        <v>2</v>
      </c>
      <c r="N1816">
        <f>WEEKNUM(orders[[#This Row],[Order Date]])</f>
        <v>10</v>
      </c>
      <c r="O1816" t="str">
        <f>_xlfn.IFS(orders[[#This Row],[Customer Gender]]="M","Male", orders[[#This Row],[Customer Gender]]="F","Female", orders[[#This Row],[Customer Gender]]="O","Other", TRUE,"Unknown")</f>
        <v>Female</v>
      </c>
    </row>
    <row r="1817" spans="1:15">
      <c r="A1817" t="s">
        <v>1917</v>
      </c>
      <c r="B1817" t="s">
        <v>123</v>
      </c>
      <c r="C1817">
        <v>11</v>
      </c>
      <c r="D1817">
        <v>38.700000000000003</v>
      </c>
      <c r="E1817">
        <v>425.70000000000005</v>
      </c>
      <c r="F1817" s="1">
        <v>45724</v>
      </c>
      <c r="G1817" s="1">
        <v>45724</v>
      </c>
      <c r="H1817" t="s">
        <v>23</v>
      </c>
      <c r="I1817" t="s">
        <v>18</v>
      </c>
      <c r="J1817">
        <v>4</v>
      </c>
      <c r="K1817" t="s">
        <v>19</v>
      </c>
      <c r="L1817" t="s">
        <v>147</v>
      </c>
      <c r="M1817">
        <f>orders[[#This Row],[Ship Date]]-orders[[#This Row],[Order Date]]</f>
        <v>0</v>
      </c>
      <c r="N1817">
        <f>WEEKNUM(orders[[#This Row],[Order Date]])</f>
        <v>10</v>
      </c>
      <c r="O1817" t="str">
        <f>_xlfn.IFS(orders[[#This Row],[Customer Gender]]="M","Male", orders[[#This Row],[Customer Gender]]="F","Female", orders[[#This Row],[Customer Gender]]="O","Other", TRUE,"Unknown")</f>
        <v>Male</v>
      </c>
    </row>
    <row r="1818" spans="1:15">
      <c r="A1818" t="s">
        <v>1918</v>
      </c>
      <c r="B1818" t="s">
        <v>30</v>
      </c>
      <c r="C1818">
        <v>4</v>
      </c>
      <c r="D1818">
        <v>55.7</v>
      </c>
      <c r="E1818">
        <v>222.8</v>
      </c>
      <c r="F1818" s="1">
        <v>45724</v>
      </c>
      <c r="G1818" s="1">
        <v>45726</v>
      </c>
      <c r="H1818" t="s">
        <v>89</v>
      </c>
      <c r="I1818" t="s">
        <v>18</v>
      </c>
      <c r="J1818">
        <v>3</v>
      </c>
      <c r="K1818" t="s">
        <v>19</v>
      </c>
      <c r="L1818" t="s">
        <v>147</v>
      </c>
      <c r="M1818">
        <f>orders[[#This Row],[Ship Date]]-orders[[#This Row],[Order Date]]</f>
        <v>2</v>
      </c>
      <c r="N1818">
        <f>WEEKNUM(orders[[#This Row],[Order Date]])</f>
        <v>10</v>
      </c>
      <c r="O1818" t="str">
        <f>_xlfn.IFS(orders[[#This Row],[Customer Gender]]="M","Male", orders[[#This Row],[Customer Gender]]="F","Female", orders[[#This Row],[Customer Gender]]="O","Other", TRUE,"Unknown")</f>
        <v>Other</v>
      </c>
    </row>
    <row r="1819" spans="1:15">
      <c r="A1819" t="s">
        <v>1919</v>
      </c>
      <c r="B1819" t="s">
        <v>42</v>
      </c>
      <c r="C1819">
        <v>2</v>
      </c>
      <c r="D1819">
        <v>102.4</v>
      </c>
      <c r="E1819">
        <v>204.8</v>
      </c>
      <c r="F1819" s="1">
        <v>45724</v>
      </c>
      <c r="G1819" s="1">
        <v>45724</v>
      </c>
      <c r="H1819" t="s">
        <v>27</v>
      </c>
      <c r="I1819" t="s">
        <v>35</v>
      </c>
      <c r="J1819">
        <v>4</v>
      </c>
      <c r="K1819" t="s">
        <v>19</v>
      </c>
      <c r="L1819" t="s">
        <v>33</v>
      </c>
      <c r="M1819">
        <f>orders[[#This Row],[Ship Date]]-orders[[#This Row],[Order Date]]</f>
        <v>0</v>
      </c>
      <c r="N1819">
        <f>WEEKNUM(orders[[#This Row],[Order Date]])</f>
        <v>10</v>
      </c>
      <c r="O1819" t="str">
        <f>_xlfn.IFS(orders[[#This Row],[Customer Gender]]="M","Male", orders[[#This Row],[Customer Gender]]="F","Female", orders[[#This Row],[Customer Gender]]="O","Other", TRUE,"Unknown")</f>
        <v>Female</v>
      </c>
    </row>
    <row r="1820" spans="1:15">
      <c r="A1820" t="s">
        <v>1920</v>
      </c>
      <c r="B1820" t="s">
        <v>22</v>
      </c>
      <c r="C1820">
        <v>1</v>
      </c>
      <c r="D1820">
        <v>92</v>
      </c>
      <c r="E1820">
        <v>92</v>
      </c>
      <c r="F1820" s="1">
        <v>45724</v>
      </c>
      <c r="G1820" s="1">
        <v>45728</v>
      </c>
      <c r="H1820" t="s">
        <v>17</v>
      </c>
      <c r="I1820" t="s">
        <v>40</v>
      </c>
      <c r="J1820">
        <v>4</v>
      </c>
      <c r="K1820" t="s">
        <v>19</v>
      </c>
      <c r="L1820" t="s">
        <v>33</v>
      </c>
      <c r="M1820">
        <f>orders[[#This Row],[Ship Date]]-orders[[#This Row],[Order Date]]</f>
        <v>4</v>
      </c>
      <c r="N1820">
        <f>WEEKNUM(orders[[#This Row],[Order Date]])</f>
        <v>10</v>
      </c>
      <c r="O1820" t="str">
        <f>_xlfn.IFS(orders[[#This Row],[Customer Gender]]="M","Male", orders[[#This Row],[Customer Gender]]="F","Female", orders[[#This Row],[Customer Gender]]="O","Other", TRUE,"Unknown")</f>
        <v>Unknown</v>
      </c>
    </row>
    <row r="1821" spans="1:15">
      <c r="A1821" t="s">
        <v>1921</v>
      </c>
      <c r="B1821" t="s">
        <v>39</v>
      </c>
      <c r="C1821">
        <v>4</v>
      </c>
      <c r="D1821">
        <v>75.900000000000006</v>
      </c>
      <c r="E1821">
        <v>303.60000000000002</v>
      </c>
      <c r="F1821" s="1">
        <v>45724</v>
      </c>
      <c r="G1821" s="1">
        <v>45726</v>
      </c>
      <c r="H1821" t="s">
        <v>27</v>
      </c>
      <c r="I1821" t="s">
        <v>35</v>
      </c>
      <c r="J1821">
        <v>4</v>
      </c>
      <c r="K1821" t="s">
        <v>19</v>
      </c>
      <c r="L1821" t="s">
        <v>33</v>
      </c>
      <c r="M1821">
        <f>orders[[#This Row],[Ship Date]]-orders[[#This Row],[Order Date]]</f>
        <v>2</v>
      </c>
      <c r="N1821">
        <f>WEEKNUM(orders[[#This Row],[Order Date]])</f>
        <v>10</v>
      </c>
      <c r="O1821" t="str">
        <f>_xlfn.IFS(orders[[#This Row],[Customer Gender]]="M","Male", orders[[#This Row],[Customer Gender]]="F","Female", orders[[#This Row],[Customer Gender]]="O","Other", TRUE,"Unknown")</f>
        <v>Female</v>
      </c>
    </row>
    <row r="1822" spans="1:15">
      <c r="A1822" t="s">
        <v>1922</v>
      </c>
      <c r="B1822" t="s">
        <v>22</v>
      </c>
      <c r="C1822">
        <v>4</v>
      </c>
      <c r="D1822">
        <v>36.200000000000003</v>
      </c>
      <c r="E1822">
        <v>144.80000000000001</v>
      </c>
      <c r="F1822" s="1">
        <v>45724</v>
      </c>
      <c r="G1822" s="1">
        <v>45725</v>
      </c>
      <c r="H1822" t="s">
        <v>27</v>
      </c>
      <c r="I1822" t="s">
        <v>35</v>
      </c>
      <c r="J1822">
        <v>4</v>
      </c>
      <c r="K1822" t="s">
        <v>19</v>
      </c>
      <c r="L1822" t="s">
        <v>33</v>
      </c>
      <c r="M1822">
        <f>orders[[#This Row],[Ship Date]]-orders[[#This Row],[Order Date]]</f>
        <v>1</v>
      </c>
      <c r="N1822">
        <f>WEEKNUM(orders[[#This Row],[Order Date]])</f>
        <v>10</v>
      </c>
      <c r="O1822" t="str">
        <f>_xlfn.IFS(orders[[#This Row],[Customer Gender]]="M","Male", orders[[#This Row],[Customer Gender]]="F","Female", orders[[#This Row],[Customer Gender]]="O","Other", TRUE,"Unknown")</f>
        <v>Female</v>
      </c>
    </row>
    <row r="1823" spans="1:15">
      <c r="A1823" t="s">
        <v>1923</v>
      </c>
      <c r="B1823" t="s">
        <v>39</v>
      </c>
      <c r="C1823">
        <v>87</v>
      </c>
      <c r="D1823">
        <v>83.5</v>
      </c>
      <c r="E1823">
        <v>7264.5</v>
      </c>
      <c r="F1823" s="1">
        <v>45724</v>
      </c>
      <c r="G1823" s="1">
        <v>45726</v>
      </c>
      <c r="H1823" t="s">
        <v>17</v>
      </c>
      <c r="I1823" t="s">
        <v>51</v>
      </c>
      <c r="J1823">
        <v>4</v>
      </c>
      <c r="K1823" t="s">
        <v>19</v>
      </c>
      <c r="L1823" t="s">
        <v>33</v>
      </c>
      <c r="M1823">
        <f>orders[[#This Row],[Ship Date]]-orders[[#This Row],[Order Date]]</f>
        <v>2</v>
      </c>
      <c r="N1823">
        <f>WEEKNUM(orders[[#This Row],[Order Date]])</f>
        <v>10</v>
      </c>
      <c r="O1823" t="str">
        <f>_xlfn.IFS(orders[[#This Row],[Customer Gender]]="M","Male", orders[[#This Row],[Customer Gender]]="F","Female", orders[[#This Row],[Customer Gender]]="O","Other", TRUE,"Unknown")</f>
        <v>Unknown</v>
      </c>
    </row>
    <row r="1824" spans="1:15">
      <c r="A1824" t="s">
        <v>1924</v>
      </c>
      <c r="B1824" t="s">
        <v>171</v>
      </c>
      <c r="C1824">
        <v>12</v>
      </c>
      <c r="D1824">
        <v>52.4</v>
      </c>
      <c r="E1824">
        <v>628.79999999999995</v>
      </c>
      <c r="F1824" s="1">
        <v>45724</v>
      </c>
      <c r="G1824" s="1">
        <v>45724</v>
      </c>
      <c r="H1824" t="s">
        <v>23</v>
      </c>
      <c r="I1824" t="s">
        <v>40</v>
      </c>
      <c r="J1824">
        <v>4</v>
      </c>
      <c r="K1824" t="s">
        <v>19</v>
      </c>
      <c r="L1824" t="s">
        <v>33</v>
      </c>
      <c r="M1824">
        <f>orders[[#This Row],[Ship Date]]-orders[[#This Row],[Order Date]]</f>
        <v>0</v>
      </c>
      <c r="N1824">
        <f>WEEKNUM(orders[[#This Row],[Order Date]])</f>
        <v>10</v>
      </c>
      <c r="O1824" t="str">
        <f>_xlfn.IFS(orders[[#This Row],[Customer Gender]]="M","Male", orders[[#This Row],[Customer Gender]]="F","Female", orders[[#This Row],[Customer Gender]]="O","Other", TRUE,"Unknown")</f>
        <v>Male</v>
      </c>
    </row>
    <row r="1825" spans="1:15">
      <c r="A1825" t="s">
        <v>1925</v>
      </c>
      <c r="B1825" t="s">
        <v>69</v>
      </c>
      <c r="C1825">
        <v>3</v>
      </c>
      <c r="D1825">
        <v>69.5</v>
      </c>
      <c r="E1825">
        <v>208.5</v>
      </c>
      <c r="F1825" s="1">
        <v>45724</v>
      </c>
      <c r="G1825" s="1">
        <v>45725</v>
      </c>
      <c r="H1825" t="s">
        <v>89</v>
      </c>
      <c r="I1825" t="s">
        <v>70</v>
      </c>
      <c r="J1825">
        <v>4</v>
      </c>
      <c r="K1825" t="s">
        <v>19</v>
      </c>
      <c r="L1825" t="s">
        <v>33</v>
      </c>
      <c r="M1825">
        <f>orders[[#This Row],[Ship Date]]-orders[[#This Row],[Order Date]]</f>
        <v>1</v>
      </c>
      <c r="N1825">
        <f>WEEKNUM(orders[[#This Row],[Order Date]])</f>
        <v>10</v>
      </c>
      <c r="O1825" t="str">
        <f>_xlfn.IFS(orders[[#This Row],[Customer Gender]]="M","Male", orders[[#This Row],[Customer Gender]]="F","Female", orders[[#This Row],[Customer Gender]]="O","Other", TRUE,"Unknown")</f>
        <v>Other</v>
      </c>
    </row>
    <row r="1826" spans="1:15">
      <c r="A1826" t="s">
        <v>1926</v>
      </c>
      <c r="B1826" t="s">
        <v>16</v>
      </c>
      <c r="C1826">
        <v>1</v>
      </c>
      <c r="D1826">
        <v>15.5</v>
      </c>
      <c r="E1826">
        <v>15.5</v>
      </c>
      <c r="F1826" s="1">
        <v>45724</v>
      </c>
      <c r="G1826" s="1">
        <v>45726</v>
      </c>
      <c r="H1826" t="s">
        <v>23</v>
      </c>
      <c r="I1826" t="s">
        <v>18</v>
      </c>
      <c r="J1826">
        <v>4</v>
      </c>
      <c r="K1826" t="s">
        <v>19</v>
      </c>
      <c r="L1826" t="s">
        <v>33</v>
      </c>
      <c r="M1826">
        <f>orders[[#This Row],[Ship Date]]-orders[[#This Row],[Order Date]]</f>
        <v>2</v>
      </c>
      <c r="N1826">
        <f>WEEKNUM(orders[[#This Row],[Order Date]])</f>
        <v>10</v>
      </c>
      <c r="O1826" t="str">
        <f>_xlfn.IFS(orders[[#This Row],[Customer Gender]]="M","Male", orders[[#This Row],[Customer Gender]]="F","Female", orders[[#This Row],[Customer Gender]]="O","Other", TRUE,"Unknown")</f>
        <v>Male</v>
      </c>
    </row>
    <row r="1827" spans="1:15">
      <c r="A1827" t="s">
        <v>1927</v>
      </c>
      <c r="B1827" t="s">
        <v>32</v>
      </c>
      <c r="C1827">
        <v>4</v>
      </c>
      <c r="D1827">
        <v>35.200000000000003</v>
      </c>
      <c r="E1827">
        <v>140.80000000000001</v>
      </c>
      <c r="F1827" s="1">
        <v>45724</v>
      </c>
      <c r="G1827" s="1">
        <v>45725</v>
      </c>
      <c r="H1827" t="s">
        <v>27</v>
      </c>
      <c r="I1827" t="s">
        <v>40</v>
      </c>
      <c r="J1827">
        <v>5</v>
      </c>
      <c r="K1827" t="s">
        <v>19</v>
      </c>
      <c r="L1827" t="s">
        <v>33</v>
      </c>
      <c r="M1827">
        <f>orders[[#This Row],[Ship Date]]-orders[[#This Row],[Order Date]]</f>
        <v>1</v>
      </c>
      <c r="N1827">
        <f>WEEKNUM(orders[[#This Row],[Order Date]])</f>
        <v>10</v>
      </c>
      <c r="O1827" t="str">
        <f>_xlfn.IFS(orders[[#This Row],[Customer Gender]]="M","Male", orders[[#This Row],[Customer Gender]]="F","Female", orders[[#This Row],[Customer Gender]]="O","Other", TRUE,"Unknown")</f>
        <v>Female</v>
      </c>
    </row>
    <row r="1828" spans="1:15">
      <c r="A1828" t="s">
        <v>1928</v>
      </c>
      <c r="B1828" t="s">
        <v>44</v>
      </c>
      <c r="C1828">
        <v>6</v>
      </c>
      <c r="D1828">
        <v>34.6</v>
      </c>
      <c r="E1828">
        <v>207.60000000000002</v>
      </c>
      <c r="F1828" s="1">
        <v>45724</v>
      </c>
      <c r="G1828" s="1">
        <v>45725</v>
      </c>
      <c r="H1828" t="s">
        <v>17</v>
      </c>
      <c r="I1828" t="s">
        <v>18</v>
      </c>
      <c r="J1828">
        <v>3</v>
      </c>
      <c r="K1828" t="s">
        <v>19</v>
      </c>
      <c r="L1828" t="s">
        <v>33</v>
      </c>
      <c r="M1828">
        <f>orders[[#This Row],[Ship Date]]-orders[[#This Row],[Order Date]]</f>
        <v>1</v>
      </c>
      <c r="N1828">
        <f>WEEKNUM(orders[[#This Row],[Order Date]])</f>
        <v>10</v>
      </c>
      <c r="O1828" t="str">
        <f>_xlfn.IFS(orders[[#This Row],[Customer Gender]]="M","Male", orders[[#This Row],[Customer Gender]]="F","Female", orders[[#This Row],[Customer Gender]]="O","Other", TRUE,"Unknown")</f>
        <v>Unknown</v>
      </c>
    </row>
    <row r="1829" spans="1:15">
      <c r="A1829" t="s">
        <v>1929</v>
      </c>
      <c r="B1829" t="s">
        <v>32</v>
      </c>
      <c r="C1829">
        <v>1</v>
      </c>
      <c r="D1829">
        <v>21.3</v>
      </c>
      <c r="E1829">
        <v>21.3</v>
      </c>
      <c r="F1829" s="1">
        <v>45725</v>
      </c>
      <c r="G1829" s="1">
        <v>45726</v>
      </c>
      <c r="H1829" t="s">
        <v>23</v>
      </c>
      <c r="I1829" t="s">
        <v>40</v>
      </c>
      <c r="J1829">
        <v>3</v>
      </c>
      <c r="K1829" t="s">
        <v>19</v>
      </c>
      <c r="L1829" t="s">
        <v>33</v>
      </c>
      <c r="M1829">
        <f>orders[[#This Row],[Ship Date]]-orders[[#This Row],[Order Date]]</f>
        <v>1</v>
      </c>
      <c r="N1829">
        <f>WEEKNUM(orders[[#This Row],[Order Date]])</f>
        <v>11</v>
      </c>
      <c r="O1829" t="str">
        <f>_xlfn.IFS(orders[[#This Row],[Customer Gender]]="M","Male", orders[[#This Row],[Customer Gender]]="F","Female", orders[[#This Row],[Customer Gender]]="O","Other", TRUE,"Unknown")</f>
        <v>Male</v>
      </c>
    </row>
    <row r="1830" spans="1:15">
      <c r="A1830" t="s">
        <v>1930</v>
      </c>
      <c r="B1830" t="s">
        <v>39</v>
      </c>
      <c r="C1830">
        <v>2</v>
      </c>
      <c r="D1830">
        <v>136.5</v>
      </c>
      <c r="E1830">
        <v>273</v>
      </c>
      <c r="F1830" s="1">
        <v>45725</v>
      </c>
      <c r="G1830" s="1">
        <v>45731</v>
      </c>
      <c r="H1830" t="s">
        <v>27</v>
      </c>
      <c r="I1830" t="s">
        <v>18</v>
      </c>
      <c r="J1830">
        <v>4</v>
      </c>
      <c r="K1830" t="s">
        <v>19</v>
      </c>
      <c r="L1830" t="s">
        <v>364</v>
      </c>
      <c r="M1830">
        <f>orders[[#This Row],[Ship Date]]-orders[[#This Row],[Order Date]]</f>
        <v>6</v>
      </c>
      <c r="N1830">
        <f>WEEKNUM(orders[[#This Row],[Order Date]])</f>
        <v>11</v>
      </c>
      <c r="O1830" t="str">
        <f>_xlfn.IFS(orders[[#This Row],[Customer Gender]]="M","Male", orders[[#This Row],[Customer Gender]]="F","Female", orders[[#This Row],[Customer Gender]]="O","Other", TRUE,"Unknown")</f>
        <v>Female</v>
      </c>
    </row>
    <row r="1831" spans="1:15">
      <c r="A1831" t="s">
        <v>1931</v>
      </c>
      <c r="B1831" t="s">
        <v>46</v>
      </c>
      <c r="C1831">
        <v>7</v>
      </c>
      <c r="D1831">
        <v>30.7</v>
      </c>
      <c r="E1831">
        <v>214.9</v>
      </c>
      <c r="F1831" s="1">
        <v>45725</v>
      </c>
      <c r="G1831" s="1">
        <v>45726</v>
      </c>
      <c r="H1831" t="s">
        <v>23</v>
      </c>
      <c r="I1831" t="s">
        <v>40</v>
      </c>
      <c r="J1831">
        <v>5</v>
      </c>
      <c r="K1831" t="s">
        <v>19</v>
      </c>
      <c r="L1831" t="s">
        <v>188</v>
      </c>
      <c r="M1831">
        <f>orders[[#This Row],[Ship Date]]-orders[[#This Row],[Order Date]]</f>
        <v>1</v>
      </c>
      <c r="N1831">
        <f>WEEKNUM(orders[[#This Row],[Order Date]])</f>
        <v>11</v>
      </c>
      <c r="O1831" t="str">
        <f>_xlfn.IFS(orders[[#This Row],[Customer Gender]]="M","Male", orders[[#This Row],[Customer Gender]]="F","Female", orders[[#This Row],[Customer Gender]]="O","Other", TRUE,"Unknown")</f>
        <v>Male</v>
      </c>
    </row>
    <row r="1832" spans="1:15">
      <c r="A1832" t="s">
        <v>1932</v>
      </c>
      <c r="B1832" t="s">
        <v>22</v>
      </c>
      <c r="C1832">
        <v>2</v>
      </c>
      <c r="D1832">
        <v>61.6</v>
      </c>
      <c r="E1832">
        <v>123.2</v>
      </c>
      <c r="F1832" s="1">
        <v>45725</v>
      </c>
      <c r="G1832" s="1">
        <v>45726</v>
      </c>
      <c r="H1832" t="s">
        <v>27</v>
      </c>
      <c r="I1832" t="s">
        <v>40</v>
      </c>
      <c r="J1832">
        <v>5</v>
      </c>
      <c r="K1832" t="s">
        <v>19</v>
      </c>
      <c r="L1832" t="s">
        <v>158</v>
      </c>
      <c r="M1832">
        <f>orders[[#This Row],[Ship Date]]-orders[[#This Row],[Order Date]]</f>
        <v>1</v>
      </c>
      <c r="N1832">
        <f>WEEKNUM(orders[[#This Row],[Order Date]])</f>
        <v>11</v>
      </c>
      <c r="O1832" t="str">
        <f>_xlfn.IFS(orders[[#This Row],[Customer Gender]]="M","Male", orders[[#This Row],[Customer Gender]]="F","Female", orders[[#This Row],[Customer Gender]]="O","Other", TRUE,"Unknown")</f>
        <v>Female</v>
      </c>
    </row>
    <row r="1833" spans="1:15">
      <c r="A1833" t="s">
        <v>1933</v>
      </c>
      <c r="B1833" t="s">
        <v>39</v>
      </c>
      <c r="C1833">
        <v>4</v>
      </c>
      <c r="D1833">
        <v>54.3</v>
      </c>
      <c r="E1833">
        <v>217.2</v>
      </c>
      <c r="F1833" s="1">
        <v>45725</v>
      </c>
      <c r="G1833" s="1">
        <v>45727</v>
      </c>
      <c r="H1833" t="s">
        <v>17</v>
      </c>
      <c r="I1833" t="s">
        <v>70</v>
      </c>
      <c r="J1833">
        <v>4</v>
      </c>
      <c r="K1833" t="s">
        <v>19</v>
      </c>
      <c r="L1833" t="s">
        <v>59</v>
      </c>
      <c r="M1833">
        <f>orders[[#This Row],[Ship Date]]-orders[[#This Row],[Order Date]]</f>
        <v>2</v>
      </c>
      <c r="N1833">
        <f>WEEKNUM(orders[[#This Row],[Order Date]])</f>
        <v>11</v>
      </c>
      <c r="O1833" t="str">
        <f>_xlfn.IFS(orders[[#This Row],[Customer Gender]]="M","Male", orders[[#This Row],[Customer Gender]]="F","Female", orders[[#This Row],[Customer Gender]]="O","Other", TRUE,"Unknown")</f>
        <v>Unknown</v>
      </c>
    </row>
    <row r="1834" spans="1:15">
      <c r="A1834" t="s">
        <v>1934</v>
      </c>
      <c r="B1834" t="s">
        <v>22</v>
      </c>
      <c r="C1834">
        <v>2</v>
      </c>
      <c r="D1834">
        <v>44.1</v>
      </c>
      <c r="E1834">
        <v>88.2</v>
      </c>
      <c r="F1834" s="1">
        <v>45725</v>
      </c>
      <c r="G1834" s="1">
        <v>45737</v>
      </c>
      <c r="H1834" t="s">
        <v>27</v>
      </c>
      <c r="I1834" t="s">
        <v>18</v>
      </c>
      <c r="J1834">
        <v>5</v>
      </c>
      <c r="K1834" t="s">
        <v>19</v>
      </c>
      <c r="L1834" t="s">
        <v>62</v>
      </c>
      <c r="M1834">
        <f>orders[[#This Row],[Ship Date]]-orders[[#This Row],[Order Date]]</f>
        <v>12</v>
      </c>
      <c r="N1834">
        <f>WEEKNUM(orders[[#This Row],[Order Date]])</f>
        <v>11</v>
      </c>
      <c r="O1834" t="str">
        <f>_xlfn.IFS(orders[[#This Row],[Customer Gender]]="M","Male", orders[[#This Row],[Customer Gender]]="F","Female", orders[[#This Row],[Customer Gender]]="O","Other", TRUE,"Unknown")</f>
        <v>Female</v>
      </c>
    </row>
    <row r="1835" spans="1:15">
      <c r="A1835" t="s">
        <v>1935</v>
      </c>
      <c r="B1835" t="s">
        <v>44</v>
      </c>
      <c r="C1835">
        <v>4</v>
      </c>
      <c r="D1835">
        <v>43.5</v>
      </c>
      <c r="E1835">
        <v>174</v>
      </c>
      <c r="F1835" s="1">
        <v>45725</v>
      </c>
      <c r="G1835" s="1">
        <v>45731</v>
      </c>
      <c r="H1835" t="s">
        <v>23</v>
      </c>
      <c r="I1835" t="s">
        <v>51</v>
      </c>
      <c r="J1835">
        <v>4</v>
      </c>
      <c r="K1835" t="s">
        <v>19</v>
      </c>
      <c r="L1835" t="s">
        <v>62</v>
      </c>
      <c r="M1835">
        <f>orders[[#This Row],[Ship Date]]-orders[[#This Row],[Order Date]]</f>
        <v>6</v>
      </c>
      <c r="N1835">
        <f>WEEKNUM(orders[[#This Row],[Order Date]])</f>
        <v>11</v>
      </c>
      <c r="O1835" t="str">
        <f>_xlfn.IFS(orders[[#This Row],[Customer Gender]]="M","Male", orders[[#This Row],[Customer Gender]]="F","Female", orders[[#This Row],[Customer Gender]]="O","Other", TRUE,"Unknown")</f>
        <v>Male</v>
      </c>
    </row>
    <row r="1836" spans="1:15">
      <c r="A1836" t="s">
        <v>1936</v>
      </c>
      <c r="B1836" t="s">
        <v>44</v>
      </c>
      <c r="C1836">
        <v>3</v>
      </c>
      <c r="D1836">
        <v>48.2</v>
      </c>
      <c r="E1836">
        <v>144.60000000000002</v>
      </c>
      <c r="F1836" s="1">
        <v>45725</v>
      </c>
      <c r="G1836" s="1">
        <v>45729</v>
      </c>
      <c r="H1836" t="s">
        <v>23</v>
      </c>
      <c r="I1836" t="s">
        <v>51</v>
      </c>
      <c r="J1836">
        <v>3</v>
      </c>
      <c r="K1836" t="s">
        <v>19</v>
      </c>
      <c r="L1836" t="s">
        <v>62</v>
      </c>
      <c r="M1836">
        <f>orders[[#This Row],[Ship Date]]-orders[[#This Row],[Order Date]]</f>
        <v>4</v>
      </c>
      <c r="N1836">
        <f>WEEKNUM(orders[[#This Row],[Order Date]])</f>
        <v>11</v>
      </c>
      <c r="O1836" t="str">
        <f>_xlfn.IFS(orders[[#This Row],[Customer Gender]]="M","Male", orders[[#This Row],[Customer Gender]]="F","Female", orders[[#This Row],[Customer Gender]]="O","Other", TRUE,"Unknown")</f>
        <v>Male</v>
      </c>
    </row>
    <row r="1837" spans="1:15">
      <c r="A1837" t="s">
        <v>1937</v>
      </c>
      <c r="B1837" t="s">
        <v>171</v>
      </c>
      <c r="C1837">
        <v>1</v>
      </c>
      <c r="D1837">
        <v>13.7</v>
      </c>
      <c r="E1837">
        <v>13.7</v>
      </c>
      <c r="F1837" s="1">
        <v>45725</v>
      </c>
      <c r="G1837" s="1">
        <v>45726</v>
      </c>
      <c r="H1837" t="s">
        <v>27</v>
      </c>
      <c r="I1837" t="s">
        <v>40</v>
      </c>
      <c r="J1837">
        <v>5</v>
      </c>
      <c r="K1837" t="s">
        <v>19</v>
      </c>
      <c r="L1837" t="s">
        <v>62</v>
      </c>
      <c r="M1837">
        <f>orders[[#This Row],[Ship Date]]-orders[[#This Row],[Order Date]]</f>
        <v>1</v>
      </c>
      <c r="N1837">
        <f>WEEKNUM(orders[[#This Row],[Order Date]])</f>
        <v>11</v>
      </c>
      <c r="O1837" t="str">
        <f>_xlfn.IFS(orders[[#This Row],[Customer Gender]]="M","Male", orders[[#This Row],[Customer Gender]]="F","Female", orders[[#This Row],[Customer Gender]]="O","Other", TRUE,"Unknown")</f>
        <v>Female</v>
      </c>
    </row>
    <row r="1838" spans="1:15">
      <c r="A1838" t="s">
        <v>1938</v>
      </c>
      <c r="B1838" t="s">
        <v>26</v>
      </c>
      <c r="C1838">
        <v>2</v>
      </c>
      <c r="D1838">
        <v>110.5</v>
      </c>
      <c r="E1838">
        <v>221</v>
      </c>
      <c r="F1838" s="1">
        <v>45725</v>
      </c>
      <c r="G1838" s="1">
        <v>45726</v>
      </c>
      <c r="H1838" t="s">
        <v>27</v>
      </c>
      <c r="I1838" t="s">
        <v>18</v>
      </c>
      <c r="J1838">
        <v>3</v>
      </c>
      <c r="K1838" t="s">
        <v>19</v>
      </c>
      <c r="L1838" t="s">
        <v>62</v>
      </c>
      <c r="M1838">
        <f>orders[[#This Row],[Ship Date]]-orders[[#This Row],[Order Date]]</f>
        <v>1</v>
      </c>
      <c r="N1838">
        <f>WEEKNUM(orders[[#This Row],[Order Date]])</f>
        <v>11</v>
      </c>
      <c r="O1838" t="str">
        <f>_xlfn.IFS(orders[[#This Row],[Customer Gender]]="M","Male", orders[[#This Row],[Customer Gender]]="F","Female", orders[[#This Row],[Customer Gender]]="O","Other", TRUE,"Unknown")</f>
        <v>Female</v>
      </c>
    </row>
    <row r="1839" spans="1:15">
      <c r="A1839" t="s">
        <v>1939</v>
      </c>
      <c r="B1839" t="s">
        <v>44</v>
      </c>
      <c r="C1839">
        <v>3</v>
      </c>
      <c r="D1839">
        <v>26</v>
      </c>
      <c r="E1839">
        <v>78</v>
      </c>
      <c r="F1839" s="1">
        <v>45725</v>
      </c>
      <c r="G1839" s="1">
        <v>45730</v>
      </c>
      <c r="H1839" t="s">
        <v>27</v>
      </c>
      <c r="I1839" t="s">
        <v>35</v>
      </c>
      <c r="J1839">
        <v>3</v>
      </c>
      <c r="K1839" t="s">
        <v>19</v>
      </c>
      <c r="L1839" t="s">
        <v>62</v>
      </c>
      <c r="M1839">
        <f>orders[[#This Row],[Ship Date]]-orders[[#This Row],[Order Date]]</f>
        <v>5</v>
      </c>
      <c r="N1839">
        <f>WEEKNUM(orders[[#This Row],[Order Date]])</f>
        <v>11</v>
      </c>
      <c r="O1839" t="str">
        <f>_xlfn.IFS(orders[[#This Row],[Customer Gender]]="M","Male", orders[[#This Row],[Customer Gender]]="F","Female", orders[[#This Row],[Customer Gender]]="O","Other", TRUE,"Unknown")</f>
        <v>Female</v>
      </c>
    </row>
    <row r="1840" spans="1:15">
      <c r="A1840" t="s">
        <v>1940</v>
      </c>
      <c r="B1840" t="s">
        <v>26</v>
      </c>
      <c r="C1840">
        <v>10</v>
      </c>
      <c r="D1840">
        <v>140.69999999999999</v>
      </c>
      <c r="E1840">
        <v>1407</v>
      </c>
      <c r="F1840" s="1">
        <v>45725</v>
      </c>
      <c r="G1840" s="1">
        <v>45731</v>
      </c>
      <c r="H1840" t="s">
        <v>23</v>
      </c>
      <c r="I1840" t="s">
        <v>51</v>
      </c>
      <c r="J1840">
        <v>3</v>
      </c>
      <c r="K1840" t="s">
        <v>19</v>
      </c>
      <c r="L1840" t="s">
        <v>62</v>
      </c>
      <c r="M1840">
        <f>orders[[#This Row],[Ship Date]]-orders[[#This Row],[Order Date]]</f>
        <v>6</v>
      </c>
      <c r="N1840">
        <f>WEEKNUM(orders[[#This Row],[Order Date]])</f>
        <v>11</v>
      </c>
      <c r="O1840" t="str">
        <f>_xlfn.IFS(orders[[#This Row],[Customer Gender]]="M","Male", orders[[#This Row],[Customer Gender]]="F","Female", orders[[#This Row],[Customer Gender]]="O","Other", TRUE,"Unknown")</f>
        <v>Male</v>
      </c>
    </row>
    <row r="1841" spans="1:15">
      <c r="A1841" t="s">
        <v>1941</v>
      </c>
      <c r="B1841" t="s">
        <v>135</v>
      </c>
      <c r="C1841">
        <v>2</v>
      </c>
      <c r="D1841">
        <v>41.7</v>
      </c>
      <c r="E1841">
        <v>83.4</v>
      </c>
      <c r="F1841" s="1">
        <v>45725</v>
      </c>
      <c r="G1841" s="1">
        <v>45733</v>
      </c>
      <c r="H1841" t="s">
        <v>27</v>
      </c>
      <c r="I1841" t="s">
        <v>18</v>
      </c>
      <c r="J1841">
        <v>2</v>
      </c>
      <c r="K1841" t="s">
        <v>19</v>
      </c>
      <c r="L1841" t="s">
        <v>62</v>
      </c>
      <c r="M1841">
        <f>orders[[#This Row],[Ship Date]]-orders[[#This Row],[Order Date]]</f>
        <v>8</v>
      </c>
      <c r="N1841">
        <f>WEEKNUM(orders[[#This Row],[Order Date]])</f>
        <v>11</v>
      </c>
      <c r="O1841" t="str">
        <f>_xlfn.IFS(orders[[#This Row],[Customer Gender]]="M","Male", orders[[#This Row],[Customer Gender]]="F","Female", orders[[#This Row],[Customer Gender]]="O","Other", TRUE,"Unknown")</f>
        <v>Female</v>
      </c>
    </row>
    <row r="1842" spans="1:15">
      <c r="A1842" t="s">
        <v>1942</v>
      </c>
      <c r="B1842" t="s">
        <v>26</v>
      </c>
      <c r="C1842">
        <v>2</v>
      </c>
      <c r="D1842">
        <v>135.1</v>
      </c>
      <c r="E1842">
        <v>270.2</v>
      </c>
      <c r="F1842" s="1">
        <v>45725</v>
      </c>
      <c r="G1842" s="1">
        <v>45726</v>
      </c>
      <c r="H1842" t="s">
        <v>23</v>
      </c>
      <c r="I1842" t="s">
        <v>18</v>
      </c>
      <c r="J1842">
        <v>5</v>
      </c>
      <c r="K1842" t="s">
        <v>19</v>
      </c>
      <c r="L1842" t="s">
        <v>103</v>
      </c>
      <c r="M1842">
        <f>orders[[#This Row],[Ship Date]]-orders[[#This Row],[Order Date]]</f>
        <v>1</v>
      </c>
      <c r="N1842">
        <f>WEEKNUM(orders[[#This Row],[Order Date]])</f>
        <v>11</v>
      </c>
      <c r="O1842" t="str">
        <f>_xlfn.IFS(orders[[#This Row],[Customer Gender]]="M","Male", orders[[#This Row],[Customer Gender]]="F","Female", orders[[#This Row],[Customer Gender]]="O","Other", TRUE,"Unknown")</f>
        <v>Male</v>
      </c>
    </row>
    <row r="1843" spans="1:15">
      <c r="A1843" t="s">
        <v>1943</v>
      </c>
      <c r="B1843" t="s">
        <v>69</v>
      </c>
      <c r="C1843">
        <v>22</v>
      </c>
      <c r="D1843">
        <v>95.5</v>
      </c>
      <c r="E1843">
        <v>2101</v>
      </c>
      <c r="F1843" s="1">
        <v>45725</v>
      </c>
      <c r="G1843" s="1">
        <v>45726</v>
      </c>
      <c r="H1843" t="s">
        <v>27</v>
      </c>
      <c r="I1843" t="s">
        <v>70</v>
      </c>
      <c r="J1843">
        <v>2</v>
      </c>
      <c r="K1843" t="s">
        <v>19</v>
      </c>
      <c r="L1843" t="s">
        <v>201</v>
      </c>
      <c r="M1843">
        <f>orders[[#This Row],[Ship Date]]-orders[[#This Row],[Order Date]]</f>
        <v>1</v>
      </c>
      <c r="N1843">
        <f>WEEKNUM(orders[[#This Row],[Order Date]])</f>
        <v>11</v>
      </c>
      <c r="O1843" t="str">
        <f>_xlfn.IFS(orders[[#This Row],[Customer Gender]]="M","Male", orders[[#This Row],[Customer Gender]]="F","Female", orders[[#This Row],[Customer Gender]]="O","Other", TRUE,"Unknown")</f>
        <v>Female</v>
      </c>
    </row>
    <row r="1844" spans="1:15">
      <c r="A1844" t="s">
        <v>1944</v>
      </c>
      <c r="B1844" t="s">
        <v>123</v>
      </c>
      <c r="C1844">
        <v>1</v>
      </c>
      <c r="D1844">
        <v>25.5</v>
      </c>
      <c r="E1844">
        <v>25.5</v>
      </c>
      <c r="F1844" s="1">
        <v>45725</v>
      </c>
      <c r="G1844" s="1">
        <v>45728</v>
      </c>
      <c r="H1844" t="s">
        <v>17</v>
      </c>
      <c r="I1844" t="s">
        <v>40</v>
      </c>
      <c r="J1844">
        <v>5</v>
      </c>
      <c r="K1844" t="s">
        <v>19</v>
      </c>
      <c r="L1844" t="s">
        <v>77</v>
      </c>
      <c r="M1844">
        <f>orders[[#This Row],[Ship Date]]-orders[[#This Row],[Order Date]]</f>
        <v>3</v>
      </c>
      <c r="N1844">
        <f>WEEKNUM(orders[[#This Row],[Order Date]])</f>
        <v>11</v>
      </c>
      <c r="O1844" t="str">
        <f>_xlfn.IFS(orders[[#This Row],[Customer Gender]]="M","Male", orders[[#This Row],[Customer Gender]]="F","Female", orders[[#This Row],[Customer Gender]]="O","Other", TRUE,"Unknown")</f>
        <v>Unknown</v>
      </c>
    </row>
    <row r="1845" spans="1:15">
      <c r="A1845" t="s">
        <v>1945</v>
      </c>
      <c r="B1845" t="s">
        <v>22</v>
      </c>
      <c r="C1845">
        <v>1</v>
      </c>
      <c r="D1845">
        <v>42.6</v>
      </c>
      <c r="E1845">
        <v>42.6</v>
      </c>
      <c r="F1845" s="1">
        <v>45725</v>
      </c>
      <c r="G1845" s="1">
        <v>45729</v>
      </c>
      <c r="H1845" t="s">
        <v>27</v>
      </c>
      <c r="I1845" t="s">
        <v>18</v>
      </c>
      <c r="J1845">
        <v>4</v>
      </c>
      <c r="K1845" t="s">
        <v>19</v>
      </c>
      <c r="L1845" t="s">
        <v>77</v>
      </c>
      <c r="M1845">
        <f>orders[[#This Row],[Ship Date]]-orders[[#This Row],[Order Date]]</f>
        <v>4</v>
      </c>
      <c r="N1845">
        <f>WEEKNUM(orders[[#This Row],[Order Date]])</f>
        <v>11</v>
      </c>
      <c r="O1845" t="str">
        <f>_xlfn.IFS(orders[[#This Row],[Customer Gender]]="M","Male", orders[[#This Row],[Customer Gender]]="F","Female", orders[[#This Row],[Customer Gender]]="O","Other", TRUE,"Unknown")</f>
        <v>Female</v>
      </c>
    </row>
    <row r="1846" spans="1:15">
      <c r="A1846" t="s">
        <v>1946</v>
      </c>
      <c r="B1846" t="s">
        <v>44</v>
      </c>
      <c r="C1846">
        <v>15</v>
      </c>
      <c r="D1846">
        <v>32.4</v>
      </c>
      <c r="E1846">
        <v>486</v>
      </c>
      <c r="F1846" s="1">
        <v>45725</v>
      </c>
      <c r="G1846" s="1">
        <v>45726</v>
      </c>
      <c r="H1846" t="s">
        <v>23</v>
      </c>
      <c r="I1846" t="s">
        <v>35</v>
      </c>
      <c r="J1846">
        <v>3</v>
      </c>
      <c r="K1846" t="s">
        <v>19</v>
      </c>
      <c r="L1846" t="s">
        <v>77</v>
      </c>
      <c r="M1846">
        <f>orders[[#This Row],[Ship Date]]-orders[[#This Row],[Order Date]]</f>
        <v>1</v>
      </c>
      <c r="N1846">
        <f>WEEKNUM(orders[[#This Row],[Order Date]])</f>
        <v>11</v>
      </c>
      <c r="O1846" t="str">
        <f>_xlfn.IFS(orders[[#This Row],[Customer Gender]]="M","Male", orders[[#This Row],[Customer Gender]]="F","Female", orders[[#This Row],[Customer Gender]]="O","Other", TRUE,"Unknown")</f>
        <v>Male</v>
      </c>
    </row>
    <row r="1847" spans="1:15">
      <c r="A1847" t="s">
        <v>1947</v>
      </c>
      <c r="B1847" t="s">
        <v>32</v>
      </c>
      <c r="C1847">
        <v>4</v>
      </c>
      <c r="D1847">
        <v>20.2</v>
      </c>
      <c r="E1847">
        <v>80.8</v>
      </c>
      <c r="F1847" s="1">
        <v>45725</v>
      </c>
      <c r="G1847" s="1">
        <v>45726</v>
      </c>
      <c r="H1847" t="s">
        <v>89</v>
      </c>
      <c r="I1847" t="s">
        <v>40</v>
      </c>
      <c r="J1847">
        <v>4</v>
      </c>
      <c r="K1847" t="s">
        <v>19</v>
      </c>
      <c r="L1847" t="s">
        <v>77</v>
      </c>
      <c r="M1847">
        <f>orders[[#This Row],[Ship Date]]-orders[[#This Row],[Order Date]]</f>
        <v>1</v>
      </c>
      <c r="N1847">
        <f>WEEKNUM(orders[[#This Row],[Order Date]])</f>
        <v>11</v>
      </c>
      <c r="O1847" t="str">
        <f>_xlfn.IFS(orders[[#This Row],[Customer Gender]]="M","Male", orders[[#This Row],[Customer Gender]]="F","Female", orders[[#This Row],[Customer Gender]]="O","Other", TRUE,"Unknown")</f>
        <v>Other</v>
      </c>
    </row>
    <row r="1848" spans="1:15">
      <c r="A1848" t="s">
        <v>1948</v>
      </c>
      <c r="B1848" t="s">
        <v>128</v>
      </c>
      <c r="C1848">
        <v>3</v>
      </c>
      <c r="D1848">
        <v>52.5</v>
      </c>
      <c r="E1848">
        <v>157.5</v>
      </c>
      <c r="F1848" s="1">
        <v>45725</v>
      </c>
      <c r="G1848" s="1">
        <v>45730</v>
      </c>
      <c r="H1848" t="s">
        <v>27</v>
      </c>
      <c r="I1848" t="s">
        <v>70</v>
      </c>
      <c r="J1848">
        <v>4</v>
      </c>
      <c r="K1848" t="s">
        <v>19</v>
      </c>
      <c r="L1848" t="s">
        <v>108</v>
      </c>
      <c r="M1848">
        <f>orders[[#This Row],[Ship Date]]-orders[[#This Row],[Order Date]]</f>
        <v>5</v>
      </c>
      <c r="N1848">
        <f>WEEKNUM(orders[[#This Row],[Order Date]])</f>
        <v>11</v>
      </c>
      <c r="O1848" t="str">
        <f>_xlfn.IFS(orders[[#This Row],[Customer Gender]]="M","Male", orders[[#This Row],[Customer Gender]]="F","Female", orders[[#This Row],[Customer Gender]]="O","Other", TRUE,"Unknown")</f>
        <v>Female</v>
      </c>
    </row>
    <row r="1849" spans="1:15">
      <c r="A1849" t="s">
        <v>1949</v>
      </c>
      <c r="B1849" t="s">
        <v>26</v>
      </c>
      <c r="C1849">
        <v>5</v>
      </c>
      <c r="D1849">
        <v>59.9</v>
      </c>
      <c r="E1849">
        <v>299.5</v>
      </c>
      <c r="F1849" s="1">
        <v>45725</v>
      </c>
      <c r="G1849" s="1">
        <v>45727</v>
      </c>
      <c r="H1849" t="s">
        <v>27</v>
      </c>
      <c r="I1849" t="s">
        <v>40</v>
      </c>
      <c r="J1849">
        <v>4</v>
      </c>
      <c r="K1849" t="s">
        <v>19</v>
      </c>
      <c r="L1849" t="s">
        <v>110</v>
      </c>
      <c r="M1849">
        <f>orders[[#This Row],[Ship Date]]-orders[[#This Row],[Order Date]]</f>
        <v>2</v>
      </c>
      <c r="N1849">
        <f>WEEKNUM(orders[[#This Row],[Order Date]])</f>
        <v>11</v>
      </c>
      <c r="O1849" t="str">
        <f>_xlfn.IFS(orders[[#This Row],[Customer Gender]]="M","Male", orders[[#This Row],[Customer Gender]]="F","Female", orders[[#This Row],[Customer Gender]]="O","Other", TRUE,"Unknown")</f>
        <v>Female</v>
      </c>
    </row>
    <row r="1850" spans="1:15">
      <c r="A1850" t="s">
        <v>1950</v>
      </c>
      <c r="B1850" t="s">
        <v>32</v>
      </c>
      <c r="C1850">
        <v>2</v>
      </c>
      <c r="D1850">
        <v>53.2</v>
      </c>
      <c r="E1850">
        <v>106.4</v>
      </c>
      <c r="F1850" s="1">
        <v>45725</v>
      </c>
      <c r="G1850" s="1">
        <v>45726</v>
      </c>
      <c r="H1850" t="s">
        <v>27</v>
      </c>
      <c r="I1850" t="s">
        <v>35</v>
      </c>
      <c r="J1850">
        <v>1</v>
      </c>
      <c r="K1850" t="s">
        <v>19</v>
      </c>
      <c r="L1850" t="s">
        <v>113</v>
      </c>
      <c r="M1850">
        <f>orders[[#This Row],[Ship Date]]-orders[[#This Row],[Order Date]]</f>
        <v>1</v>
      </c>
      <c r="N1850">
        <f>WEEKNUM(orders[[#This Row],[Order Date]])</f>
        <v>11</v>
      </c>
      <c r="O1850" t="str">
        <f>_xlfn.IFS(orders[[#This Row],[Customer Gender]]="M","Male", orders[[#This Row],[Customer Gender]]="F","Female", orders[[#This Row],[Customer Gender]]="O","Other", TRUE,"Unknown")</f>
        <v>Female</v>
      </c>
    </row>
    <row r="1851" spans="1:15">
      <c r="A1851" t="s">
        <v>1951</v>
      </c>
      <c r="B1851" t="s">
        <v>26</v>
      </c>
      <c r="C1851">
        <v>2</v>
      </c>
      <c r="D1851">
        <v>60</v>
      </c>
      <c r="E1851">
        <v>120</v>
      </c>
      <c r="F1851" s="1">
        <v>45725</v>
      </c>
      <c r="G1851" s="1">
        <v>45731</v>
      </c>
      <c r="H1851" t="s">
        <v>23</v>
      </c>
      <c r="I1851" t="s">
        <v>35</v>
      </c>
      <c r="J1851">
        <v>5</v>
      </c>
      <c r="K1851" t="s">
        <v>19</v>
      </c>
      <c r="L1851" t="s">
        <v>113</v>
      </c>
      <c r="M1851">
        <f>orders[[#This Row],[Ship Date]]-orders[[#This Row],[Order Date]]</f>
        <v>6</v>
      </c>
      <c r="N1851">
        <f>WEEKNUM(orders[[#This Row],[Order Date]])</f>
        <v>11</v>
      </c>
      <c r="O1851" t="str">
        <f>_xlfn.IFS(orders[[#This Row],[Customer Gender]]="M","Male", orders[[#This Row],[Customer Gender]]="F","Female", orders[[#This Row],[Customer Gender]]="O","Other", TRUE,"Unknown")</f>
        <v>Male</v>
      </c>
    </row>
    <row r="1852" spans="1:15">
      <c r="A1852" t="s">
        <v>1952</v>
      </c>
      <c r="B1852" t="s">
        <v>44</v>
      </c>
      <c r="C1852">
        <v>3</v>
      </c>
      <c r="D1852">
        <v>29.3</v>
      </c>
      <c r="E1852">
        <v>87.9</v>
      </c>
      <c r="F1852" s="1">
        <v>45725</v>
      </c>
      <c r="G1852" s="1">
        <v>45726</v>
      </c>
      <c r="H1852" t="s">
        <v>27</v>
      </c>
      <c r="I1852" t="s">
        <v>70</v>
      </c>
      <c r="J1852">
        <v>4</v>
      </c>
      <c r="K1852" t="s">
        <v>19</v>
      </c>
      <c r="L1852" t="s">
        <v>82</v>
      </c>
      <c r="M1852">
        <f>orders[[#This Row],[Ship Date]]-orders[[#This Row],[Order Date]]</f>
        <v>1</v>
      </c>
      <c r="N1852">
        <f>WEEKNUM(orders[[#This Row],[Order Date]])</f>
        <v>11</v>
      </c>
      <c r="O1852" t="str">
        <f>_xlfn.IFS(orders[[#This Row],[Customer Gender]]="M","Male", orders[[#This Row],[Customer Gender]]="F","Female", orders[[#This Row],[Customer Gender]]="O","Other", TRUE,"Unknown")</f>
        <v>Female</v>
      </c>
    </row>
    <row r="1853" spans="1:15">
      <c r="A1853" t="s">
        <v>1953</v>
      </c>
      <c r="B1853" t="s">
        <v>69</v>
      </c>
      <c r="C1853">
        <v>2</v>
      </c>
      <c r="D1853">
        <v>55.4</v>
      </c>
      <c r="E1853">
        <v>110.8</v>
      </c>
      <c r="F1853" s="1">
        <v>45725</v>
      </c>
      <c r="G1853" s="1">
        <v>45726</v>
      </c>
      <c r="H1853" t="s">
        <v>27</v>
      </c>
      <c r="I1853" t="s">
        <v>18</v>
      </c>
      <c r="J1853">
        <v>5</v>
      </c>
      <c r="K1853" t="s">
        <v>19</v>
      </c>
      <c r="L1853" t="s">
        <v>115</v>
      </c>
      <c r="M1853">
        <f>orders[[#This Row],[Ship Date]]-orders[[#This Row],[Order Date]]</f>
        <v>1</v>
      </c>
      <c r="N1853">
        <f>WEEKNUM(orders[[#This Row],[Order Date]])</f>
        <v>11</v>
      </c>
      <c r="O1853" t="str">
        <f>_xlfn.IFS(orders[[#This Row],[Customer Gender]]="M","Male", orders[[#This Row],[Customer Gender]]="F","Female", orders[[#This Row],[Customer Gender]]="O","Other", TRUE,"Unknown")</f>
        <v>Female</v>
      </c>
    </row>
    <row r="1854" spans="1:15">
      <c r="A1854" t="s">
        <v>1954</v>
      </c>
      <c r="B1854" t="s">
        <v>16</v>
      </c>
      <c r="C1854">
        <v>5</v>
      </c>
      <c r="D1854">
        <v>20.100000000000001</v>
      </c>
      <c r="E1854">
        <v>100.5</v>
      </c>
      <c r="F1854" s="1">
        <v>45725</v>
      </c>
      <c r="G1854" s="1">
        <v>45727</v>
      </c>
      <c r="H1854" t="s">
        <v>27</v>
      </c>
      <c r="I1854" t="s">
        <v>35</v>
      </c>
      <c r="J1854">
        <v>5</v>
      </c>
      <c r="K1854" t="s">
        <v>19</v>
      </c>
      <c r="L1854" t="s">
        <v>115</v>
      </c>
      <c r="M1854">
        <f>orders[[#This Row],[Ship Date]]-orders[[#This Row],[Order Date]]</f>
        <v>2</v>
      </c>
      <c r="N1854">
        <f>WEEKNUM(orders[[#This Row],[Order Date]])</f>
        <v>11</v>
      </c>
      <c r="O1854" t="str">
        <f>_xlfn.IFS(orders[[#This Row],[Customer Gender]]="M","Male", orders[[#This Row],[Customer Gender]]="F","Female", orders[[#This Row],[Customer Gender]]="O","Other", TRUE,"Unknown")</f>
        <v>Female</v>
      </c>
    </row>
    <row r="1855" spans="1:15">
      <c r="A1855" t="s">
        <v>1955</v>
      </c>
      <c r="B1855" t="s">
        <v>81</v>
      </c>
      <c r="C1855">
        <v>5</v>
      </c>
      <c r="D1855">
        <v>24</v>
      </c>
      <c r="E1855">
        <v>120</v>
      </c>
      <c r="F1855" s="1">
        <v>45725</v>
      </c>
      <c r="G1855" s="1">
        <v>45728</v>
      </c>
      <c r="H1855" t="s">
        <v>23</v>
      </c>
      <c r="I1855" t="s">
        <v>40</v>
      </c>
      <c r="J1855">
        <v>4</v>
      </c>
      <c r="K1855" t="s">
        <v>19</v>
      </c>
      <c r="L1855" t="s">
        <v>24</v>
      </c>
      <c r="M1855">
        <f>orders[[#This Row],[Ship Date]]-orders[[#This Row],[Order Date]]</f>
        <v>3</v>
      </c>
      <c r="N1855">
        <f>WEEKNUM(orders[[#This Row],[Order Date]])</f>
        <v>11</v>
      </c>
      <c r="O1855" t="str">
        <f>_xlfn.IFS(orders[[#This Row],[Customer Gender]]="M","Male", orders[[#This Row],[Customer Gender]]="F","Female", orders[[#This Row],[Customer Gender]]="O","Other", TRUE,"Unknown")</f>
        <v>Male</v>
      </c>
    </row>
    <row r="1856" spans="1:15">
      <c r="A1856" t="s">
        <v>1956</v>
      </c>
      <c r="B1856" t="s">
        <v>44</v>
      </c>
      <c r="C1856">
        <v>2</v>
      </c>
      <c r="D1856">
        <v>30.6</v>
      </c>
      <c r="E1856">
        <v>61.2</v>
      </c>
      <c r="F1856" s="1">
        <v>45726</v>
      </c>
      <c r="G1856" s="1">
        <v>45728</v>
      </c>
      <c r="H1856" t="s">
        <v>27</v>
      </c>
      <c r="I1856" t="s">
        <v>18</v>
      </c>
      <c r="J1856">
        <v>4</v>
      </c>
      <c r="K1856" t="s">
        <v>19</v>
      </c>
      <c r="L1856" t="s">
        <v>24</v>
      </c>
      <c r="M1856">
        <f>orders[[#This Row],[Ship Date]]-orders[[#This Row],[Order Date]]</f>
        <v>2</v>
      </c>
      <c r="N1856">
        <f>WEEKNUM(orders[[#This Row],[Order Date]])</f>
        <v>11</v>
      </c>
      <c r="O1856" t="str">
        <f>_xlfn.IFS(orders[[#This Row],[Customer Gender]]="M","Male", orders[[#This Row],[Customer Gender]]="F","Female", orders[[#This Row],[Customer Gender]]="O","Other", TRUE,"Unknown")</f>
        <v>Female</v>
      </c>
    </row>
    <row r="1857" spans="1:15">
      <c r="A1857" t="s">
        <v>1957</v>
      </c>
      <c r="B1857" t="s">
        <v>54</v>
      </c>
      <c r="C1857">
        <v>5</v>
      </c>
      <c r="D1857">
        <v>33</v>
      </c>
      <c r="E1857">
        <v>165</v>
      </c>
      <c r="F1857" s="1">
        <v>45726</v>
      </c>
      <c r="G1857" s="1">
        <v>45727</v>
      </c>
      <c r="H1857" t="s">
        <v>23</v>
      </c>
      <c r="I1857" t="s">
        <v>35</v>
      </c>
      <c r="J1857">
        <v>3</v>
      </c>
      <c r="K1857" t="s">
        <v>19</v>
      </c>
      <c r="L1857" t="s">
        <v>208</v>
      </c>
      <c r="M1857">
        <f>orders[[#This Row],[Ship Date]]-orders[[#This Row],[Order Date]]</f>
        <v>1</v>
      </c>
      <c r="N1857">
        <f>WEEKNUM(orders[[#This Row],[Order Date]])</f>
        <v>11</v>
      </c>
      <c r="O1857" t="str">
        <f>_xlfn.IFS(orders[[#This Row],[Customer Gender]]="M","Male", orders[[#This Row],[Customer Gender]]="F","Female", orders[[#This Row],[Customer Gender]]="O","Other", TRUE,"Unknown")</f>
        <v>Male</v>
      </c>
    </row>
    <row r="1858" spans="1:15">
      <c r="A1858" t="s">
        <v>1958</v>
      </c>
      <c r="B1858" t="s">
        <v>135</v>
      </c>
      <c r="C1858">
        <v>9</v>
      </c>
      <c r="D1858">
        <v>42.1</v>
      </c>
      <c r="E1858">
        <v>378.90000000000003</v>
      </c>
      <c r="F1858" s="1">
        <v>45726</v>
      </c>
      <c r="G1858" s="1">
        <v>45732</v>
      </c>
      <c r="H1858" t="s">
        <v>27</v>
      </c>
      <c r="I1858" t="s">
        <v>40</v>
      </c>
      <c r="J1858">
        <v>4</v>
      </c>
      <c r="K1858" t="s">
        <v>19</v>
      </c>
      <c r="L1858" t="s">
        <v>587</v>
      </c>
      <c r="M1858">
        <f>orders[[#This Row],[Ship Date]]-orders[[#This Row],[Order Date]]</f>
        <v>6</v>
      </c>
      <c r="N1858">
        <f>WEEKNUM(orders[[#This Row],[Order Date]])</f>
        <v>11</v>
      </c>
      <c r="O1858" t="str">
        <f>_xlfn.IFS(orders[[#This Row],[Customer Gender]]="M","Male", orders[[#This Row],[Customer Gender]]="F","Female", orders[[#This Row],[Customer Gender]]="O","Other", TRUE,"Unknown")</f>
        <v>Female</v>
      </c>
    </row>
    <row r="1859" spans="1:15">
      <c r="A1859" t="s">
        <v>1959</v>
      </c>
      <c r="B1859" t="s">
        <v>39</v>
      </c>
      <c r="C1859">
        <v>7</v>
      </c>
      <c r="D1859">
        <v>77.7</v>
      </c>
      <c r="E1859">
        <v>543.9</v>
      </c>
      <c r="F1859" s="1">
        <v>45726</v>
      </c>
      <c r="G1859" s="1">
        <v>45731</v>
      </c>
      <c r="H1859" t="s">
        <v>27</v>
      </c>
      <c r="I1859" t="s">
        <v>35</v>
      </c>
      <c r="J1859">
        <v>5</v>
      </c>
      <c r="K1859" t="s">
        <v>19</v>
      </c>
      <c r="L1859" t="s">
        <v>949</v>
      </c>
      <c r="M1859">
        <f>orders[[#This Row],[Ship Date]]-orders[[#This Row],[Order Date]]</f>
        <v>5</v>
      </c>
      <c r="N1859">
        <f>WEEKNUM(orders[[#This Row],[Order Date]])</f>
        <v>11</v>
      </c>
      <c r="O1859" t="str">
        <f>_xlfn.IFS(orders[[#This Row],[Customer Gender]]="M","Male", orders[[#This Row],[Customer Gender]]="F","Female", orders[[#This Row],[Customer Gender]]="O","Other", TRUE,"Unknown")</f>
        <v>Female</v>
      </c>
    </row>
    <row r="1860" spans="1:15">
      <c r="A1860" t="s">
        <v>1960</v>
      </c>
      <c r="B1860" t="s">
        <v>135</v>
      </c>
      <c r="C1860">
        <v>6</v>
      </c>
      <c r="D1860">
        <v>22.7</v>
      </c>
      <c r="E1860">
        <v>136.19999999999999</v>
      </c>
      <c r="F1860" s="1">
        <v>45726</v>
      </c>
      <c r="G1860" s="1">
        <v>45729</v>
      </c>
      <c r="H1860" t="s">
        <v>27</v>
      </c>
      <c r="I1860" t="s">
        <v>40</v>
      </c>
      <c r="J1860">
        <v>4</v>
      </c>
      <c r="K1860" t="s">
        <v>19</v>
      </c>
      <c r="L1860" t="s">
        <v>33</v>
      </c>
      <c r="M1860">
        <f>orders[[#This Row],[Ship Date]]-orders[[#This Row],[Order Date]]</f>
        <v>3</v>
      </c>
      <c r="N1860">
        <f>WEEKNUM(orders[[#This Row],[Order Date]])</f>
        <v>11</v>
      </c>
      <c r="O1860" t="str">
        <f>_xlfn.IFS(orders[[#This Row],[Customer Gender]]="M","Male", orders[[#This Row],[Customer Gender]]="F","Female", orders[[#This Row],[Customer Gender]]="O","Other", TRUE,"Unknown")</f>
        <v>Female</v>
      </c>
    </row>
    <row r="1861" spans="1:15">
      <c r="A1861" t="s">
        <v>1961</v>
      </c>
      <c r="B1861" t="s">
        <v>26</v>
      </c>
      <c r="C1861">
        <v>2</v>
      </c>
      <c r="D1861">
        <v>133</v>
      </c>
      <c r="E1861">
        <v>266</v>
      </c>
      <c r="F1861" s="1">
        <v>45726</v>
      </c>
      <c r="G1861" s="1">
        <v>45726</v>
      </c>
      <c r="H1861" t="s">
        <v>23</v>
      </c>
      <c r="I1861" t="s">
        <v>40</v>
      </c>
      <c r="J1861">
        <v>5</v>
      </c>
      <c r="K1861" t="s">
        <v>19</v>
      </c>
      <c r="L1861" t="s">
        <v>33</v>
      </c>
      <c r="M1861">
        <f>orders[[#This Row],[Ship Date]]-orders[[#This Row],[Order Date]]</f>
        <v>0</v>
      </c>
      <c r="N1861">
        <f>WEEKNUM(orders[[#This Row],[Order Date]])</f>
        <v>11</v>
      </c>
      <c r="O1861" t="str">
        <f>_xlfn.IFS(orders[[#This Row],[Customer Gender]]="M","Male", orders[[#This Row],[Customer Gender]]="F","Female", orders[[#This Row],[Customer Gender]]="O","Other", TRUE,"Unknown")</f>
        <v>Male</v>
      </c>
    </row>
    <row r="1862" spans="1:15">
      <c r="A1862" t="s">
        <v>1962</v>
      </c>
      <c r="B1862" t="s">
        <v>16</v>
      </c>
      <c r="C1862">
        <v>2</v>
      </c>
      <c r="D1862">
        <v>23.3</v>
      </c>
      <c r="E1862">
        <v>46.6</v>
      </c>
      <c r="F1862" s="1">
        <v>45726</v>
      </c>
      <c r="G1862" s="1">
        <v>45727</v>
      </c>
      <c r="H1862" t="s">
        <v>23</v>
      </c>
      <c r="I1862" t="s">
        <v>35</v>
      </c>
      <c r="J1862">
        <v>5</v>
      </c>
      <c r="K1862" t="s">
        <v>19</v>
      </c>
      <c r="L1862" t="s">
        <v>33</v>
      </c>
      <c r="M1862">
        <f>orders[[#This Row],[Ship Date]]-orders[[#This Row],[Order Date]]</f>
        <v>1</v>
      </c>
      <c r="N1862">
        <f>WEEKNUM(orders[[#This Row],[Order Date]])</f>
        <v>11</v>
      </c>
      <c r="O1862" t="str">
        <f>_xlfn.IFS(orders[[#This Row],[Customer Gender]]="M","Male", orders[[#This Row],[Customer Gender]]="F","Female", orders[[#This Row],[Customer Gender]]="O","Other", TRUE,"Unknown")</f>
        <v>Male</v>
      </c>
    </row>
    <row r="1863" spans="1:15">
      <c r="A1863" t="s">
        <v>1963</v>
      </c>
      <c r="B1863" t="s">
        <v>44</v>
      </c>
      <c r="C1863">
        <v>3</v>
      </c>
      <c r="D1863">
        <v>20.7</v>
      </c>
      <c r="E1863">
        <v>62.099999999999994</v>
      </c>
      <c r="F1863" s="1">
        <v>45726</v>
      </c>
      <c r="G1863" s="1">
        <v>45728</v>
      </c>
      <c r="H1863" t="s">
        <v>89</v>
      </c>
      <c r="I1863" t="s">
        <v>18</v>
      </c>
      <c r="J1863">
        <v>5</v>
      </c>
      <c r="K1863" t="s">
        <v>19</v>
      </c>
      <c r="L1863" t="s">
        <v>33</v>
      </c>
      <c r="M1863">
        <f>orders[[#This Row],[Ship Date]]-orders[[#This Row],[Order Date]]</f>
        <v>2</v>
      </c>
      <c r="N1863">
        <f>WEEKNUM(orders[[#This Row],[Order Date]])</f>
        <v>11</v>
      </c>
      <c r="O1863" t="str">
        <f>_xlfn.IFS(orders[[#This Row],[Customer Gender]]="M","Male", orders[[#This Row],[Customer Gender]]="F","Female", orders[[#This Row],[Customer Gender]]="O","Other", TRUE,"Unknown")</f>
        <v>Other</v>
      </c>
    </row>
    <row r="1864" spans="1:15">
      <c r="A1864" t="s">
        <v>1964</v>
      </c>
      <c r="B1864" t="s">
        <v>69</v>
      </c>
      <c r="C1864">
        <v>2</v>
      </c>
      <c r="D1864">
        <v>47</v>
      </c>
      <c r="E1864">
        <v>94</v>
      </c>
      <c r="F1864" s="1">
        <v>45726</v>
      </c>
      <c r="G1864" s="1">
        <v>45727</v>
      </c>
      <c r="H1864" t="s">
        <v>23</v>
      </c>
      <c r="I1864" t="s">
        <v>35</v>
      </c>
      <c r="J1864">
        <v>5</v>
      </c>
      <c r="K1864" t="s">
        <v>19</v>
      </c>
      <c r="L1864" t="s">
        <v>33</v>
      </c>
      <c r="M1864">
        <f>orders[[#This Row],[Ship Date]]-orders[[#This Row],[Order Date]]</f>
        <v>1</v>
      </c>
      <c r="N1864">
        <f>WEEKNUM(orders[[#This Row],[Order Date]])</f>
        <v>11</v>
      </c>
      <c r="O1864" t="str">
        <f>_xlfn.IFS(orders[[#This Row],[Customer Gender]]="M","Male", orders[[#This Row],[Customer Gender]]="F","Female", orders[[#This Row],[Customer Gender]]="O","Other", TRUE,"Unknown")</f>
        <v>Male</v>
      </c>
    </row>
    <row r="1865" spans="1:15">
      <c r="A1865" t="s">
        <v>1965</v>
      </c>
      <c r="B1865" t="s">
        <v>69</v>
      </c>
      <c r="C1865">
        <v>3</v>
      </c>
      <c r="D1865">
        <v>38.200000000000003</v>
      </c>
      <c r="E1865">
        <v>114.60000000000001</v>
      </c>
      <c r="F1865" s="1">
        <v>45726</v>
      </c>
      <c r="G1865" s="1">
        <v>45728</v>
      </c>
      <c r="H1865" t="s">
        <v>27</v>
      </c>
      <c r="I1865" t="s">
        <v>40</v>
      </c>
      <c r="J1865">
        <v>2</v>
      </c>
      <c r="K1865" t="s">
        <v>19</v>
      </c>
      <c r="L1865" t="s">
        <v>33</v>
      </c>
      <c r="M1865">
        <f>orders[[#This Row],[Ship Date]]-orders[[#This Row],[Order Date]]</f>
        <v>2</v>
      </c>
      <c r="N1865">
        <f>WEEKNUM(orders[[#This Row],[Order Date]])</f>
        <v>11</v>
      </c>
      <c r="O1865" t="str">
        <f>_xlfn.IFS(orders[[#This Row],[Customer Gender]]="M","Male", orders[[#This Row],[Customer Gender]]="F","Female", orders[[#This Row],[Customer Gender]]="O","Other", TRUE,"Unknown")</f>
        <v>Female</v>
      </c>
    </row>
    <row r="1866" spans="1:15">
      <c r="A1866" t="s">
        <v>1966</v>
      </c>
      <c r="B1866" t="s">
        <v>46</v>
      </c>
      <c r="C1866">
        <v>1</v>
      </c>
      <c r="D1866">
        <v>39.1</v>
      </c>
      <c r="E1866">
        <v>39.1</v>
      </c>
      <c r="F1866" s="1">
        <v>45726</v>
      </c>
      <c r="G1866" s="1">
        <v>45728</v>
      </c>
      <c r="H1866" t="s">
        <v>27</v>
      </c>
      <c r="I1866" t="s">
        <v>18</v>
      </c>
      <c r="J1866">
        <v>4</v>
      </c>
      <c r="K1866" t="s">
        <v>19</v>
      </c>
      <c r="L1866" t="s">
        <v>33</v>
      </c>
      <c r="M1866">
        <f>orders[[#This Row],[Ship Date]]-orders[[#This Row],[Order Date]]</f>
        <v>2</v>
      </c>
      <c r="N1866">
        <f>WEEKNUM(orders[[#This Row],[Order Date]])</f>
        <v>11</v>
      </c>
      <c r="O1866" t="str">
        <f>_xlfn.IFS(orders[[#This Row],[Customer Gender]]="M","Male", orders[[#This Row],[Customer Gender]]="F","Female", orders[[#This Row],[Customer Gender]]="O","Other", TRUE,"Unknown")</f>
        <v>Female</v>
      </c>
    </row>
    <row r="1867" spans="1:15">
      <c r="A1867" t="s">
        <v>1967</v>
      </c>
      <c r="B1867" t="s">
        <v>42</v>
      </c>
      <c r="C1867">
        <v>25</v>
      </c>
      <c r="D1867">
        <v>55.6</v>
      </c>
      <c r="E1867">
        <v>1390</v>
      </c>
      <c r="F1867" s="1">
        <v>45726</v>
      </c>
      <c r="G1867" s="1">
        <v>45728</v>
      </c>
      <c r="H1867" t="s">
        <v>23</v>
      </c>
      <c r="I1867" t="s">
        <v>18</v>
      </c>
      <c r="J1867">
        <v>5</v>
      </c>
      <c r="K1867" t="s">
        <v>19</v>
      </c>
      <c r="L1867" t="s">
        <v>33</v>
      </c>
      <c r="M1867">
        <f>orders[[#This Row],[Ship Date]]-orders[[#This Row],[Order Date]]</f>
        <v>2</v>
      </c>
      <c r="N1867">
        <f>WEEKNUM(orders[[#This Row],[Order Date]])</f>
        <v>11</v>
      </c>
      <c r="O1867" t="str">
        <f>_xlfn.IFS(orders[[#This Row],[Customer Gender]]="M","Male", orders[[#This Row],[Customer Gender]]="F","Female", orders[[#This Row],[Customer Gender]]="O","Other", TRUE,"Unknown")</f>
        <v>Male</v>
      </c>
    </row>
    <row r="1868" spans="1:15">
      <c r="A1868" t="s">
        <v>1968</v>
      </c>
      <c r="B1868" t="s">
        <v>123</v>
      </c>
      <c r="C1868">
        <v>1</v>
      </c>
      <c r="D1868">
        <v>43.1</v>
      </c>
      <c r="E1868">
        <v>43.1</v>
      </c>
      <c r="F1868" s="1">
        <v>45726</v>
      </c>
      <c r="G1868" s="1">
        <v>45726</v>
      </c>
      <c r="H1868" t="s">
        <v>89</v>
      </c>
      <c r="I1868" t="s">
        <v>35</v>
      </c>
      <c r="J1868">
        <v>5</v>
      </c>
      <c r="K1868" t="s">
        <v>19</v>
      </c>
      <c r="L1868" t="s">
        <v>33</v>
      </c>
      <c r="M1868">
        <f>orders[[#This Row],[Ship Date]]-orders[[#This Row],[Order Date]]</f>
        <v>0</v>
      </c>
      <c r="N1868">
        <f>WEEKNUM(orders[[#This Row],[Order Date]])</f>
        <v>11</v>
      </c>
      <c r="O1868" t="str">
        <f>_xlfn.IFS(orders[[#This Row],[Customer Gender]]="M","Male", orders[[#This Row],[Customer Gender]]="F","Female", orders[[#This Row],[Customer Gender]]="O","Other", TRUE,"Unknown")</f>
        <v>Other</v>
      </c>
    </row>
    <row r="1869" spans="1:15">
      <c r="A1869" t="s">
        <v>1969</v>
      </c>
      <c r="B1869" t="s">
        <v>39</v>
      </c>
      <c r="C1869">
        <v>4</v>
      </c>
      <c r="D1869">
        <v>48.1</v>
      </c>
      <c r="E1869">
        <v>192.4</v>
      </c>
      <c r="F1869" s="1">
        <v>45726</v>
      </c>
      <c r="G1869" s="1">
        <v>45727</v>
      </c>
      <c r="H1869" t="s">
        <v>27</v>
      </c>
      <c r="I1869" t="s">
        <v>70</v>
      </c>
      <c r="J1869">
        <v>5</v>
      </c>
      <c r="K1869" t="s">
        <v>19</v>
      </c>
      <c r="L1869" t="s">
        <v>33</v>
      </c>
      <c r="M1869">
        <f>orders[[#This Row],[Ship Date]]-orders[[#This Row],[Order Date]]</f>
        <v>1</v>
      </c>
      <c r="N1869">
        <f>WEEKNUM(orders[[#This Row],[Order Date]])</f>
        <v>11</v>
      </c>
      <c r="O1869" t="str">
        <f>_xlfn.IFS(orders[[#This Row],[Customer Gender]]="M","Male", orders[[#This Row],[Customer Gender]]="F","Female", orders[[#This Row],[Customer Gender]]="O","Other", TRUE,"Unknown")</f>
        <v>Female</v>
      </c>
    </row>
    <row r="1870" spans="1:15">
      <c r="A1870" t="s">
        <v>1970</v>
      </c>
      <c r="B1870" t="s">
        <v>32</v>
      </c>
      <c r="C1870">
        <v>1</v>
      </c>
      <c r="D1870">
        <v>42</v>
      </c>
      <c r="E1870">
        <v>42</v>
      </c>
      <c r="F1870" s="1">
        <v>45726</v>
      </c>
      <c r="G1870" s="1">
        <v>45727</v>
      </c>
      <c r="H1870" t="s">
        <v>89</v>
      </c>
      <c r="I1870" t="s">
        <v>18</v>
      </c>
      <c r="J1870">
        <v>4</v>
      </c>
      <c r="K1870" t="s">
        <v>19</v>
      </c>
      <c r="L1870" t="s">
        <v>33</v>
      </c>
      <c r="M1870">
        <f>orders[[#This Row],[Ship Date]]-orders[[#This Row],[Order Date]]</f>
        <v>1</v>
      </c>
      <c r="N1870">
        <f>WEEKNUM(orders[[#This Row],[Order Date]])</f>
        <v>11</v>
      </c>
      <c r="O1870" t="str">
        <f>_xlfn.IFS(orders[[#This Row],[Customer Gender]]="M","Male", orders[[#This Row],[Customer Gender]]="F","Female", orders[[#This Row],[Customer Gender]]="O","Other", TRUE,"Unknown")</f>
        <v>Other</v>
      </c>
    </row>
    <row r="1871" spans="1:15">
      <c r="A1871" t="s">
        <v>1971</v>
      </c>
      <c r="B1871" t="s">
        <v>44</v>
      </c>
      <c r="C1871">
        <v>5</v>
      </c>
      <c r="D1871">
        <v>18.3</v>
      </c>
      <c r="E1871">
        <v>91.5</v>
      </c>
      <c r="F1871" s="1">
        <v>45726</v>
      </c>
      <c r="G1871" s="1">
        <v>45726</v>
      </c>
      <c r="H1871" t="s">
        <v>27</v>
      </c>
      <c r="I1871" t="s">
        <v>40</v>
      </c>
      <c r="J1871">
        <v>4</v>
      </c>
      <c r="K1871" t="s">
        <v>19</v>
      </c>
      <c r="L1871" t="s">
        <v>33</v>
      </c>
      <c r="M1871">
        <f>orders[[#This Row],[Ship Date]]-orders[[#This Row],[Order Date]]</f>
        <v>0</v>
      </c>
      <c r="N1871">
        <f>WEEKNUM(orders[[#This Row],[Order Date]])</f>
        <v>11</v>
      </c>
      <c r="O1871" t="str">
        <f>_xlfn.IFS(orders[[#This Row],[Customer Gender]]="M","Male", orders[[#This Row],[Customer Gender]]="F","Female", orders[[#This Row],[Customer Gender]]="O","Other", TRUE,"Unknown")</f>
        <v>Female</v>
      </c>
    </row>
    <row r="1872" spans="1:15">
      <c r="A1872" t="s">
        <v>1972</v>
      </c>
      <c r="B1872" t="s">
        <v>54</v>
      </c>
      <c r="C1872">
        <v>4</v>
      </c>
      <c r="D1872">
        <v>45.3</v>
      </c>
      <c r="E1872">
        <v>181.2</v>
      </c>
      <c r="F1872" s="1">
        <v>45726</v>
      </c>
      <c r="G1872" s="1">
        <v>45729</v>
      </c>
      <c r="H1872" t="s">
        <v>27</v>
      </c>
      <c r="I1872" t="s">
        <v>18</v>
      </c>
      <c r="J1872">
        <v>5</v>
      </c>
      <c r="K1872" t="s">
        <v>19</v>
      </c>
      <c r="L1872" t="s">
        <v>33</v>
      </c>
      <c r="M1872">
        <f>orders[[#This Row],[Ship Date]]-orders[[#This Row],[Order Date]]</f>
        <v>3</v>
      </c>
      <c r="N1872">
        <f>WEEKNUM(orders[[#This Row],[Order Date]])</f>
        <v>11</v>
      </c>
      <c r="O1872" t="str">
        <f>_xlfn.IFS(orders[[#This Row],[Customer Gender]]="M","Male", orders[[#This Row],[Customer Gender]]="F","Female", orders[[#This Row],[Customer Gender]]="O","Other", TRUE,"Unknown")</f>
        <v>Female</v>
      </c>
    </row>
    <row r="1873" spans="1:15">
      <c r="A1873" t="s">
        <v>1973</v>
      </c>
      <c r="B1873" t="s">
        <v>16</v>
      </c>
      <c r="C1873">
        <v>2</v>
      </c>
      <c r="D1873">
        <v>27.6</v>
      </c>
      <c r="E1873">
        <v>55.2</v>
      </c>
      <c r="F1873" s="1">
        <v>45726</v>
      </c>
      <c r="G1873" s="1">
        <v>45728</v>
      </c>
      <c r="H1873" t="s">
        <v>23</v>
      </c>
      <c r="I1873" t="s">
        <v>18</v>
      </c>
      <c r="J1873">
        <v>5</v>
      </c>
      <c r="K1873" t="s">
        <v>19</v>
      </c>
      <c r="L1873" t="s">
        <v>364</v>
      </c>
      <c r="M1873">
        <f>orders[[#This Row],[Ship Date]]-orders[[#This Row],[Order Date]]</f>
        <v>2</v>
      </c>
      <c r="N1873">
        <f>WEEKNUM(orders[[#This Row],[Order Date]])</f>
        <v>11</v>
      </c>
      <c r="O1873" t="str">
        <f>_xlfn.IFS(orders[[#This Row],[Customer Gender]]="M","Male", orders[[#This Row],[Customer Gender]]="F","Female", orders[[#This Row],[Customer Gender]]="O","Other", TRUE,"Unknown")</f>
        <v>Male</v>
      </c>
    </row>
    <row r="1874" spans="1:15">
      <c r="A1874" t="s">
        <v>1974</v>
      </c>
      <c r="B1874" t="s">
        <v>32</v>
      </c>
      <c r="C1874">
        <v>5</v>
      </c>
      <c r="D1874">
        <v>26.9</v>
      </c>
      <c r="E1874">
        <v>134.5</v>
      </c>
      <c r="F1874" s="1">
        <v>45726</v>
      </c>
      <c r="G1874" s="1">
        <v>45727</v>
      </c>
      <c r="H1874" t="s">
        <v>27</v>
      </c>
      <c r="I1874" t="s">
        <v>40</v>
      </c>
      <c r="J1874">
        <v>4</v>
      </c>
      <c r="K1874" t="s">
        <v>19</v>
      </c>
      <c r="L1874" t="s">
        <v>188</v>
      </c>
      <c r="M1874">
        <f>orders[[#This Row],[Ship Date]]-orders[[#This Row],[Order Date]]</f>
        <v>1</v>
      </c>
      <c r="N1874">
        <f>WEEKNUM(orders[[#This Row],[Order Date]])</f>
        <v>11</v>
      </c>
      <c r="O1874" t="str">
        <f>_xlfn.IFS(orders[[#This Row],[Customer Gender]]="M","Male", orders[[#This Row],[Customer Gender]]="F","Female", orders[[#This Row],[Customer Gender]]="O","Other", TRUE,"Unknown")</f>
        <v>Female</v>
      </c>
    </row>
    <row r="1875" spans="1:15">
      <c r="A1875" t="s">
        <v>1975</v>
      </c>
      <c r="B1875" t="s">
        <v>26</v>
      </c>
      <c r="C1875">
        <v>9</v>
      </c>
      <c r="D1875">
        <v>82.4</v>
      </c>
      <c r="E1875">
        <v>741.6</v>
      </c>
      <c r="F1875" s="1">
        <v>45726</v>
      </c>
      <c r="G1875" s="1">
        <v>45728</v>
      </c>
      <c r="H1875" t="s">
        <v>89</v>
      </c>
      <c r="I1875" t="s">
        <v>40</v>
      </c>
      <c r="J1875">
        <v>4</v>
      </c>
      <c r="K1875" t="s">
        <v>19</v>
      </c>
      <c r="L1875" t="s">
        <v>52</v>
      </c>
      <c r="M1875">
        <f>orders[[#This Row],[Ship Date]]-orders[[#This Row],[Order Date]]</f>
        <v>2</v>
      </c>
      <c r="N1875">
        <f>WEEKNUM(orders[[#This Row],[Order Date]])</f>
        <v>11</v>
      </c>
      <c r="O1875" t="str">
        <f>_xlfn.IFS(orders[[#This Row],[Customer Gender]]="M","Male", orders[[#This Row],[Customer Gender]]="F","Female", orders[[#This Row],[Customer Gender]]="O","Other", TRUE,"Unknown")</f>
        <v>Other</v>
      </c>
    </row>
    <row r="1876" spans="1:15">
      <c r="A1876" t="s">
        <v>1976</v>
      </c>
      <c r="B1876" t="s">
        <v>39</v>
      </c>
      <c r="C1876">
        <v>1</v>
      </c>
      <c r="D1876">
        <v>103.7</v>
      </c>
      <c r="E1876">
        <v>103.7</v>
      </c>
      <c r="F1876" s="1">
        <v>45726</v>
      </c>
      <c r="G1876" s="1">
        <v>45728</v>
      </c>
      <c r="H1876" t="s">
        <v>27</v>
      </c>
      <c r="I1876" t="s">
        <v>35</v>
      </c>
      <c r="J1876">
        <v>4</v>
      </c>
      <c r="K1876" t="s">
        <v>19</v>
      </c>
      <c r="L1876" t="s">
        <v>52</v>
      </c>
      <c r="M1876">
        <f>orders[[#This Row],[Ship Date]]-orders[[#This Row],[Order Date]]</f>
        <v>2</v>
      </c>
      <c r="N1876">
        <f>WEEKNUM(orders[[#This Row],[Order Date]])</f>
        <v>11</v>
      </c>
      <c r="O1876" t="str">
        <f>_xlfn.IFS(orders[[#This Row],[Customer Gender]]="M","Male", orders[[#This Row],[Customer Gender]]="F","Female", orders[[#This Row],[Customer Gender]]="O","Other", TRUE,"Unknown")</f>
        <v>Female</v>
      </c>
    </row>
    <row r="1877" spans="1:15">
      <c r="A1877" t="s">
        <v>1977</v>
      </c>
      <c r="B1877" t="s">
        <v>26</v>
      </c>
      <c r="C1877">
        <v>2</v>
      </c>
      <c r="D1877">
        <v>58.8</v>
      </c>
      <c r="E1877">
        <v>117.6</v>
      </c>
      <c r="F1877" s="1">
        <v>45726</v>
      </c>
      <c r="G1877" s="1">
        <v>45731</v>
      </c>
      <c r="H1877" t="s">
        <v>27</v>
      </c>
      <c r="I1877" t="s">
        <v>35</v>
      </c>
      <c r="J1877">
        <v>5</v>
      </c>
      <c r="K1877" t="s">
        <v>19</v>
      </c>
      <c r="L1877" t="s">
        <v>55</v>
      </c>
      <c r="M1877">
        <f>orders[[#This Row],[Ship Date]]-orders[[#This Row],[Order Date]]</f>
        <v>5</v>
      </c>
      <c r="N1877">
        <f>WEEKNUM(orders[[#This Row],[Order Date]])</f>
        <v>11</v>
      </c>
      <c r="O1877" t="str">
        <f>_xlfn.IFS(orders[[#This Row],[Customer Gender]]="M","Male", orders[[#This Row],[Customer Gender]]="F","Female", orders[[#This Row],[Customer Gender]]="O","Other", TRUE,"Unknown")</f>
        <v>Female</v>
      </c>
    </row>
    <row r="1878" spans="1:15">
      <c r="A1878" t="s">
        <v>1978</v>
      </c>
      <c r="B1878" t="s">
        <v>76</v>
      </c>
      <c r="C1878">
        <v>1</v>
      </c>
      <c r="D1878">
        <v>31.5</v>
      </c>
      <c r="E1878">
        <v>31.5</v>
      </c>
      <c r="F1878" s="1">
        <v>45726</v>
      </c>
      <c r="G1878" s="1">
        <v>45727</v>
      </c>
      <c r="H1878" t="s">
        <v>27</v>
      </c>
      <c r="I1878" t="s">
        <v>35</v>
      </c>
      <c r="J1878">
        <v>3</v>
      </c>
      <c r="K1878" t="s">
        <v>19</v>
      </c>
      <c r="L1878" t="s">
        <v>55</v>
      </c>
      <c r="M1878">
        <f>orders[[#This Row],[Ship Date]]-orders[[#This Row],[Order Date]]</f>
        <v>1</v>
      </c>
      <c r="N1878">
        <f>WEEKNUM(orders[[#This Row],[Order Date]])</f>
        <v>11</v>
      </c>
      <c r="O1878" t="str">
        <f>_xlfn.IFS(orders[[#This Row],[Customer Gender]]="M","Male", orders[[#This Row],[Customer Gender]]="F","Female", orders[[#This Row],[Customer Gender]]="O","Other", TRUE,"Unknown")</f>
        <v>Female</v>
      </c>
    </row>
    <row r="1879" spans="1:15">
      <c r="A1879" t="s">
        <v>1979</v>
      </c>
      <c r="B1879" t="s">
        <v>42</v>
      </c>
      <c r="C1879">
        <v>5</v>
      </c>
      <c r="D1879">
        <v>36.799999999999997</v>
      </c>
      <c r="E1879">
        <v>184</v>
      </c>
      <c r="F1879" s="1">
        <v>45726</v>
      </c>
      <c r="G1879" s="1">
        <v>45728</v>
      </c>
      <c r="H1879" t="s">
        <v>27</v>
      </c>
      <c r="I1879" t="s">
        <v>18</v>
      </c>
      <c r="J1879">
        <v>4</v>
      </c>
      <c r="K1879" t="s">
        <v>19</v>
      </c>
      <c r="L1879" t="s">
        <v>62</v>
      </c>
      <c r="M1879">
        <f>orders[[#This Row],[Ship Date]]-orders[[#This Row],[Order Date]]</f>
        <v>2</v>
      </c>
      <c r="N1879">
        <f>WEEKNUM(orders[[#This Row],[Order Date]])</f>
        <v>11</v>
      </c>
      <c r="O1879" t="str">
        <f>_xlfn.IFS(orders[[#This Row],[Customer Gender]]="M","Male", orders[[#This Row],[Customer Gender]]="F","Female", orders[[#This Row],[Customer Gender]]="O","Other", TRUE,"Unknown")</f>
        <v>Female</v>
      </c>
    </row>
    <row r="1880" spans="1:15">
      <c r="A1880" t="s">
        <v>1980</v>
      </c>
      <c r="B1880" t="s">
        <v>30</v>
      </c>
      <c r="C1880">
        <v>1</v>
      </c>
      <c r="D1880">
        <v>84.4</v>
      </c>
      <c r="E1880">
        <v>84.4</v>
      </c>
      <c r="F1880" s="1">
        <v>45726</v>
      </c>
      <c r="G1880" s="1">
        <v>45727</v>
      </c>
      <c r="H1880" t="s">
        <v>27</v>
      </c>
      <c r="I1880" t="s">
        <v>18</v>
      </c>
      <c r="J1880">
        <v>4</v>
      </c>
      <c r="K1880" t="s">
        <v>19</v>
      </c>
      <c r="L1880" t="s">
        <v>62</v>
      </c>
      <c r="M1880">
        <f>orders[[#This Row],[Ship Date]]-orders[[#This Row],[Order Date]]</f>
        <v>1</v>
      </c>
      <c r="N1880">
        <f>WEEKNUM(orders[[#This Row],[Order Date]])</f>
        <v>11</v>
      </c>
      <c r="O1880" t="str">
        <f>_xlfn.IFS(orders[[#This Row],[Customer Gender]]="M","Male", orders[[#This Row],[Customer Gender]]="F","Female", orders[[#This Row],[Customer Gender]]="O","Other", TRUE,"Unknown")</f>
        <v>Female</v>
      </c>
    </row>
    <row r="1881" spans="1:15">
      <c r="A1881" t="s">
        <v>1981</v>
      </c>
      <c r="B1881" t="s">
        <v>81</v>
      </c>
      <c r="C1881">
        <v>1</v>
      </c>
      <c r="D1881">
        <v>44.7</v>
      </c>
      <c r="E1881">
        <v>44.7</v>
      </c>
      <c r="F1881" s="1">
        <v>45726</v>
      </c>
      <c r="G1881" s="1">
        <v>45727</v>
      </c>
      <c r="H1881" t="s">
        <v>23</v>
      </c>
      <c r="I1881" t="s">
        <v>18</v>
      </c>
      <c r="J1881">
        <v>3</v>
      </c>
      <c r="K1881" t="s">
        <v>19</v>
      </c>
      <c r="L1881" t="s">
        <v>62</v>
      </c>
      <c r="M1881">
        <f>orders[[#This Row],[Ship Date]]-orders[[#This Row],[Order Date]]</f>
        <v>1</v>
      </c>
      <c r="N1881">
        <f>WEEKNUM(orders[[#This Row],[Order Date]])</f>
        <v>11</v>
      </c>
      <c r="O1881" t="str">
        <f>_xlfn.IFS(orders[[#This Row],[Customer Gender]]="M","Male", orders[[#This Row],[Customer Gender]]="F","Female", orders[[#This Row],[Customer Gender]]="O","Other", TRUE,"Unknown")</f>
        <v>Male</v>
      </c>
    </row>
    <row r="1882" spans="1:15">
      <c r="A1882" t="s">
        <v>1982</v>
      </c>
      <c r="B1882" t="s">
        <v>46</v>
      </c>
      <c r="C1882">
        <v>8</v>
      </c>
      <c r="D1882">
        <v>39.4</v>
      </c>
      <c r="E1882">
        <v>315.2</v>
      </c>
      <c r="F1882" s="1">
        <v>45726</v>
      </c>
      <c r="G1882" s="1">
        <v>45727</v>
      </c>
      <c r="H1882" t="s">
        <v>27</v>
      </c>
      <c r="I1882" t="s">
        <v>35</v>
      </c>
      <c r="J1882">
        <v>5</v>
      </c>
      <c r="K1882" t="s">
        <v>19</v>
      </c>
      <c r="L1882" t="s">
        <v>62</v>
      </c>
      <c r="M1882">
        <f>orders[[#This Row],[Ship Date]]-orders[[#This Row],[Order Date]]</f>
        <v>1</v>
      </c>
      <c r="N1882">
        <f>WEEKNUM(orders[[#This Row],[Order Date]])</f>
        <v>11</v>
      </c>
      <c r="O1882" t="str">
        <f>_xlfn.IFS(orders[[#This Row],[Customer Gender]]="M","Male", orders[[#This Row],[Customer Gender]]="F","Female", orders[[#This Row],[Customer Gender]]="O","Other", TRUE,"Unknown")</f>
        <v>Female</v>
      </c>
    </row>
    <row r="1883" spans="1:15">
      <c r="A1883" t="s">
        <v>1983</v>
      </c>
      <c r="B1883" t="s">
        <v>67</v>
      </c>
      <c r="C1883">
        <v>4</v>
      </c>
      <c r="D1883">
        <v>34.9</v>
      </c>
      <c r="E1883">
        <v>139.6</v>
      </c>
      <c r="F1883" s="1">
        <v>45726</v>
      </c>
      <c r="G1883" s="1">
        <v>45728</v>
      </c>
      <c r="H1883" t="s">
        <v>27</v>
      </c>
      <c r="I1883" t="s">
        <v>18</v>
      </c>
      <c r="J1883">
        <v>5</v>
      </c>
      <c r="K1883" t="s">
        <v>19</v>
      </c>
      <c r="L1883" t="s">
        <v>62</v>
      </c>
      <c r="M1883">
        <f>orders[[#This Row],[Ship Date]]-orders[[#This Row],[Order Date]]</f>
        <v>2</v>
      </c>
      <c r="N1883">
        <f>WEEKNUM(orders[[#This Row],[Order Date]])</f>
        <v>11</v>
      </c>
      <c r="O1883" t="str">
        <f>_xlfn.IFS(orders[[#This Row],[Customer Gender]]="M","Male", orders[[#This Row],[Customer Gender]]="F","Female", orders[[#This Row],[Customer Gender]]="O","Other", TRUE,"Unknown")</f>
        <v>Female</v>
      </c>
    </row>
    <row r="1884" spans="1:15">
      <c r="A1884" t="s">
        <v>1984</v>
      </c>
      <c r="B1884" t="s">
        <v>22</v>
      </c>
      <c r="C1884">
        <v>3</v>
      </c>
      <c r="D1884">
        <v>62.3</v>
      </c>
      <c r="E1884">
        <v>186.89999999999998</v>
      </c>
      <c r="F1884" s="1">
        <v>45726</v>
      </c>
      <c r="G1884" s="1">
        <v>45728</v>
      </c>
      <c r="H1884" t="s">
        <v>23</v>
      </c>
      <c r="I1884" t="s">
        <v>70</v>
      </c>
      <c r="J1884">
        <v>5</v>
      </c>
      <c r="K1884" t="s">
        <v>19</v>
      </c>
      <c r="L1884" t="s">
        <v>62</v>
      </c>
      <c r="M1884">
        <f>orders[[#This Row],[Ship Date]]-orders[[#This Row],[Order Date]]</f>
        <v>2</v>
      </c>
      <c r="N1884">
        <f>WEEKNUM(orders[[#This Row],[Order Date]])</f>
        <v>11</v>
      </c>
      <c r="O1884" t="str">
        <f>_xlfn.IFS(orders[[#This Row],[Customer Gender]]="M","Male", orders[[#This Row],[Customer Gender]]="F","Female", orders[[#This Row],[Customer Gender]]="O","Other", TRUE,"Unknown")</f>
        <v>Male</v>
      </c>
    </row>
    <row r="1885" spans="1:15">
      <c r="A1885" t="s">
        <v>1985</v>
      </c>
      <c r="B1885" t="s">
        <v>44</v>
      </c>
      <c r="C1885">
        <v>4</v>
      </c>
      <c r="D1885">
        <v>21.1</v>
      </c>
      <c r="E1885">
        <v>84.4</v>
      </c>
      <c r="F1885" s="1">
        <v>45726</v>
      </c>
      <c r="G1885" s="1">
        <v>45729</v>
      </c>
      <c r="H1885" t="s">
        <v>23</v>
      </c>
      <c r="I1885" t="s">
        <v>51</v>
      </c>
      <c r="J1885">
        <v>4</v>
      </c>
      <c r="K1885" t="s">
        <v>19</v>
      </c>
      <c r="L1885" t="s">
        <v>62</v>
      </c>
      <c r="M1885">
        <f>orders[[#This Row],[Ship Date]]-orders[[#This Row],[Order Date]]</f>
        <v>3</v>
      </c>
      <c r="N1885">
        <f>WEEKNUM(orders[[#This Row],[Order Date]])</f>
        <v>11</v>
      </c>
      <c r="O1885" t="str">
        <f>_xlfn.IFS(orders[[#This Row],[Customer Gender]]="M","Male", orders[[#This Row],[Customer Gender]]="F","Female", orders[[#This Row],[Customer Gender]]="O","Other", TRUE,"Unknown")</f>
        <v>Male</v>
      </c>
    </row>
    <row r="1886" spans="1:15">
      <c r="A1886" t="s">
        <v>1986</v>
      </c>
      <c r="B1886" t="s">
        <v>44</v>
      </c>
      <c r="C1886">
        <v>3</v>
      </c>
      <c r="D1886">
        <v>33.200000000000003</v>
      </c>
      <c r="E1886">
        <v>99.600000000000009</v>
      </c>
      <c r="F1886" s="1">
        <v>45726</v>
      </c>
      <c r="G1886" s="1">
        <v>45740</v>
      </c>
      <c r="H1886" t="s">
        <v>17</v>
      </c>
      <c r="I1886" t="s">
        <v>18</v>
      </c>
      <c r="J1886">
        <v>2</v>
      </c>
      <c r="K1886" t="s">
        <v>19</v>
      </c>
      <c r="L1886" t="s">
        <v>62</v>
      </c>
      <c r="M1886">
        <f>orders[[#This Row],[Ship Date]]-orders[[#This Row],[Order Date]]</f>
        <v>14</v>
      </c>
      <c r="N1886">
        <f>WEEKNUM(orders[[#This Row],[Order Date]])</f>
        <v>11</v>
      </c>
      <c r="O1886" t="str">
        <f>_xlfn.IFS(orders[[#This Row],[Customer Gender]]="M","Male", orders[[#This Row],[Customer Gender]]="F","Female", orders[[#This Row],[Customer Gender]]="O","Other", TRUE,"Unknown")</f>
        <v>Unknown</v>
      </c>
    </row>
    <row r="1887" spans="1:15">
      <c r="A1887" t="s">
        <v>1987</v>
      </c>
      <c r="B1887" t="s">
        <v>22</v>
      </c>
      <c r="C1887">
        <v>4</v>
      </c>
      <c r="D1887">
        <v>74.5</v>
      </c>
      <c r="E1887">
        <v>298</v>
      </c>
      <c r="F1887" s="1">
        <v>45726</v>
      </c>
      <c r="G1887" s="1">
        <v>45727</v>
      </c>
      <c r="H1887" t="s">
        <v>23</v>
      </c>
      <c r="I1887" t="s">
        <v>70</v>
      </c>
      <c r="J1887">
        <v>4</v>
      </c>
      <c r="K1887" t="s">
        <v>19</v>
      </c>
      <c r="L1887" t="s">
        <v>62</v>
      </c>
      <c r="M1887">
        <f>orders[[#This Row],[Ship Date]]-orders[[#This Row],[Order Date]]</f>
        <v>1</v>
      </c>
      <c r="N1887">
        <f>WEEKNUM(orders[[#This Row],[Order Date]])</f>
        <v>11</v>
      </c>
      <c r="O1887" t="str">
        <f>_xlfn.IFS(orders[[#This Row],[Customer Gender]]="M","Male", orders[[#This Row],[Customer Gender]]="F","Female", orders[[#This Row],[Customer Gender]]="O","Other", TRUE,"Unknown")</f>
        <v>Male</v>
      </c>
    </row>
    <row r="1888" spans="1:15">
      <c r="A1888" t="s">
        <v>1988</v>
      </c>
      <c r="B1888" t="s">
        <v>54</v>
      </c>
      <c r="C1888">
        <v>12</v>
      </c>
      <c r="D1888">
        <v>68.599999999999994</v>
      </c>
      <c r="E1888">
        <v>823.19999999999993</v>
      </c>
      <c r="F1888" s="1">
        <v>45726</v>
      </c>
      <c r="G1888" s="1">
        <v>45729</v>
      </c>
      <c r="H1888" t="s">
        <v>27</v>
      </c>
      <c r="I1888" t="s">
        <v>18</v>
      </c>
      <c r="J1888">
        <v>5</v>
      </c>
      <c r="K1888" t="s">
        <v>19</v>
      </c>
      <c r="L1888" t="s">
        <v>62</v>
      </c>
      <c r="M1888">
        <f>orders[[#This Row],[Ship Date]]-orders[[#This Row],[Order Date]]</f>
        <v>3</v>
      </c>
      <c r="N1888">
        <f>WEEKNUM(orders[[#This Row],[Order Date]])</f>
        <v>11</v>
      </c>
      <c r="O1888" t="str">
        <f>_xlfn.IFS(orders[[#This Row],[Customer Gender]]="M","Male", orders[[#This Row],[Customer Gender]]="F","Female", orders[[#This Row],[Customer Gender]]="O","Other", TRUE,"Unknown")</f>
        <v>Female</v>
      </c>
    </row>
    <row r="1889" spans="1:15">
      <c r="A1889" t="s">
        <v>1989</v>
      </c>
      <c r="B1889" t="s">
        <v>37</v>
      </c>
      <c r="C1889">
        <v>14</v>
      </c>
      <c r="D1889">
        <v>36.4</v>
      </c>
      <c r="E1889">
        <v>509.59999999999997</v>
      </c>
      <c r="F1889" s="1">
        <v>45726</v>
      </c>
      <c r="G1889" s="1">
        <v>45728</v>
      </c>
      <c r="H1889" t="s">
        <v>27</v>
      </c>
      <c r="I1889" t="s">
        <v>18</v>
      </c>
      <c r="J1889">
        <v>3</v>
      </c>
      <c r="K1889" t="s">
        <v>19</v>
      </c>
      <c r="L1889" t="s">
        <v>72</v>
      </c>
      <c r="M1889">
        <f>orders[[#This Row],[Ship Date]]-orders[[#This Row],[Order Date]]</f>
        <v>2</v>
      </c>
      <c r="N1889">
        <f>WEEKNUM(orders[[#This Row],[Order Date]])</f>
        <v>11</v>
      </c>
      <c r="O1889" t="str">
        <f>_xlfn.IFS(orders[[#This Row],[Customer Gender]]="M","Male", orders[[#This Row],[Customer Gender]]="F","Female", orders[[#This Row],[Customer Gender]]="O","Other", TRUE,"Unknown")</f>
        <v>Female</v>
      </c>
    </row>
    <row r="1890" spans="1:15">
      <c r="A1890" t="s">
        <v>1990</v>
      </c>
      <c r="B1890" t="s">
        <v>128</v>
      </c>
      <c r="C1890">
        <v>5</v>
      </c>
      <c r="D1890">
        <v>67.599999999999994</v>
      </c>
      <c r="E1890">
        <v>338</v>
      </c>
      <c r="F1890" s="1">
        <v>45727</v>
      </c>
      <c r="G1890" s="1">
        <v>45730</v>
      </c>
      <c r="H1890" t="s">
        <v>27</v>
      </c>
      <c r="I1890" t="s">
        <v>70</v>
      </c>
      <c r="J1890">
        <v>3</v>
      </c>
      <c r="K1890" t="s">
        <v>19</v>
      </c>
      <c r="L1890" t="s">
        <v>72</v>
      </c>
      <c r="M1890">
        <f>orders[[#This Row],[Ship Date]]-orders[[#This Row],[Order Date]]</f>
        <v>3</v>
      </c>
      <c r="N1890">
        <f>WEEKNUM(orders[[#This Row],[Order Date]])</f>
        <v>11</v>
      </c>
      <c r="O1890" t="str">
        <f>_xlfn.IFS(orders[[#This Row],[Customer Gender]]="M","Male", orders[[#This Row],[Customer Gender]]="F","Female", orders[[#This Row],[Customer Gender]]="O","Other", TRUE,"Unknown")</f>
        <v>Female</v>
      </c>
    </row>
    <row r="1891" spans="1:15">
      <c r="A1891" t="s">
        <v>1991</v>
      </c>
      <c r="B1891" t="s">
        <v>123</v>
      </c>
      <c r="C1891">
        <v>1</v>
      </c>
      <c r="D1891">
        <v>46.3</v>
      </c>
      <c r="E1891">
        <v>46.3</v>
      </c>
      <c r="F1891" s="1">
        <v>45727</v>
      </c>
      <c r="G1891" s="1">
        <v>45728</v>
      </c>
      <c r="H1891" t="s">
        <v>23</v>
      </c>
      <c r="I1891" t="s">
        <v>40</v>
      </c>
      <c r="J1891">
        <v>4</v>
      </c>
      <c r="K1891" t="s">
        <v>19</v>
      </c>
      <c r="L1891" t="s">
        <v>72</v>
      </c>
      <c r="M1891">
        <f>orders[[#This Row],[Ship Date]]-orders[[#This Row],[Order Date]]</f>
        <v>1</v>
      </c>
      <c r="N1891">
        <f>WEEKNUM(orders[[#This Row],[Order Date]])</f>
        <v>11</v>
      </c>
      <c r="O1891" t="str">
        <f>_xlfn.IFS(orders[[#This Row],[Customer Gender]]="M","Male", orders[[#This Row],[Customer Gender]]="F","Female", orders[[#This Row],[Customer Gender]]="O","Other", TRUE,"Unknown")</f>
        <v>Male</v>
      </c>
    </row>
    <row r="1892" spans="1:15">
      <c r="A1892" t="s">
        <v>1992</v>
      </c>
      <c r="B1892" t="s">
        <v>22</v>
      </c>
      <c r="C1892">
        <v>3</v>
      </c>
      <c r="D1892">
        <v>124.2</v>
      </c>
      <c r="E1892">
        <v>372.6</v>
      </c>
      <c r="F1892" s="1">
        <v>45727</v>
      </c>
      <c r="G1892" s="1">
        <v>45729</v>
      </c>
      <c r="H1892" t="s">
        <v>27</v>
      </c>
      <c r="I1892" t="s">
        <v>35</v>
      </c>
      <c r="J1892">
        <v>5</v>
      </c>
      <c r="K1892" t="s">
        <v>19</v>
      </c>
      <c r="L1892" t="s">
        <v>77</v>
      </c>
      <c r="M1892">
        <f>orders[[#This Row],[Ship Date]]-orders[[#This Row],[Order Date]]</f>
        <v>2</v>
      </c>
      <c r="N1892">
        <f>WEEKNUM(orders[[#This Row],[Order Date]])</f>
        <v>11</v>
      </c>
      <c r="O1892" t="str">
        <f>_xlfn.IFS(orders[[#This Row],[Customer Gender]]="M","Male", orders[[#This Row],[Customer Gender]]="F","Female", orders[[#This Row],[Customer Gender]]="O","Other", TRUE,"Unknown")</f>
        <v>Female</v>
      </c>
    </row>
    <row r="1893" spans="1:15">
      <c r="A1893" t="s">
        <v>1993</v>
      </c>
      <c r="B1893" t="s">
        <v>54</v>
      </c>
      <c r="C1893">
        <v>2</v>
      </c>
      <c r="D1893">
        <v>37</v>
      </c>
      <c r="E1893">
        <v>74</v>
      </c>
      <c r="F1893" s="1">
        <v>45727</v>
      </c>
      <c r="G1893" s="1">
        <v>45733</v>
      </c>
      <c r="H1893" t="s">
        <v>23</v>
      </c>
      <c r="I1893" t="s">
        <v>18</v>
      </c>
      <c r="J1893">
        <v>4</v>
      </c>
      <c r="K1893" t="s">
        <v>19</v>
      </c>
      <c r="L1893" t="s">
        <v>77</v>
      </c>
      <c r="M1893">
        <f>orders[[#This Row],[Ship Date]]-orders[[#This Row],[Order Date]]</f>
        <v>6</v>
      </c>
      <c r="N1893">
        <f>WEEKNUM(orders[[#This Row],[Order Date]])</f>
        <v>11</v>
      </c>
      <c r="O1893" t="str">
        <f>_xlfn.IFS(orders[[#This Row],[Customer Gender]]="M","Male", orders[[#This Row],[Customer Gender]]="F","Female", orders[[#This Row],[Customer Gender]]="O","Other", TRUE,"Unknown")</f>
        <v>Male</v>
      </c>
    </row>
    <row r="1894" spans="1:15">
      <c r="A1894" t="s">
        <v>1994</v>
      </c>
      <c r="B1894" t="s">
        <v>37</v>
      </c>
      <c r="C1894">
        <v>1</v>
      </c>
      <c r="D1894">
        <v>41.8</v>
      </c>
      <c r="E1894">
        <v>41.8</v>
      </c>
      <c r="F1894" s="1">
        <v>45727</v>
      </c>
      <c r="G1894" s="1">
        <v>45728</v>
      </c>
      <c r="H1894" t="s">
        <v>23</v>
      </c>
      <c r="I1894" t="s">
        <v>40</v>
      </c>
      <c r="J1894">
        <v>4</v>
      </c>
      <c r="K1894" t="s">
        <v>19</v>
      </c>
      <c r="L1894" t="s">
        <v>292</v>
      </c>
      <c r="M1894">
        <f>orders[[#This Row],[Ship Date]]-orders[[#This Row],[Order Date]]</f>
        <v>1</v>
      </c>
      <c r="N1894">
        <f>WEEKNUM(orders[[#This Row],[Order Date]])</f>
        <v>11</v>
      </c>
      <c r="O1894" t="str">
        <f>_xlfn.IFS(orders[[#This Row],[Customer Gender]]="M","Male", orders[[#This Row],[Customer Gender]]="F","Female", orders[[#This Row],[Customer Gender]]="O","Other", TRUE,"Unknown")</f>
        <v>Male</v>
      </c>
    </row>
    <row r="1895" spans="1:15">
      <c r="A1895" t="s">
        <v>1995</v>
      </c>
      <c r="B1895" t="s">
        <v>46</v>
      </c>
      <c r="C1895">
        <v>2</v>
      </c>
      <c r="D1895">
        <v>57.2</v>
      </c>
      <c r="E1895">
        <v>114.4</v>
      </c>
      <c r="F1895" s="1">
        <v>45727</v>
      </c>
      <c r="G1895" s="1">
        <v>45729</v>
      </c>
      <c r="H1895" t="s">
        <v>23</v>
      </c>
      <c r="I1895" t="s">
        <v>40</v>
      </c>
      <c r="J1895">
        <v>3</v>
      </c>
      <c r="K1895" t="s">
        <v>19</v>
      </c>
      <c r="L1895" t="s">
        <v>113</v>
      </c>
      <c r="M1895">
        <f>orders[[#This Row],[Ship Date]]-orders[[#This Row],[Order Date]]</f>
        <v>2</v>
      </c>
      <c r="N1895">
        <f>WEEKNUM(orders[[#This Row],[Order Date]])</f>
        <v>11</v>
      </c>
      <c r="O1895" t="str">
        <f>_xlfn.IFS(orders[[#This Row],[Customer Gender]]="M","Male", orders[[#This Row],[Customer Gender]]="F","Female", orders[[#This Row],[Customer Gender]]="O","Other", TRUE,"Unknown")</f>
        <v>Male</v>
      </c>
    </row>
    <row r="1896" spans="1:15">
      <c r="A1896" t="s">
        <v>1996</v>
      </c>
      <c r="B1896" t="s">
        <v>39</v>
      </c>
      <c r="C1896">
        <v>2</v>
      </c>
      <c r="D1896">
        <v>47.1</v>
      </c>
      <c r="E1896">
        <v>94.2</v>
      </c>
      <c r="F1896" s="1">
        <v>45727</v>
      </c>
      <c r="G1896" s="1">
        <v>45729</v>
      </c>
      <c r="H1896" t="s">
        <v>27</v>
      </c>
      <c r="I1896" t="s">
        <v>18</v>
      </c>
      <c r="J1896">
        <v>2</v>
      </c>
      <c r="K1896" t="s">
        <v>19</v>
      </c>
      <c r="L1896" t="s">
        <v>113</v>
      </c>
      <c r="M1896">
        <f>orders[[#This Row],[Ship Date]]-orders[[#This Row],[Order Date]]</f>
        <v>2</v>
      </c>
      <c r="N1896">
        <f>WEEKNUM(orders[[#This Row],[Order Date]])</f>
        <v>11</v>
      </c>
      <c r="O1896" t="str">
        <f>_xlfn.IFS(orders[[#This Row],[Customer Gender]]="M","Male", orders[[#This Row],[Customer Gender]]="F","Female", orders[[#This Row],[Customer Gender]]="O","Other", TRUE,"Unknown")</f>
        <v>Female</v>
      </c>
    </row>
    <row r="1897" spans="1:15">
      <c r="A1897" t="s">
        <v>1997</v>
      </c>
      <c r="B1897" t="s">
        <v>37</v>
      </c>
      <c r="C1897">
        <v>3</v>
      </c>
      <c r="D1897">
        <v>86.4</v>
      </c>
      <c r="E1897">
        <v>259.20000000000005</v>
      </c>
      <c r="F1897" s="1">
        <v>45727</v>
      </c>
      <c r="G1897" s="1">
        <v>45728</v>
      </c>
      <c r="H1897" t="s">
        <v>23</v>
      </c>
      <c r="I1897" t="s">
        <v>40</v>
      </c>
      <c r="J1897">
        <v>3</v>
      </c>
      <c r="K1897" t="s">
        <v>19</v>
      </c>
      <c r="L1897" t="s">
        <v>997</v>
      </c>
      <c r="M1897">
        <f>orders[[#This Row],[Ship Date]]-orders[[#This Row],[Order Date]]</f>
        <v>1</v>
      </c>
      <c r="N1897">
        <f>WEEKNUM(orders[[#This Row],[Order Date]])</f>
        <v>11</v>
      </c>
      <c r="O1897" t="str">
        <f>_xlfn.IFS(orders[[#This Row],[Customer Gender]]="M","Male", orders[[#This Row],[Customer Gender]]="F","Female", orders[[#This Row],[Customer Gender]]="O","Other", TRUE,"Unknown")</f>
        <v>Male</v>
      </c>
    </row>
    <row r="1898" spans="1:15">
      <c r="A1898" t="s">
        <v>1998</v>
      </c>
      <c r="B1898" t="s">
        <v>39</v>
      </c>
      <c r="C1898">
        <v>5</v>
      </c>
      <c r="D1898">
        <v>105</v>
      </c>
      <c r="E1898">
        <v>525</v>
      </c>
      <c r="F1898" s="1">
        <v>45727</v>
      </c>
      <c r="G1898" s="1">
        <v>45730</v>
      </c>
      <c r="H1898" t="s">
        <v>23</v>
      </c>
      <c r="I1898" t="s">
        <v>18</v>
      </c>
      <c r="J1898">
        <v>4</v>
      </c>
      <c r="K1898" t="s">
        <v>19</v>
      </c>
      <c r="L1898" t="s">
        <v>82</v>
      </c>
      <c r="M1898">
        <f>orders[[#This Row],[Ship Date]]-orders[[#This Row],[Order Date]]</f>
        <v>3</v>
      </c>
      <c r="N1898">
        <f>WEEKNUM(orders[[#This Row],[Order Date]])</f>
        <v>11</v>
      </c>
      <c r="O1898" t="str">
        <f>_xlfn.IFS(orders[[#This Row],[Customer Gender]]="M","Male", orders[[#This Row],[Customer Gender]]="F","Female", orders[[#This Row],[Customer Gender]]="O","Other", TRUE,"Unknown")</f>
        <v>Male</v>
      </c>
    </row>
    <row r="1899" spans="1:15">
      <c r="A1899" t="s">
        <v>1999</v>
      </c>
      <c r="B1899" t="s">
        <v>146</v>
      </c>
      <c r="C1899">
        <v>1</v>
      </c>
      <c r="D1899">
        <v>33</v>
      </c>
      <c r="E1899">
        <v>33</v>
      </c>
      <c r="F1899" s="1">
        <v>45727</v>
      </c>
      <c r="G1899" s="1">
        <v>45730</v>
      </c>
      <c r="H1899" t="s">
        <v>23</v>
      </c>
      <c r="I1899" t="s">
        <v>70</v>
      </c>
      <c r="J1899">
        <v>4</v>
      </c>
      <c r="K1899" t="s">
        <v>19</v>
      </c>
      <c r="L1899" t="s">
        <v>115</v>
      </c>
      <c r="M1899">
        <f>orders[[#This Row],[Ship Date]]-orders[[#This Row],[Order Date]]</f>
        <v>3</v>
      </c>
      <c r="N1899">
        <f>WEEKNUM(orders[[#This Row],[Order Date]])</f>
        <v>11</v>
      </c>
      <c r="O1899" t="str">
        <f>_xlfn.IFS(orders[[#This Row],[Customer Gender]]="M","Male", orders[[#This Row],[Customer Gender]]="F","Female", orders[[#This Row],[Customer Gender]]="O","Other", TRUE,"Unknown")</f>
        <v>Male</v>
      </c>
    </row>
    <row r="1900" spans="1:15">
      <c r="A1900" t="s">
        <v>2000</v>
      </c>
      <c r="B1900" t="s">
        <v>39</v>
      </c>
      <c r="C1900">
        <v>5</v>
      </c>
      <c r="D1900">
        <v>106.6</v>
      </c>
      <c r="E1900">
        <v>533</v>
      </c>
      <c r="F1900" s="1">
        <v>45727</v>
      </c>
      <c r="G1900" s="1">
        <v>45740</v>
      </c>
      <c r="H1900" t="s">
        <v>27</v>
      </c>
      <c r="I1900" t="s">
        <v>40</v>
      </c>
      <c r="J1900">
        <v>4</v>
      </c>
      <c r="K1900" t="s">
        <v>19</v>
      </c>
      <c r="L1900" t="s">
        <v>24</v>
      </c>
      <c r="M1900">
        <f>orders[[#This Row],[Ship Date]]-orders[[#This Row],[Order Date]]</f>
        <v>13</v>
      </c>
      <c r="N1900">
        <f>WEEKNUM(orders[[#This Row],[Order Date]])</f>
        <v>11</v>
      </c>
      <c r="O1900" t="str">
        <f>_xlfn.IFS(orders[[#This Row],[Customer Gender]]="M","Male", orders[[#This Row],[Customer Gender]]="F","Female", orders[[#This Row],[Customer Gender]]="O","Other", TRUE,"Unknown")</f>
        <v>Female</v>
      </c>
    </row>
    <row r="1901" spans="1:15">
      <c r="A1901" t="s">
        <v>2001</v>
      </c>
      <c r="B1901" t="s">
        <v>54</v>
      </c>
      <c r="C1901">
        <v>32</v>
      </c>
      <c r="D1901">
        <v>26.8</v>
      </c>
      <c r="E1901">
        <v>857.6</v>
      </c>
      <c r="F1901" s="1">
        <v>45727</v>
      </c>
      <c r="G1901" s="1">
        <v>45728</v>
      </c>
      <c r="H1901" t="s">
        <v>27</v>
      </c>
      <c r="I1901" t="s">
        <v>40</v>
      </c>
      <c r="J1901">
        <v>4</v>
      </c>
      <c r="K1901" t="s">
        <v>19</v>
      </c>
      <c r="L1901" t="s">
        <v>24</v>
      </c>
      <c r="M1901">
        <f>orders[[#This Row],[Ship Date]]-orders[[#This Row],[Order Date]]</f>
        <v>1</v>
      </c>
      <c r="N1901">
        <f>WEEKNUM(orders[[#This Row],[Order Date]])</f>
        <v>11</v>
      </c>
      <c r="O1901" t="str">
        <f>_xlfn.IFS(orders[[#This Row],[Customer Gender]]="M","Male", orders[[#This Row],[Customer Gender]]="F","Female", orders[[#This Row],[Customer Gender]]="O","Other", TRUE,"Unknown")</f>
        <v>Female</v>
      </c>
    </row>
    <row r="1902" spans="1:15">
      <c r="A1902" t="s">
        <v>2002</v>
      </c>
      <c r="B1902" t="s">
        <v>135</v>
      </c>
      <c r="C1902">
        <v>5</v>
      </c>
      <c r="D1902">
        <v>25.8</v>
      </c>
      <c r="E1902">
        <v>129</v>
      </c>
      <c r="F1902" s="1">
        <v>45727</v>
      </c>
      <c r="G1902" s="1">
        <v>45727</v>
      </c>
      <c r="H1902" t="s">
        <v>27</v>
      </c>
      <c r="I1902" t="s">
        <v>35</v>
      </c>
      <c r="J1902">
        <v>5</v>
      </c>
      <c r="K1902" t="s">
        <v>19</v>
      </c>
      <c r="L1902" t="s">
        <v>33</v>
      </c>
      <c r="M1902">
        <f>orders[[#This Row],[Ship Date]]-orders[[#This Row],[Order Date]]</f>
        <v>0</v>
      </c>
      <c r="N1902">
        <f>WEEKNUM(orders[[#This Row],[Order Date]])</f>
        <v>11</v>
      </c>
      <c r="O1902" t="str">
        <f>_xlfn.IFS(orders[[#This Row],[Customer Gender]]="M","Male", orders[[#This Row],[Customer Gender]]="F","Female", orders[[#This Row],[Customer Gender]]="O","Other", TRUE,"Unknown")</f>
        <v>Female</v>
      </c>
    </row>
    <row r="1903" spans="1:15">
      <c r="A1903" t="s">
        <v>2003</v>
      </c>
      <c r="B1903" t="s">
        <v>26</v>
      </c>
      <c r="C1903">
        <v>3</v>
      </c>
      <c r="D1903">
        <v>217</v>
      </c>
      <c r="E1903">
        <v>651</v>
      </c>
      <c r="F1903" s="1">
        <v>45727</v>
      </c>
      <c r="G1903" s="1">
        <v>45728</v>
      </c>
      <c r="H1903" t="s">
        <v>27</v>
      </c>
      <c r="I1903" t="s">
        <v>35</v>
      </c>
      <c r="J1903">
        <v>3</v>
      </c>
      <c r="K1903" t="s">
        <v>19</v>
      </c>
      <c r="L1903" t="s">
        <v>33</v>
      </c>
      <c r="M1903">
        <f>orders[[#This Row],[Ship Date]]-orders[[#This Row],[Order Date]]</f>
        <v>1</v>
      </c>
      <c r="N1903">
        <f>WEEKNUM(orders[[#This Row],[Order Date]])</f>
        <v>11</v>
      </c>
      <c r="O1903" t="str">
        <f>_xlfn.IFS(orders[[#This Row],[Customer Gender]]="M","Male", orders[[#This Row],[Customer Gender]]="F","Female", orders[[#This Row],[Customer Gender]]="O","Other", TRUE,"Unknown")</f>
        <v>Female</v>
      </c>
    </row>
    <row r="1904" spans="1:15">
      <c r="A1904" t="s">
        <v>2004</v>
      </c>
      <c r="B1904" t="s">
        <v>26</v>
      </c>
      <c r="C1904">
        <v>2</v>
      </c>
      <c r="D1904">
        <v>97.3</v>
      </c>
      <c r="E1904">
        <v>194.6</v>
      </c>
      <c r="F1904" s="1">
        <v>45727</v>
      </c>
      <c r="G1904" s="1">
        <v>45728</v>
      </c>
      <c r="H1904" t="s">
        <v>23</v>
      </c>
      <c r="I1904" t="s">
        <v>40</v>
      </c>
      <c r="J1904">
        <v>2</v>
      </c>
      <c r="K1904" t="s">
        <v>19</v>
      </c>
      <c r="L1904" t="s">
        <v>33</v>
      </c>
      <c r="M1904">
        <f>orders[[#This Row],[Ship Date]]-orders[[#This Row],[Order Date]]</f>
        <v>1</v>
      </c>
      <c r="N1904">
        <f>WEEKNUM(orders[[#This Row],[Order Date]])</f>
        <v>11</v>
      </c>
      <c r="O1904" t="str">
        <f>_xlfn.IFS(orders[[#This Row],[Customer Gender]]="M","Male", orders[[#This Row],[Customer Gender]]="F","Female", orders[[#This Row],[Customer Gender]]="O","Other", TRUE,"Unknown")</f>
        <v>Male</v>
      </c>
    </row>
    <row r="1905" spans="1:15">
      <c r="A1905" t="s">
        <v>2005</v>
      </c>
      <c r="B1905" t="s">
        <v>22</v>
      </c>
      <c r="C1905">
        <v>1</v>
      </c>
      <c r="D1905">
        <v>49.8</v>
      </c>
      <c r="E1905">
        <v>49.8</v>
      </c>
      <c r="F1905" s="1">
        <v>45727</v>
      </c>
      <c r="G1905" s="1">
        <v>45728</v>
      </c>
      <c r="H1905" t="s">
        <v>27</v>
      </c>
      <c r="I1905" t="s">
        <v>18</v>
      </c>
      <c r="J1905">
        <v>4</v>
      </c>
      <c r="K1905" t="s">
        <v>19</v>
      </c>
      <c r="L1905" t="s">
        <v>33</v>
      </c>
      <c r="M1905">
        <f>orders[[#This Row],[Ship Date]]-orders[[#This Row],[Order Date]]</f>
        <v>1</v>
      </c>
      <c r="N1905">
        <f>WEEKNUM(orders[[#This Row],[Order Date]])</f>
        <v>11</v>
      </c>
      <c r="O1905" t="str">
        <f>_xlfn.IFS(orders[[#This Row],[Customer Gender]]="M","Male", orders[[#This Row],[Customer Gender]]="F","Female", orders[[#This Row],[Customer Gender]]="O","Other", TRUE,"Unknown")</f>
        <v>Female</v>
      </c>
    </row>
    <row r="1906" spans="1:15">
      <c r="A1906" t="s">
        <v>2006</v>
      </c>
      <c r="B1906" t="s">
        <v>69</v>
      </c>
      <c r="C1906">
        <v>5</v>
      </c>
      <c r="D1906">
        <v>32.6</v>
      </c>
      <c r="E1906">
        <v>163</v>
      </c>
      <c r="F1906" s="1">
        <v>45727</v>
      </c>
      <c r="G1906" s="1">
        <v>45728</v>
      </c>
      <c r="H1906" t="s">
        <v>27</v>
      </c>
      <c r="I1906" t="s">
        <v>18</v>
      </c>
      <c r="J1906">
        <v>4</v>
      </c>
      <c r="K1906" t="s">
        <v>19</v>
      </c>
      <c r="L1906" t="s">
        <v>33</v>
      </c>
      <c r="M1906">
        <f>orders[[#This Row],[Ship Date]]-orders[[#This Row],[Order Date]]</f>
        <v>1</v>
      </c>
      <c r="N1906">
        <f>WEEKNUM(orders[[#This Row],[Order Date]])</f>
        <v>11</v>
      </c>
      <c r="O1906" t="str">
        <f>_xlfn.IFS(orders[[#This Row],[Customer Gender]]="M","Male", orders[[#This Row],[Customer Gender]]="F","Female", orders[[#This Row],[Customer Gender]]="O","Other", TRUE,"Unknown")</f>
        <v>Female</v>
      </c>
    </row>
    <row r="1907" spans="1:15">
      <c r="A1907" t="s">
        <v>2007</v>
      </c>
      <c r="B1907" t="s">
        <v>46</v>
      </c>
      <c r="C1907">
        <v>2</v>
      </c>
      <c r="D1907">
        <v>40.1</v>
      </c>
      <c r="E1907">
        <v>80.2</v>
      </c>
      <c r="F1907" s="1">
        <v>45727</v>
      </c>
      <c r="G1907" s="1">
        <v>45730</v>
      </c>
      <c r="H1907" t="s">
        <v>23</v>
      </c>
      <c r="I1907" t="s">
        <v>35</v>
      </c>
      <c r="J1907">
        <v>5</v>
      </c>
      <c r="K1907" t="s">
        <v>19</v>
      </c>
      <c r="L1907" t="s">
        <v>33</v>
      </c>
      <c r="M1907">
        <f>orders[[#This Row],[Ship Date]]-orders[[#This Row],[Order Date]]</f>
        <v>3</v>
      </c>
      <c r="N1907">
        <f>WEEKNUM(orders[[#This Row],[Order Date]])</f>
        <v>11</v>
      </c>
      <c r="O1907" t="str">
        <f>_xlfn.IFS(orders[[#This Row],[Customer Gender]]="M","Male", orders[[#This Row],[Customer Gender]]="F","Female", orders[[#This Row],[Customer Gender]]="O","Other", TRUE,"Unknown")</f>
        <v>Male</v>
      </c>
    </row>
    <row r="1908" spans="1:15">
      <c r="A1908" t="s">
        <v>2008</v>
      </c>
      <c r="B1908" t="s">
        <v>54</v>
      </c>
      <c r="C1908">
        <v>2</v>
      </c>
      <c r="D1908">
        <v>49.4</v>
      </c>
      <c r="E1908">
        <v>98.8</v>
      </c>
      <c r="F1908" s="1">
        <v>45727</v>
      </c>
      <c r="G1908" s="1">
        <v>45729</v>
      </c>
      <c r="H1908" t="s">
        <v>23</v>
      </c>
      <c r="I1908" t="s">
        <v>35</v>
      </c>
      <c r="J1908">
        <v>4</v>
      </c>
      <c r="K1908" t="s">
        <v>19</v>
      </c>
      <c r="L1908" t="s">
        <v>33</v>
      </c>
      <c r="M1908">
        <f>orders[[#This Row],[Ship Date]]-orders[[#This Row],[Order Date]]</f>
        <v>2</v>
      </c>
      <c r="N1908">
        <f>WEEKNUM(orders[[#This Row],[Order Date]])</f>
        <v>11</v>
      </c>
      <c r="O1908" t="str">
        <f>_xlfn.IFS(orders[[#This Row],[Customer Gender]]="M","Male", orders[[#This Row],[Customer Gender]]="F","Female", orders[[#This Row],[Customer Gender]]="O","Other", TRUE,"Unknown")</f>
        <v>Male</v>
      </c>
    </row>
    <row r="1909" spans="1:15">
      <c r="A1909" t="s">
        <v>2009</v>
      </c>
      <c r="B1909" t="s">
        <v>26</v>
      </c>
      <c r="C1909">
        <v>1</v>
      </c>
      <c r="D1909">
        <v>67.3</v>
      </c>
      <c r="E1909">
        <v>67.3</v>
      </c>
      <c r="F1909" s="1">
        <v>45727</v>
      </c>
      <c r="G1909" s="1">
        <v>45728</v>
      </c>
      <c r="H1909" t="s">
        <v>27</v>
      </c>
      <c r="I1909" t="s">
        <v>18</v>
      </c>
      <c r="J1909">
        <v>5</v>
      </c>
      <c r="K1909" t="s">
        <v>19</v>
      </c>
      <c r="L1909" t="s">
        <v>33</v>
      </c>
      <c r="M1909">
        <f>orders[[#This Row],[Ship Date]]-orders[[#This Row],[Order Date]]</f>
        <v>1</v>
      </c>
      <c r="N1909">
        <f>WEEKNUM(orders[[#This Row],[Order Date]])</f>
        <v>11</v>
      </c>
      <c r="O1909" t="str">
        <f>_xlfn.IFS(orders[[#This Row],[Customer Gender]]="M","Male", orders[[#This Row],[Customer Gender]]="F","Female", orders[[#This Row],[Customer Gender]]="O","Other", TRUE,"Unknown")</f>
        <v>Female</v>
      </c>
    </row>
    <row r="1910" spans="1:15">
      <c r="A1910" t="s">
        <v>2010</v>
      </c>
      <c r="B1910" t="s">
        <v>146</v>
      </c>
      <c r="C1910">
        <v>4</v>
      </c>
      <c r="D1910">
        <v>44.5</v>
      </c>
      <c r="E1910">
        <v>178</v>
      </c>
      <c r="F1910" s="1">
        <v>45727</v>
      </c>
      <c r="G1910" s="1">
        <v>45730</v>
      </c>
      <c r="H1910" t="s">
        <v>17</v>
      </c>
      <c r="I1910" t="s">
        <v>35</v>
      </c>
      <c r="J1910">
        <v>4</v>
      </c>
      <c r="K1910" t="s">
        <v>19</v>
      </c>
      <c r="L1910" t="s">
        <v>33</v>
      </c>
      <c r="M1910">
        <f>orders[[#This Row],[Ship Date]]-orders[[#This Row],[Order Date]]</f>
        <v>3</v>
      </c>
      <c r="N1910">
        <f>WEEKNUM(orders[[#This Row],[Order Date]])</f>
        <v>11</v>
      </c>
      <c r="O1910" t="str">
        <f>_xlfn.IFS(orders[[#This Row],[Customer Gender]]="M","Male", orders[[#This Row],[Customer Gender]]="F","Female", orders[[#This Row],[Customer Gender]]="O","Other", TRUE,"Unknown")</f>
        <v>Unknown</v>
      </c>
    </row>
    <row r="1911" spans="1:15">
      <c r="A1911" t="s">
        <v>2011</v>
      </c>
      <c r="B1911" t="s">
        <v>39</v>
      </c>
      <c r="C1911">
        <v>11</v>
      </c>
      <c r="D1911">
        <v>111.1</v>
      </c>
      <c r="E1911">
        <v>1222.0999999999999</v>
      </c>
      <c r="F1911" s="1">
        <v>45727</v>
      </c>
      <c r="G1911" s="1">
        <v>45728</v>
      </c>
      <c r="H1911" t="s">
        <v>27</v>
      </c>
      <c r="I1911" t="s">
        <v>70</v>
      </c>
      <c r="J1911">
        <v>4</v>
      </c>
      <c r="K1911" t="s">
        <v>19</v>
      </c>
      <c r="L1911" t="s">
        <v>33</v>
      </c>
      <c r="M1911">
        <f>orders[[#This Row],[Ship Date]]-orders[[#This Row],[Order Date]]</f>
        <v>1</v>
      </c>
      <c r="N1911">
        <f>WEEKNUM(orders[[#This Row],[Order Date]])</f>
        <v>11</v>
      </c>
      <c r="O1911" t="str">
        <f>_xlfn.IFS(orders[[#This Row],[Customer Gender]]="M","Male", orders[[#This Row],[Customer Gender]]="F","Female", orders[[#This Row],[Customer Gender]]="O","Other", TRUE,"Unknown")</f>
        <v>Female</v>
      </c>
    </row>
    <row r="1912" spans="1:15">
      <c r="A1912" t="s">
        <v>2012</v>
      </c>
      <c r="B1912" t="s">
        <v>44</v>
      </c>
      <c r="C1912">
        <v>3</v>
      </c>
      <c r="D1912">
        <v>19.7</v>
      </c>
      <c r="E1912">
        <v>59.099999999999994</v>
      </c>
      <c r="F1912" s="1">
        <v>45727</v>
      </c>
      <c r="G1912" s="1">
        <v>45728</v>
      </c>
      <c r="H1912" t="s">
        <v>27</v>
      </c>
      <c r="I1912" t="s">
        <v>70</v>
      </c>
      <c r="J1912">
        <v>2</v>
      </c>
      <c r="K1912" t="s">
        <v>19</v>
      </c>
      <c r="L1912" t="s">
        <v>33</v>
      </c>
      <c r="M1912">
        <f>orders[[#This Row],[Ship Date]]-orders[[#This Row],[Order Date]]</f>
        <v>1</v>
      </c>
      <c r="N1912">
        <f>WEEKNUM(orders[[#This Row],[Order Date]])</f>
        <v>11</v>
      </c>
      <c r="O1912" t="str">
        <f>_xlfn.IFS(orders[[#This Row],[Customer Gender]]="M","Male", orders[[#This Row],[Customer Gender]]="F","Female", orders[[#This Row],[Customer Gender]]="O","Other", TRUE,"Unknown")</f>
        <v>Female</v>
      </c>
    </row>
    <row r="1913" spans="1:15">
      <c r="A1913" t="s">
        <v>2013</v>
      </c>
      <c r="B1913" t="s">
        <v>22</v>
      </c>
      <c r="C1913">
        <v>1</v>
      </c>
      <c r="D1913">
        <v>40.299999999999997</v>
      </c>
      <c r="E1913">
        <v>40.299999999999997</v>
      </c>
      <c r="F1913" s="1">
        <v>45727</v>
      </c>
      <c r="G1913" s="1">
        <v>45728</v>
      </c>
      <c r="H1913" t="s">
        <v>89</v>
      </c>
      <c r="I1913" t="s">
        <v>35</v>
      </c>
      <c r="J1913">
        <v>4</v>
      </c>
      <c r="K1913" t="s">
        <v>19</v>
      </c>
      <c r="L1913" t="s">
        <v>33</v>
      </c>
      <c r="M1913">
        <f>orders[[#This Row],[Ship Date]]-orders[[#This Row],[Order Date]]</f>
        <v>1</v>
      </c>
      <c r="N1913">
        <f>WEEKNUM(orders[[#This Row],[Order Date]])</f>
        <v>11</v>
      </c>
      <c r="O1913" t="str">
        <f>_xlfn.IFS(orders[[#This Row],[Customer Gender]]="M","Male", orders[[#This Row],[Customer Gender]]="F","Female", orders[[#This Row],[Customer Gender]]="O","Other", TRUE,"Unknown")</f>
        <v>Other</v>
      </c>
    </row>
    <row r="1914" spans="1:15">
      <c r="A1914" t="s">
        <v>2014</v>
      </c>
      <c r="B1914" t="s">
        <v>39</v>
      </c>
      <c r="C1914">
        <v>2</v>
      </c>
      <c r="D1914">
        <v>108.8</v>
      </c>
      <c r="E1914">
        <v>217.6</v>
      </c>
      <c r="F1914" s="1">
        <v>45727</v>
      </c>
      <c r="G1914" s="1">
        <v>45732</v>
      </c>
      <c r="H1914" t="s">
        <v>23</v>
      </c>
      <c r="I1914" t="s">
        <v>18</v>
      </c>
      <c r="J1914">
        <v>5</v>
      </c>
      <c r="K1914" t="s">
        <v>19</v>
      </c>
      <c r="L1914" t="s">
        <v>55</v>
      </c>
      <c r="M1914">
        <f>orders[[#This Row],[Ship Date]]-orders[[#This Row],[Order Date]]</f>
        <v>5</v>
      </c>
      <c r="N1914">
        <f>WEEKNUM(orders[[#This Row],[Order Date]])</f>
        <v>11</v>
      </c>
      <c r="O1914" t="str">
        <f>_xlfn.IFS(orders[[#This Row],[Customer Gender]]="M","Male", orders[[#This Row],[Customer Gender]]="F","Female", orders[[#This Row],[Customer Gender]]="O","Other", TRUE,"Unknown")</f>
        <v>Male</v>
      </c>
    </row>
    <row r="1915" spans="1:15">
      <c r="A1915" t="s">
        <v>2015</v>
      </c>
      <c r="B1915" t="s">
        <v>44</v>
      </c>
      <c r="C1915">
        <v>3</v>
      </c>
      <c r="D1915">
        <v>48.2</v>
      </c>
      <c r="E1915">
        <v>144.60000000000002</v>
      </c>
      <c r="F1915" s="1">
        <v>45727</v>
      </c>
      <c r="G1915" s="1">
        <v>45732</v>
      </c>
      <c r="H1915" t="s">
        <v>27</v>
      </c>
      <c r="I1915" t="s">
        <v>70</v>
      </c>
      <c r="J1915">
        <v>4</v>
      </c>
      <c r="K1915" t="s">
        <v>19</v>
      </c>
      <c r="L1915" t="s">
        <v>59</v>
      </c>
      <c r="M1915">
        <f>orders[[#This Row],[Ship Date]]-orders[[#This Row],[Order Date]]</f>
        <v>5</v>
      </c>
      <c r="N1915">
        <f>WEEKNUM(orders[[#This Row],[Order Date]])</f>
        <v>11</v>
      </c>
      <c r="O1915" t="str">
        <f>_xlfn.IFS(orders[[#This Row],[Customer Gender]]="M","Male", orders[[#This Row],[Customer Gender]]="F","Female", orders[[#This Row],[Customer Gender]]="O","Other", TRUE,"Unknown")</f>
        <v>Female</v>
      </c>
    </row>
    <row r="1916" spans="1:15">
      <c r="A1916" t="s">
        <v>2016</v>
      </c>
      <c r="B1916" t="s">
        <v>26</v>
      </c>
      <c r="C1916">
        <v>3</v>
      </c>
      <c r="D1916">
        <v>104.7</v>
      </c>
      <c r="E1916">
        <v>314.10000000000002</v>
      </c>
      <c r="F1916" s="1">
        <v>45727</v>
      </c>
      <c r="G1916" s="1">
        <v>45729</v>
      </c>
      <c r="H1916" t="s">
        <v>27</v>
      </c>
      <c r="I1916" t="s">
        <v>18</v>
      </c>
      <c r="J1916">
        <v>3</v>
      </c>
      <c r="K1916" t="s">
        <v>19</v>
      </c>
      <c r="L1916" t="s">
        <v>59</v>
      </c>
      <c r="M1916">
        <f>orders[[#This Row],[Ship Date]]-orders[[#This Row],[Order Date]]</f>
        <v>2</v>
      </c>
      <c r="N1916">
        <f>WEEKNUM(orders[[#This Row],[Order Date]])</f>
        <v>11</v>
      </c>
      <c r="O1916" t="str">
        <f>_xlfn.IFS(orders[[#This Row],[Customer Gender]]="M","Male", orders[[#This Row],[Customer Gender]]="F","Female", orders[[#This Row],[Customer Gender]]="O","Other", TRUE,"Unknown")</f>
        <v>Female</v>
      </c>
    </row>
    <row r="1917" spans="1:15">
      <c r="A1917" t="s">
        <v>2017</v>
      </c>
      <c r="B1917" t="s">
        <v>22</v>
      </c>
      <c r="C1917">
        <v>2</v>
      </c>
      <c r="D1917">
        <v>80.599999999999994</v>
      </c>
      <c r="E1917">
        <v>161.19999999999999</v>
      </c>
      <c r="F1917" s="1">
        <v>45727</v>
      </c>
      <c r="G1917" s="1">
        <v>45727</v>
      </c>
      <c r="H1917" t="s">
        <v>27</v>
      </c>
      <c r="I1917" t="s">
        <v>35</v>
      </c>
      <c r="J1917">
        <v>4</v>
      </c>
      <c r="K1917" t="s">
        <v>19</v>
      </c>
      <c r="L1917" t="s">
        <v>62</v>
      </c>
      <c r="M1917">
        <f>orders[[#This Row],[Ship Date]]-orders[[#This Row],[Order Date]]</f>
        <v>0</v>
      </c>
      <c r="N1917">
        <f>WEEKNUM(orders[[#This Row],[Order Date]])</f>
        <v>11</v>
      </c>
      <c r="O1917" t="str">
        <f>_xlfn.IFS(orders[[#This Row],[Customer Gender]]="M","Male", orders[[#This Row],[Customer Gender]]="F","Female", orders[[#This Row],[Customer Gender]]="O","Other", TRUE,"Unknown")</f>
        <v>Female</v>
      </c>
    </row>
    <row r="1918" spans="1:15">
      <c r="A1918" t="s">
        <v>2018</v>
      </c>
      <c r="B1918" t="s">
        <v>39</v>
      </c>
      <c r="C1918">
        <v>1</v>
      </c>
      <c r="D1918">
        <v>65.5</v>
      </c>
      <c r="E1918">
        <v>65.5</v>
      </c>
      <c r="F1918" s="1">
        <v>45727</v>
      </c>
      <c r="G1918" s="1">
        <v>45729</v>
      </c>
      <c r="H1918" t="s">
        <v>89</v>
      </c>
      <c r="I1918" t="s">
        <v>35</v>
      </c>
      <c r="J1918">
        <v>4</v>
      </c>
      <c r="K1918" t="s">
        <v>19</v>
      </c>
      <c r="L1918" t="s">
        <v>62</v>
      </c>
      <c r="M1918">
        <f>orders[[#This Row],[Ship Date]]-orders[[#This Row],[Order Date]]</f>
        <v>2</v>
      </c>
      <c r="N1918">
        <f>WEEKNUM(orders[[#This Row],[Order Date]])</f>
        <v>11</v>
      </c>
      <c r="O1918" t="str">
        <f>_xlfn.IFS(orders[[#This Row],[Customer Gender]]="M","Male", orders[[#This Row],[Customer Gender]]="F","Female", orders[[#This Row],[Customer Gender]]="O","Other", TRUE,"Unknown")</f>
        <v>Other</v>
      </c>
    </row>
    <row r="1919" spans="1:15">
      <c r="A1919" t="s">
        <v>2019</v>
      </c>
      <c r="B1919" t="s">
        <v>46</v>
      </c>
      <c r="C1919">
        <v>3</v>
      </c>
      <c r="D1919">
        <v>61.4</v>
      </c>
      <c r="E1919">
        <v>184.2</v>
      </c>
      <c r="F1919" s="1">
        <v>45727</v>
      </c>
      <c r="G1919" s="1">
        <v>45729</v>
      </c>
      <c r="H1919" t="s">
        <v>27</v>
      </c>
      <c r="I1919" t="s">
        <v>70</v>
      </c>
      <c r="J1919">
        <v>5</v>
      </c>
      <c r="K1919" t="s">
        <v>19</v>
      </c>
      <c r="L1919" t="s">
        <v>62</v>
      </c>
      <c r="M1919">
        <f>orders[[#This Row],[Ship Date]]-orders[[#This Row],[Order Date]]</f>
        <v>2</v>
      </c>
      <c r="N1919">
        <f>WEEKNUM(orders[[#This Row],[Order Date]])</f>
        <v>11</v>
      </c>
      <c r="O1919" t="str">
        <f>_xlfn.IFS(orders[[#This Row],[Customer Gender]]="M","Male", orders[[#This Row],[Customer Gender]]="F","Female", orders[[#This Row],[Customer Gender]]="O","Other", TRUE,"Unknown")</f>
        <v>Female</v>
      </c>
    </row>
    <row r="1920" spans="1:15">
      <c r="A1920" t="s">
        <v>2020</v>
      </c>
      <c r="B1920" t="s">
        <v>16</v>
      </c>
      <c r="C1920">
        <v>1</v>
      </c>
      <c r="D1920">
        <v>12.5</v>
      </c>
      <c r="E1920">
        <v>12.5</v>
      </c>
      <c r="F1920" s="1">
        <v>45728</v>
      </c>
      <c r="G1920" s="1">
        <v>45731</v>
      </c>
      <c r="H1920" t="s">
        <v>27</v>
      </c>
      <c r="I1920" t="s">
        <v>18</v>
      </c>
      <c r="J1920">
        <v>3</v>
      </c>
      <c r="K1920" t="s">
        <v>19</v>
      </c>
      <c r="L1920" t="s">
        <v>62</v>
      </c>
      <c r="M1920">
        <f>orders[[#This Row],[Ship Date]]-orders[[#This Row],[Order Date]]</f>
        <v>3</v>
      </c>
      <c r="N1920">
        <f>WEEKNUM(orders[[#This Row],[Order Date]])</f>
        <v>11</v>
      </c>
      <c r="O1920" t="str">
        <f>_xlfn.IFS(orders[[#This Row],[Customer Gender]]="M","Male", orders[[#This Row],[Customer Gender]]="F","Female", orders[[#This Row],[Customer Gender]]="O","Other", TRUE,"Unknown")</f>
        <v>Female</v>
      </c>
    </row>
    <row r="1921" spans="1:15">
      <c r="A1921" t="s">
        <v>2021</v>
      </c>
      <c r="B1921" t="s">
        <v>32</v>
      </c>
      <c r="C1921">
        <v>4</v>
      </c>
      <c r="D1921">
        <v>35.1</v>
      </c>
      <c r="E1921">
        <v>140.4</v>
      </c>
      <c r="F1921" s="1">
        <v>45728</v>
      </c>
      <c r="G1921" s="1">
        <v>45729</v>
      </c>
      <c r="H1921" t="s">
        <v>23</v>
      </c>
      <c r="I1921" t="s">
        <v>40</v>
      </c>
      <c r="J1921">
        <v>3</v>
      </c>
      <c r="K1921" t="s">
        <v>19</v>
      </c>
      <c r="L1921" t="s">
        <v>103</v>
      </c>
      <c r="M1921">
        <f>orders[[#This Row],[Ship Date]]-orders[[#This Row],[Order Date]]</f>
        <v>1</v>
      </c>
      <c r="N1921">
        <f>WEEKNUM(orders[[#This Row],[Order Date]])</f>
        <v>11</v>
      </c>
      <c r="O1921" t="str">
        <f>_xlfn.IFS(orders[[#This Row],[Customer Gender]]="M","Male", orders[[#This Row],[Customer Gender]]="F","Female", orders[[#This Row],[Customer Gender]]="O","Other", TRUE,"Unknown")</f>
        <v>Male</v>
      </c>
    </row>
    <row r="1922" spans="1:15">
      <c r="A1922" t="s">
        <v>2022</v>
      </c>
      <c r="B1922" t="s">
        <v>37</v>
      </c>
      <c r="C1922">
        <v>2</v>
      </c>
      <c r="D1922">
        <v>55.7</v>
      </c>
      <c r="E1922">
        <v>111.4</v>
      </c>
      <c r="F1922" s="1">
        <v>45728</v>
      </c>
      <c r="G1922" s="1">
        <v>45729</v>
      </c>
      <c r="H1922" t="s">
        <v>23</v>
      </c>
      <c r="I1922" t="s">
        <v>18</v>
      </c>
      <c r="J1922">
        <v>3</v>
      </c>
      <c r="K1922" t="s">
        <v>19</v>
      </c>
      <c r="L1922" t="s">
        <v>201</v>
      </c>
      <c r="M1922">
        <f>orders[[#This Row],[Ship Date]]-orders[[#This Row],[Order Date]]</f>
        <v>1</v>
      </c>
      <c r="N1922">
        <f>WEEKNUM(orders[[#This Row],[Order Date]])</f>
        <v>11</v>
      </c>
      <c r="O1922" t="str">
        <f>_xlfn.IFS(orders[[#This Row],[Customer Gender]]="M","Male", orders[[#This Row],[Customer Gender]]="F","Female", orders[[#This Row],[Customer Gender]]="O","Other", TRUE,"Unknown")</f>
        <v>Male</v>
      </c>
    </row>
    <row r="1923" spans="1:15">
      <c r="A1923" t="s">
        <v>2023</v>
      </c>
      <c r="B1923" t="s">
        <v>42</v>
      </c>
      <c r="C1923">
        <v>2</v>
      </c>
      <c r="D1923">
        <v>57.7</v>
      </c>
      <c r="E1923">
        <v>115.4</v>
      </c>
      <c r="F1923" s="1">
        <v>45728</v>
      </c>
      <c r="G1923" s="1">
        <v>45730</v>
      </c>
      <c r="H1923" t="s">
        <v>23</v>
      </c>
      <c r="I1923" t="s">
        <v>70</v>
      </c>
      <c r="J1923">
        <v>3</v>
      </c>
      <c r="K1923" t="s">
        <v>19</v>
      </c>
      <c r="L1923" t="s">
        <v>72</v>
      </c>
      <c r="M1923">
        <f>orders[[#This Row],[Ship Date]]-orders[[#This Row],[Order Date]]</f>
        <v>2</v>
      </c>
      <c r="N1923">
        <f>WEEKNUM(orders[[#This Row],[Order Date]])</f>
        <v>11</v>
      </c>
      <c r="O1923" t="str">
        <f>_xlfn.IFS(orders[[#This Row],[Customer Gender]]="M","Male", orders[[#This Row],[Customer Gender]]="F","Female", orders[[#This Row],[Customer Gender]]="O","Other", TRUE,"Unknown")</f>
        <v>Male</v>
      </c>
    </row>
    <row r="1924" spans="1:15">
      <c r="A1924" t="s">
        <v>2024</v>
      </c>
      <c r="B1924" t="s">
        <v>26</v>
      </c>
      <c r="C1924">
        <v>6</v>
      </c>
      <c r="D1924">
        <v>85.7</v>
      </c>
      <c r="E1924">
        <v>514.20000000000005</v>
      </c>
      <c r="F1924" s="1">
        <v>45728</v>
      </c>
      <c r="G1924" s="1">
        <v>45729</v>
      </c>
      <c r="H1924" t="s">
        <v>23</v>
      </c>
      <c r="I1924" t="s">
        <v>51</v>
      </c>
      <c r="J1924">
        <v>5</v>
      </c>
      <c r="K1924" t="s">
        <v>19</v>
      </c>
      <c r="L1924" t="s">
        <v>72</v>
      </c>
      <c r="M1924">
        <f>orders[[#This Row],[Ship Date]]-orders[[#This Row],[Order Date]]</f>
        <v>1</v>
      </c>
      <c r="N1924">
        <f>WEEKNUM(orders[[#This Row],[Order Date]])</f>
        <v>11</v>
      </c>
      <c r="O1924" t="str">
        <f>_xlfn.IFS(orders[[#This Row],[Customer Gender]]="M","Male", orders[[#This Row],[Customer Gender]]="F","Female", orders[[#This Row],[Customer Gender]]="O","Other", TRUE,"Unknown")</f>
        <v>Male</v>
      </c>
    </row>
    <row r="1925" spans="1:15">
      <c r="A1925" t="s">
        <v>2025</v>
      </c>
      <c r="B1925" t="s">
        <v>26</v>
      </c>
      <c r="C1925">
        <v>3</v>
      </c>
      <c r="D1925">
        <v>86.9</v>
      </c>
      <c r="E1925">
        <v>260.70000000000005</v>
      </c>
      <c r="F1925" s="1">
        <v>45728</v>
      </c>
      <c r="G1925" s="1">
        <v>45730</v>
      </c>
      <c r="H1925" t="s">
        <v>27</v>
      </c>
      <c r="I1925" t="s">
        <v>35</v>
      </c>
      <c r="J1925">
        <v>4</v>
      </c>
      <c r="K1925" t="s">
        <v>19</v>
      </c>
      <c r="L1925" t="s">
        <v>77</v>
      </c>
      <c r="M1925">
        <f>orders[[#This Row],[Ship Date]]-orders[[#This Row],[Order Date]]</f>
        <v>2</v>
      </c>
      <c r="N1925">
        <f>WEEKNUM(orders[[#This Row],[Order Date]])</f>
        <v>11</v>
      </c>
      <c r="O1925" t="str">
        <f>_xlfn.IFS(orders[[#This Row],[Customer Gender]]="M","Male", orders[[#This Row],[Customer Gender]]="F","Female", orders[[#This Row],[Customer Gender]]="O","Other", TRUE,"Unknown")</f>
        <v>Female</v>
      </c>
    </row>
    <row r="1926" spans="1:15">
      <c r="A1926" t="s">
        <v>2026</v>
      </c>
      <c r="B1926" t="s">
        <v>146</v>
      </c>
      <c r="C1926">
        <v>2</v>
      </c>
      <c r="D1926">
        <v>46.4</v>
      </c>
      <c r="E1926">
        <v>92.8</v>
      </c>
      <c r="F1926" s="1">
        <v>45728</v>
      </c>
      <c r="G1926" s="1">
        <v>45731</v>
      </c>
      <c r="H1926" t="s">
        <v>27</v>
      </c>
      <c r="I1926" t="s">
        <v>70</v>
      </c>
      <c r="J1926">
        <v>4</v>
      </c>
      <c r="K1926" t="s">
        <v>19</v>
      </c>
      <c r="L1926" t="s">
        <v>77</v>
      </c>
      <c r="M1926">
        <f>orders[[#This Row],[Ship Date]]-orders[[#This Row],[Order Date]]</f>
        <v>3</v>
      </c>
      <c r="N1926">
        <f>WEEKNUM(orders[[#This Row],[Order Date]])</f>
        <v>11</v>
      </c>
      <c r="O1926" t="str">
        <f>_xlfn.IFS(orders[[#This Row],[Customer Gender]]="M","Male", orders[[#This Row],[Customer Gender]]="F","Female", orders[[#This Row],[Customer Gender]]="O","Other", TRUE,"Unknown")</f>
        <v>Female</v>
      </c>
    </row>
    <row r="1927" spans="1:15">
      <c r="A1927" t="s">
        <v>2027</v>
      </c>
      <c r="B1927" t="s">
        <v>37</v>
      </c>
      <c r="C1927">
        <v>3</v>
      </c>
      <c r="D1927">
        <v>25.4</v>
      </c>
      <c r="E1927">
        <v>76.199999999999989</v>
      </c>
      <c r="F1927" s="1">
        <v>45728</v>
      </c>
      <c r="G1927" s="1">
        <v>45728</v>
      </c>
      <c r="H1927" t="s">
        <v>27</v>
      </c>
      <c r="I1927" t="s">
        <v>40</v>
      </c>
      <c r="J1927">
        <v>5</v>
      </c>
      <c r="K1927" t="s">
        <v>19</v>
      </c>
      <c r="L1927" t="s">
        <v>108</v>
      </c>
      <c r="M1927">
        <f>orders[[#This Row],[Ship Date]]-orders[[#This Row],[Order Date]]</f>
        <v>0</v>
      </c>
      <c r="N1927">
        <f>WEEKNUM(orders[[#This Row],[Order Date]])</f>
        <v>11</v>
      </c>
      <c r="O1927" t="str">
        <f>_xlfn.IFS(orders[[#This Row],[Customer Gender]]="M","Male", orders[[#This Row],[Customer Gender]]="F","Female", orders[[#This Row],[Customer Gender]]="O","Other", TRUE,"Unknown")</f>
        <v>Female</v>
      </c>
    </row>
    <row r="1928" spans="1:15">
      <c r="A1928" t="s">
        <v>2028</v>
      </c>
      <c r="B1928" t="s">
        <v>54</v>
      </c>
      <c r="C1928">
        <v>3</v>
      </c>
      <c r="D1928">
        <v>47.8</v>
      </c>
      <c r="E1928">
        <v>143.39999999999998</v>
      </c>
      <c r="F1928" s="1">
        <v>45728</v>
      </c>
      <c r="G1928" s="1">
        <v>45728</v>
      </c>
      <c r="H1928" t="s">
        <v>17</v>
      </c>
      <c r="I1928" t="s">
        <v>40</v>
      </c>
      <c r="J1928">
        <v>5</v>
      </c>
      <c r="K1928" t="s">
        <v>19</v>
      </c>
      <c r="L1928" t="s">
        <v>110</v>
      </c>
      <c r="M1928">
        <f>orders[[#This Row],[Ship Date]]-orders[[#This Row],[Order Date]]</f>
        <v>0</v>
      </c>
      <c r="N1928">
        <f>WEEKNUM(orders[[#This Row],[Order Date]])</f>
        <v>11</v>
      </c>
      <c r="O1928" t="str">
        <f>_xlfn.IFS(orders[[#This Row],[Customer Gender]]="M","Male", orders[[#This Row],[Customer Gender]]="F","Female", orders[[#This Row],[Customer Gender]]="O","Other", TRUE,"Unknown")</f>
        <v>Unknown</v>
      </c>
    </row>
    <row r="1929" spans="1:15">
      <c r="A1929" t="s">
        <v>2029</v>
      </c>
      <c r="B1929" t="s">
        <v>44</v>
      </c>
      <c r="C1929">
        <v>19</v>
      </c>
      <c r="D1929">
        <v>18.399999999999999</v>
      </c>
      <c r="E1929">
        <v>349.59999999999997</v>
      </c>
      <c r="F1929" s="1">
        <v>45728</v>
      </c>
      <c r="G1929" s="1">
        <v>45730</v>
      </c>
      <c r="H1929" t="s">
        <v>89</v>
      </c>
      <c r="I1929" t="s">
        <v>40</v>
      </c>
      <c r="J1929">
        <v>4</v>
      </c>
      <c r="K1929" t="s">
        <v>19</v>
      </c>
      <c r="L1929" t="s">
        <v>113</v>
      </c>
      <c r="M1929">
        <f>orders[[#This Row],[Ship Date]]-orders[[#This Row],[Order Date]]</f>
        <v>2</v>
      </c>
      <c r="N1929">
        <f>WEEKNUM(orders[[#This Row],[Order Date]])</f>
        <v>11</v>
      </c>
      <c r="O1929" t="str">
        <f>_xlfn.IFS(orders[[#This Row],[Customer Gender]]="M","Male", orders[[#This Row],[Customer Gender]]="F","Female", orders[[#This Row],[Customer Gender]]="O","Other", TRUE,"Unknown")</f>
        <v>Other</v>
      </c>
    </row>
    <row r="1930" spans="1:15">
      <c r="A1930" t="s">
        <v>2030</v>
      </c>
      <c r="B1930" t="s">
        <v>69</v>
      </c>
      <c r="C1930">
        <v>3</v>
      </c>
      <c r="D1930">
        <v>65.5</v>
      </c>
      <c r="E1930">
        <v>196.5</v>
      </c>
      <c r="F1930" s="1">
        <v>45728</v>
      </c>
      <c r="G1930" s="1">
        <v>45736</v>
      </c>
      <c r="H1930" t="s">
        <v>27</v>
      </c>
      <c r="I1930" t="s">
        <v>18</v>
      </c>
      <c r="J1930">
        <v>4</v>
      </c>
      <c r="K1930" t="s">
        <v>19</v>
      </c>
      <c r="L1930" t="s">
        <v>115</v>
      </c>
      <c r="M1930">
        <f>orders[[#This Row],[Ship Date]]-orders[[#This Row],[Order Date]]</f>
        <v>8</v>
      </c>
      <c r="N1930">
        <f>WEEKNUM(orders[[#This Row],[Order Date]])</f>
        <v>11</v>
      </c>
      <c r="O1930" t="str">
        <f>_xlfn.IFS(orders[[#This Row],[Customer Gender]]="M","Male", orders[[#This Row],[Customer Gender]]="F","Female", orders[[#This Row],[Customer Gender]]="O","Other", TRUE,"Unknown")</f>
        <v>Female</v>
      </c>
    </row>
    <row r="1931" spans="1:15">
      <c r="A1931" t="s">
        <v>2031</v>
      </c>
      <c r="B1931" t="s">
        <v>54</v>
      </c>
      <c r="C1931">
        <v>2</v>
      </c>
      <c r="D1931">
        <v>50.6</v>
      </c>
      <c r="E1931">
        <v>101.2</v>
      </c>
      <c r="F1931" s="1">
        <v>45728</v>
      </c>
      <c r="G1931" s="1">
        <v>45731</v>
      </c>
      <c r="H1931" t="s">
        <v>23</v>
      </c>
      <c r="I1931" t="s">
        <v>40</v>
      </c>
      <c r="J1931">
        <v>2</v>
      </c>
      <c r="K1931" t="s">
        <v>19</v>
      </c>
      <c r="L1931" t="s">
        <v>115</v>
      </c>
      <c r="M1931">
        <f>orders[[#This Row],[Ship Date]]-orders[[#This Row],[Order Date]]</f>
        <v>3</v>
      </c>
      <c r="N1931">
        <f>WEEKNUM(orders[[#This Row],[Order Date]])</f>
        <v>11</v>
      </c>
      <c r="O1931" t="str">
        <f>_xlfn.IFS(orders[[#This Row],[Customer Gender]]="M","Male", orders[[#This Row],[Customer Gender]]="F","Female", orders[[#This Row],[Customer Gender]]="O","Other", TRUE,"Unknown")</f>
        <v>Male</v>
      </c>
    </row>
    <row r="1932" spans="1:15">
      <c r="A1932" t="s">
        <v>2032</v>
      </c>
      <c r="B1932" t="s">
        <v>30</v>
      </c>
      <c r="C1932">
        <v>5</v>
      </c>
      <c r="D1932">
        <v>69</v>
      </c>
      <c r="E1932">
        <v>345</v>
      </c>
      <c r="F1932" s="1">
        <v>45728</v>
      </c>
      <c r="G1932" s="1">
        <v>45732</v>
      </c>
      <c r="H1932" t="s">
        <v>23</v>
      </c>
      <c r="I1932" t="s">
        <v>51</v>
      </c>
      <c r="J1932">
        <v>4</v>
      </c>
      <c r="K1932" t="s">
        <v>19</v>
      </c>
      <c r="L1932" t="s">
        <v>115</v>
      </c>
      <c r="M1932">
        <f>orders[[#This Row],[Ship Date]]-orders[[#This Row],[Order Date]]</f>
        <v>4</v>
      </c>
      <c r="N1932">
        <f>WEEKNUM(orders[[#This Row],[Order Date]])</f>
        <v>11</v>
      </c>
      <c r="O1932" t="str">
        <f>_xlfn.IFS(orders[[#This Row],[Customer Gender]]="M","Male", orders[[#This Row],[Customer Gender]]="F","Female", orders[[#This Row],[Customer Gender]]="O","Other", TRUE,"Unknown")</f>
        <v>Male</v>
      </c>
    </row>
    <row r="1933" spans="1:15">
      <c r="A1933" t="s">
        <v>2033</v>
      </c>
      <c r="B1933" t="s">
        <v>46</v>
      </c>
      <c r="C1933">
        <v>8</v>
      </c>
      <c r="D1933">
        <v>51.1</v>
      </c>
      <c r="E1933">
        <v>408.8</v>
      </c>
      <c r="F1933" s="1">
        <v>45728</v>
      </c>
      <c r="G1933" s="1">
        <v>45730</v>
      </c>
      <c r="H1933" t="s">
        <v>27</v>
      </c>
      <c r="I1933" t="s">
        <v>18</v>
      </c>
      <c r="J1933">
        <v>4</v>
      </c>
      <c r="K1933" t="s">
        <v>19</v>
      </c>
      <c r="L1933" t="s">
        <v>24</v>
      </c>
      <c r="M1933">
        <f>orders[[#This Row],[Ship Date]]-orders[[#This Row],[Order Date]]</f>
        <v>2</v>
      </c>
      <c r="N1933">
        <f>WEEKNUM(orders[[#This Row],[Order Date]])</f>
        <v>11</v>
      </c>
      <c r="O1933" t="str">
        <f>_xlfn.IFS(orders[[#This Row],[Customer Gender]]="M","Male", orders[[#This Row],[Customer Gender]]="F","Female", orders[[#This Row],[Customer Gender]]="O","Other", TRUE,"Unknown")</f>
        <v>Female</v>
      </c>
    </row>
    <row r="1934" spans="1:15">
      <c r="A1934" t="s">
        <v>2034</v>
      </c>
      <c r="B1934" t="s">
        <v>46</v>
      </c>
      <c r="C1934">
        <v>1</v>
      </c>
      <c r="D1934">
        <v>36.1</v>
      </c>
      <c r="E1934">
        <v>36.1</v>
      </c>
      <c r="F1934" s="1">
        <v>45728</v>
      </c>
      <c r="G1934" s="1">
        <v>45729</v>
      </c>
      <c r="H1934" t="s">
        <v>27</v>
      </c>
      <c r="I1934" t="s">
        <v>18</v>
      </c>
      <c r="J1934">
        <v>5</v>
      </c>
      <c r="K1934" t="s">
        <v>19</v>
      </c>
      <c r="L1934" t="s">
        <v>334</v>
      </c>
      <c r="M1934">
        <f>orders[[#This Row],[Ship Date]]-orders[[#This Row],[Order Date]]</f>
        <v>1</v>
      </c>
      <c r="N1934">
        <f>WEEKNUM(orders[[#This Row],[Order Date]])</f>
        <v>11</v>
      </c>
      <c r="O1934" t="str">
        <f>_xlfn.IFS(orders[[#This Row],[Customer Gender]]="M","Male", orders[[#This Row],[Customer Gender]]="F","Female", orders[[#This Row],[Customer Gender]]="O","Other", TRUE,"Unknown")</f>
        <v>Female</v>
      </c>
    </row>
    <row r="1935" spans="1:15">
      <c r="A1935" t="s">
        <v>2035</v>
      </c>
      <c r="B1935" t="s">
        <v>81</v>
      </c>
      <c r="C1935">
        <v>1</v>
      </c>
      <c r="D1935">
        <v>18.7</v>
      </c>
      <c r="E1935">
        <v>18.7</v>
      </c>
      <c r="F1935" s="1">
        <v>45728</v>
      </c>
      <c r="G1935" s="1">
        <v>45729</v>
      </c>
      <c r="H1935" t="s">
        <v>23</v>
      </c>
      <c r="I1935" t="s">
        <v>18</v>
      </c>
      <c r="J1935">
        <v>4</v>
      </c>
      <c r="K1935" t="s">
        <v>19</v>
      </c>
      <c r="L1935" t="s">
        <v>33</v>
      </c>
      <c r="M1935">
        <f>orders[[#This Row],[Ship Date]]-orders[[#This Row],[Order Date]]</f>
        <v>1</v>
      </c>
      <c r="N1935">
        <f>WEEKNUM(orders[[#This Row],[Order Date]])</f>
        <v>11</v>
      </c>
      <c r="O1935" t="str">
        <f>_xlfn.IFS(orders[[#This Row],[Customer Gender]]="M","Male", orders[[#This Row],[Customer Gender]]="F","Female", orders[[#This Row],[Customer Gender]]="O","Other", TRUE,"Unknown")</f>
        <v>Male</v>
      </c>
    </row>
    <row r="1936" spans="1:15">
      <c r="A1936" t="s">
        <v>2036</v>
      </c>
      <c r="B1936" t="s">
        <v>135</v>
      </c>
      <c r="C1936">
        <v>1</v>
      </c>
      <c r="D1936">
        <v>30.1</v>
      </c>
      <c r="E1936">
        <v>30.1</v>
      </c>
      <c r="F1936" s="1">
        <v>45728</v>
      </c>
      <c r="G1936" s="1">
        <v>45731</v>
      </c>
      <c r="H1936" t="s">
        <v>27</v>
      </c>
      <c r="I1936" t="s">
        <v>51</v>
      </c>
      <c r="J1936">
        <v>3</v>
      </c>
      <c r="K1936" t="s">
        <v>19</v>
      </c>
      <c r="L1936" t="s">
        <v>33</v>
      </c>
      <c r="M1936">
        <f>orders[[#This Row],[Ship Date]]-orders[[#This Row],[Order Date]]</f>
        <v>3</v>
      </c>
      <c r="N1936">
        <f>WEEKNUM(orders[[#This Row],[Order Date]])</f>
        <v>11</v>
      </c>
      <c r="O1936" t="str">
        <f>_xlfn.IFS(orders[[#This Row],[Customer Gender]]="M","Male", orders[[#This Row],[Customer Gender]]="F","Female", orders[[#This Row],[Customer Gender]]="O","Other", TRUE,"Unknown")</f>
        <v>Female</v>
      </c>
    </row>
    <row r="1937" spans="1:15">
      <c r="A1937" t="s">
        <v>2037</v>
      </c>
      <c r="B1937" t="s">
        <v>44</v>
      </c>
      <c r="C1937">
        <v>1</v>
      </c>
      <c r="D1937">
        <v>16.3</v>
      </c>
      <c r="E1937">
        <v>16.3</v>
      </c>
      <c r="F1937" s="1">
        <v>45728</v>
      </c>
      <c r="G1937" s="1">
        <v>45729</v>
      </c>
      <c r="H1937" t="s">
        <v>23</v>
      </c>
      <c r="I1937" t="s">
        <v>51</v>
      </c>
      <c r="J1937">
        <v>4</v>
      </c>
      <c r="K1937" t="s">
        <v>19</v>
      </c>
      <c r="L1937" t="s">
        <v>33</v>
      </c>
      <c r="M1937">
        <f>orders[[#This Row],[Ship Date]]-orders[[#This Row],[Order Date]]</f>
        <v>1</v>
      </c>
      <c r="N1937">
        <f>WEEKNUM(orders[[#This Row],[Order Date]])</f>
        <v>11</v>
      </c>
      <c r="O1937" t="str">
        <f>_xlfn.IFS(orders[[#This Row],[Customer Gender]]="M","Male", orders[[#This Row],[Customer Gender]]="F","Female", orders[[#This Row],[Customer Gender]]="O","Other", TRUE,"Unknown")</f>
        <v>Male</v>
      </c>
    </row>
    <row r="1938" spans="1:15">
      <c r="A1938" t="s">
        <v>2038</v>
      </c>
      <c r="B1938" t="s">
        <v>22</v>
      </c>
      <c r="C1938">
        <v>3</v>
      </c>
      <c r="D1938">
        <v>63.8</v>
      </c>
      <c r="E1938">
        <v>191.39999999999998</v>
      </c>
      <c r="F1938" s="1">
        <v>45728</v>
      </c>
      <c r="G1938" s="1">
        <v>45733</v>
      </c>
      <c r="H1938" t="s">
        <v>27</v>
      </c>
      <c r="I1938" t="s">
        <v>40</v>
      </c>
      <c r="J1938">
        <v>3</v>
      </c>
      <c r="K1938" t="s">
        <v>19</v>
      </c>
      <c r="L1938" t="s">
        <v>33</v>
      </c>
      <c r="M1938">
        <f>orders[[#This Row],[Ship Date]]-orders[[#This Row],[Order Date]]</f>
        <v>5</v>
      </c>
      <c r="N1938">
        <f>WEEKNUM(orders[[#This Row],[Order Date]])</f>
        <v>11</v>
      </c>
      <c r="O1938" t="str">
        <f>_xlfn.IFS(orders[[#This Row],[Customer Gender]]="M","Male", orders[[#This Row],[Customer Gender]]="F","Female", orders[[#This Row],[Customer Gender]]="O","Other", TRUE,"Unknown")</f>
        <v>Female</v>
      </c>
    </row>
    <row r="1939" spans="1:15">
      <c r="A1939" t="s">
        <v>2039</v>
      </c>
      <c r="B1939" t="s">
        <v>22</v>
      </c>
      <c r="C1939">
        <v>7</v>
      </c>
      <c r="D1939">
        <v>73.900000000000006</v>
      </c>
      <c r="E1939">
        <v>517.30000000000007</v>
      </c>
      <c r="F1939" s="1">
        <v>45728</v>
      </c>
      <c r="G1939" s="1">
        <v>45728</v>
      </c>
      <c r="H1939" t="s">
        <v>27</v>
      </c>
      <c r="I1939" t="s">
        <v>18</v>
      </c>
      <c r="J1939">
        <v>3</v>
      </c>
      <c r="K1939" t="s">
        <v>19</v>
      </c>
      <c r="L1939" t="s">
        <v>33</v>
      </c>
      <c r="M1939">
        <f>orders[[#This Row],[Ship Date]]-orders[[#This Row],[Order Date]]</f>
        <v>0</v>
      </c>
      <c r="N1939">
        <f>WEEKNUM(orders[[#This Row],[Order Date]])</f>
        <v>11</v>
      </c>
      <c r="O1939" t="str">
        <f>_xlfn.IFS(orders[[#This Row],[Customer Gender]]="M","Male", orders[[#This Row],[Customer Gender]]="F","Female", orders[[#This Row],[Customer Gender]]="O","Other", TRUE,"Unknown")</f>
        <v>Female</v>
      </c>
    </row>
    <row r="1940" spans="1:15">
      <c r="A1940" t="s">
        <v>2040</v>
      </c>
      <c r="B1940" t="s">
        <v>16</v>
      </c>
      <c r="C1940">
        <v>2</v>
      </c>
      <c r="D1940">
        <v>20.2</v>
      </c>
      <c r="E1940">
        <v>40.4</v>
      </c>
      <c r="F1940" s="1">
        <v>45728</v>
      </c>
      <c r="G1940" s="1">
        <v>45729</v>
      </c>
      <c r="H1940" t="s">
        <v>23</v>
      </c>
      <c r="I1940" t="s">
        <v>18</v>
      </c>
      <c r="J1940">
        <v>3</v>
      </c>
      <c r="K1940" t="s">
        <v>19</v>
      </c>
      <c r="L1940" t="s">
        <v>33</v>
      </c>
      <c r="M1940">
        <f>orders[[#This Row],[Ship Date]]-orders[[#This Row],[Order Date]]</f>
        <v>1</v>
      </c>
      <c r="N1940">
        <f>WEEKNUM(orders[[#This Row],[Order Date]])</f>
        <v>11</v>
      </c>
      <c r="O1940" t="str">
        <f>_xlfn.IFS(orders[[#This Row],[Customer Gender]]="M","Male", orders[[#This Row],[Customer Gender]]="F","Female", orders[[#This Row],[Customer Gender]]="O","Other", TRUE,"Unknown")</f>
        <v>Male</v>
      </c>
    </row>
    <row r="1941" spans="1:15">
      <c r="A1941" t="s">
        <v>2041</v>
      </c>
      <c r="B1941" t="s">
        <v>67</v>
      </c>
      <c r="C1941">
        <v>11</v>
      </c>
      <c r="D1941">
        <v>29.5</v>
      </c>
      <c r="E1941">
        <v>324.5</v>
      </c>
      <c r="F1941" s="1">
        <v>45728</v>
      </c>
      <c r="G1941" s="1">
        <v>45729</v>
      </c>
      <c r="H1941" t="s">
        <v>23</v>
      </c>
      <c r="I1941" t="s">
        <v>18</v>
      </c>
      <c r="J1941">
        <v>4</v>
      </c>
      <c r="K1941" t="s">
        <v>19</v>
      </c>
      <c r="L1941" t="s">
        <v>33</v>
      </c>
      <c r="M1941">
        <f>orders[[#This Row],[Ship Date]]-orders[[#This Row],[Order Date]]</f>
        <v>1</v>
      </c>
      <c r="N1941">
        <f>WEEKNUM(orders[[#This Row],[Order Date]])</f>
        <v>11</v>
      </c>
      <c r="O1941" t="str">
        <f>_xlfn.IFS(orders[[#This Row],[Customer Gender]]="M","Male", orders[[#This Row],[Customer Gender]]="F","Female", orders[[#This Row],[Customer Gender]]="O","Other", TRUE,"Unknown")</f>
        <v>Male</v>
      </c>
    </row>
    <row r="1942" spans="1:15">
      <c r="A1942" t="s">
        <v>2042</v>
      </c>
      <c r="B1942" t="s">
        <v>123</v>
      </c>
      <c r="C1942">
        <v>7</v>
      </c>
      <c r="D1942">
        <v>37.9</v>
      </c>
      <c r="E1942">
        <v>265.3</v>
      </c>
      <c r="F1942" s="1">
        <v>45728</v>
      </c>
      <c r="G1942" s="1">
        <v>45729</v>
      </c>
      <c r="H1942" t="s">
        <v>23</v>
      </c>
      <c r="I1942" t="s">
        <v>35</v>
      </c>
      <c r="J1942">
        <v>4</v>
      </c>
      <c r="K1942" t="s">
        <v>19</v>
      </c>
      <c r="L1942" t="s">
        <v>33</v>
      </c>
      <c r="M1942">
        <f>orders[[#This Row],[Ship Date]]-orders[[#This Row],[Order Date]]</f>
        <v>1</v>
      </c>
      <c r="N1942">
        <f>WEEKNUM(orders[[#This Row],[Order Date]])</f>
        <v>11</v>
      </c>
      <c r="O1942" t="str">
        <f>_xlfn.IFS(orders[[#This Row],[Customer Gender]]="M","Male", orders[[#This Row],[Customer Gender]]="F","Female", orders[[#This Row],[Customer Gender]]="O","Other", TRUE,"Unknown")</f>
        <v>Male</v>
      </c>
    </row>
    <row r="1943" spans="1:15">
      <c r="A1943" t="s">
        <v>2043</v>
      </c>
      <c r="B1943" t="s">
        <v>26</v>
      </c>
      <c r="C1943">
        <v>1</v>
      </c>
      <c r="D1943">
        <v>56.5</v>
      </c>
      <c r="E1943">
        <v>56.5</v>
      </c>
      <c r="F1943" s="1">
        <v>45728</v>
      </c>
      <c r="G1943" s="1">
        <v>45729</v>
      </c>
      <c r="H1943" t="s">
        <v>27</v>
      </c>
      <c r="I1943" t="s">
        <v>40</v>
      </c>
      <c r="J1943">
        <v>3</v>
      </c>
      <c r="K1943" t="s">
        <v>19</v>
      </c>
      <c r="L1943" t="s">
        <v>33</v>
      </c>
      <c r="M1943">
        <f>orders[[#This Row],[Ship Date]]-orders[[#This Row],[Order Date]]</f>
        <v>1</v>
      </c>
      <c r="N1943">
        <f>WEEKNUM(orders[[#This Row],[Order Date]])</f>
        <v>11</v>
      </c>
      <c r="O1943" t="str">
        <f>_xlfn.IFS(orders[[#This Row],[Customer Gender]]="M","Male", orders[[#This Row],[Customer Gender]]="F","Female", orders[[#This Row],[Customer Gender]]="O","Other", TRUE,"Unknown")</f>
        <v>Female</v>
      </c>
    </row>
    <row r="1944" spans="1:15">
      <c r="A1944" t="s">
        <v>2044</v>
      </c>
      <c r="B1944" t="s">
        <v>26</v>
      </c>
      <c r="C1944">
        <v>2</v>
      </c>
      <c r="D1944">
        <v>66.900000000000006</v>
      </c>
      <c r="E1944">
        <v>133.80000000000001</v>
      </c>
      <c r="F1944" s="1">
        <v>45728</v>
      </c>
      <c r="G1944" s="1">
        <v>45734</v>
      </c>
      <c r="H1944" t="s">
        <v>23</v>
      </c>
      <c r="I1944" t="s">
        <v>35</v>
      </c>
      <c r="J1944">
        <v>2</v>
      </c>
      <c r="K1944" t="s">
        <v>19</v>
      </c>
      <c r="L1944" t="s">
        <v>188</v>
      </c>
      <c r="M1944">
        <f>orders[[#This Row],[Ship Date]]-orders[[#This Row],[Order Date]]</f>
        <v>6</v>
      </c>
      <c r="N1944">
        <f>WEEKNUM(orders[[#This Row],[Order Date]])</f>
        <v>11</v>
      </c>
      <c r="O1944" t="str">
        <f>_xlfn.IFS(orders[[#This Row],[Customer Gender]]="M","Male", orders[[#This Row],[Customer Gender]]="F","Female", orders[[#This Row],[Customer Gender]]="O","Other", TRUE,"Unknown")</f>
        <v>Male</v>
      </c>
    </row>
    <row r="1945" spans="1:15">
      <c r="A1945" t="s">
        <v>2045</v>
      </c>
      <c r="B1945" t="s">
        <v>26</v>
      </c>
      <c r="C1945">
        <v>5</v>
      </c>
      <c r="D1945">
        <v>51.9</v>
      </c>
      <c r="E1945">
        <v>259.5</v>
      </c>
      <c r="F1945" s="1">
        <v>45728</v>
      </c>
      <c r="G1945" s="1">
        <v>45731</v>
      </c>
      <c r="H1945" t="s">
        <v>23</v>
      </c>
      <c r="I1945" t="s">
        <v>35</v>
      </c>
      <c r="J1945">
        <v>4</v>
      </c>
      <c r="K1945" t="s">
        <v>19</v>
      </c>
      <c r="L1945" t="s">
        <v>59</v>
      </c>
      <c r="M1945">
        <f>orders[[#This Row],[Ship Date]]-orders[[#This Row],[Order Date]]</f>
        <v>3</v>
      </c>
      <c r="N1945">
        <f>WEEKNUM(orders[[#This Row],[Order Date]])</f>
        <v>11</v>
      </c>
      <c r="O1945" t="str">
        <f>_xlfn.IFS(orders[[#This Row],[Customer Gender]]="M","Male", orders[[#This Row],[Customer Gender]]="F","Female", orders[[#This Row],[Customer Gender]]="O","Other", TRUE,"Unknown")</f>
        <v>Male</v>
      </c>
    </row>
    <row r="1946" spans="1:15">
      <c r="A1946" t="s">
        <v>2046</v>
      </c>
      <c r="B1946" t="s">
        <v>26</v>
      </c>
      <c r="C1946">
        <v>2</v>
      </c>
      <c r="D1946">
        <v>75.599999999999994</v>
      </c>
      <c r="E1946">
        <v>151.19999999999999</v>
      </c>
      <c r="F1946" s="1">
        <v>45728</v>
      </c>
      <c r="G1946" s="1">
        <v>45731</v>
      </c>
      <c r="H1946" t="s">
        <v>23</v>
      </c>
      <c r="I1946" t="s">
        <v>35</v>
      </c>
      <c r="J1946">
        <v>4</v>
      </c>
      <c r="K1946" t="s">
        <v>19</v>
      </c>
      <c r="L1946" t="s">
        <v>62</v>
      </c>
      <c r="M1946">
        <f>orders[[#This Row],[Ship Date]]-orders[[#This Row],[Order Date]]</f>
        <v>3</v>
      </c>
      <c r="N1946">
        <f>WEEKNUM(orders[[#This Row],[Order Date]])</f>
        <v>11</v>
      </c>
      <c r="O1946" t="str">
        <f>_xlfn.IFS(orders[[#This Row],[Customer Gender]]="M","Male", orders[[#This Row],[Customer Gender]]="F","Female", orders[[#This Row],[Customer Gender]]="O","Other", TRUE,"Unknown")</f>
        <v>Male</v>
      </c>
    </row>
    <row r="1947" spans="1:15">
      <c r="A1947" t="s">
        <v>2047</v>
      </c>
      <c r="B1947" t="s">
        <v>69</v>
      </c>
      <c r="C1947">
        <v>6</v>
      </c>
      <c r="D1947">
        <v>47.3</v>
      </c>
      <c r="E1947">
        <v>283.79999999999995</v>
      </c>
      <c r="F1947" s="1">
        <v>45728</v>
      </c>
      <c r="G1947" s="1">
        <v>45739</v>
      </c>
      <c r="H1947" t="s">
        <v>23</v>
      </c>
      <c r="I1947" t="s">
        <v>18</v>
      </c>
      <c r="J1947">
        <v>4</v>
      </c>
      <c r="K1947" t="s">
        <v>19</v>
      </c>
      <c r="L1947" t="s">
        <v>62</v>
      </c>
      <c r="M1947">
        <f>orders[[#This Row],[Ship Date]]-orders[[#This Row],[Order Date]]</f>
        <v>11</v>
      </c>
      <c r="N1947">
        <f>WEEKNUM(orders[[#This Row],[Order Date]])</f>
        <v>11</v>
      </c>
      <c r="O1947" t="str">
        <f>_xlfn.IFS(orders[[#This Row],[Customer Gender]]="M","Male", orders[[#This Row],[Customer Gender]]="F","Female", orders[[#This Row],[Customer Gender]]="O","Other", TRUE,"Unknown")</f>
        <v>Male</v>
      </c>
    </row>
    <row r="1948" spans="1:15">
      <c r="A1948" t="s">
        <v>2048</v>
      </c>
      <c r="B1948" t="s">
        <v>32</v>
      </c>
      <c r="C1948">
        <v>1</v>
      </c>
      <c r="D1948">
        <v>20.6</v>
      </c>
      <c r="E1948">
        <v>20.6</v>
      </c>
      <c r="F1948" s="1">
        <v>45728</v>
      </c>
      <c r="G1948" s="1">
        <v>45729</v>
      </c>
      <c r="H1948" t="s">
        <v>17</v>
      </c>
      <c r="I1948" t="s">
        <v>18</v>
      </c>
      <c r="J1948">
        <v>3</v>
      </c>
      <c r="K1948" t="s">
        <v>19</v>
      </c>
      <c r="L1948" t="s">
        <v>62</v>
      </c>
      <c r="M1948">
        <f>orders[[#This Row],[Ship Date]]-orders[[#This Row],[Order Date]]</f>
        <v>1</v>
      </c>
      <c r="N1948">
        <f>WEEKNUM(orders[[#This Row],[Order Date]])</f>
        <v>11</v>
      </c>
      <c r="O1948" t="str">
        <f>_xlfn.IFS(orders[[#This Row],[Customer Gender]]="M","Male", orders[[#This Row],[Customer Gender]]="F","Female", orders[[#This Row],[Customer Gender]]="O","Other", TRUE,"Unknown")</f>
        <v>Unknown</v>
      </c>
    </row>
    <row r="1949" spans="1:15">
      <c r="A1949" t="s">
        <v>2049</v>
      </c>
      <c r="B1949" t="s">
        <v>39</v>
      </c>
      <c r="C1949">
        <v>3</v>
      </c>
      <c r="D1949">
        <v>49.7</v>
      </c>
      <c r="E1949">
        <v>149.10000000000002</v>
      </c>
      <c r="F1949" s="1">
        <v>45728</v>
      </c>
      <c r="G1949" s="1">
        <v>45730</v>
      </c>
      <c r="H1949" t="s">
        <v>23</v>
      </c>
      <c r="I1949" t="s">
        <v>18</v>
      </c>
      <c r="J1949">
        <v>3</v>
      </c>
      <c r="K1949" t="s">
        <v>19</v>
      </c>
      <c r="L1949" t="s">
        <v>62</v>
      </c>
      <c r="M1949">
        <f>orders[[#This Row],[Ship Date]]-orders[[#This Row],[Order Date]]</f>
        <v>2</v>
      </c>
      <c r="N1949">
        <f>WEEKNUM(orders[[#This Row],[Order Date]])</f>
        <v>11</v>
      </c>
      <c r="O1949" t="str">
        <f>_xlfn.IFS(orders[[#This Row],[Customer Gender]]="M","Male", orders[[#This Row],[Customer Gender]]="F","Female", orders[[#This Row],[Customer Gender]]="O","Other", TRUE,"Unknown")</f>
        <v>Male</v>
      </c>
    </row>
    <row r="1950" spans="1:15">
      <c r="A1950" t="s">
        <v>2050</v>
      </c>
      <c r="B1950" t="s">
        <v>30</v>
      </c>
      <c r="C1950">
        <v>1</v>
      </c>
      <c r="D1950">
        <v>37.9</v>
      </c>
      <c r="E1950">
        <v>37.9</v>
      </c>
      <c r="F1950" s="1">
        <v>45728</v>
      </c>
      <c r="G1950" s="1">
        <v>45730</v>
      </c>
      <c r="H1950" t="s">
        <v>27</v>
      </c>
      <c r="I1950" t="s">
        <v>18</v>
      </c>
      <c r="J1950">
        <v>4</v>
      </c>
      <c r="K1950" t="s">
        <v>19</v>
      </c>
      <c r="L1950" t="s">
        <v>62</v>
      </c>
      <c r="M1950">
        <f>orders[[#This Row],[Ship Date]]-orders[[#This Row],[Order Date]]</f>
        <v>2</v>
      </c>
      <c r="N1950">
        <f>WEEKNUM(orders[[#This Row],[Order Date]])</f>
        <v>11</v>
      </c>
      <c r="O1950" t="str">
        <f>_xlfn.IFS(orders[[#This Row],[Customer Gender]]="M","Male", orders[[#This Row],[Customer Gender]]="F","Female", orders[[#This Row],[Customer Gender]]="O","Other", TRUE,"Unknown")</f>
        <v>Female</v>
      </c>
    </row>
    <row r="1951" spans="1:15">
      <c r="A1951" t="s">
        <v>2051</v>
      </c>
      <c r="B1951" t="s">
        <v>76</v>
      </c>
      <c r="C1951">
        <v>15</v>
      </c>
      <c r="D1951">
        <v>32</v>
      </c>
      <c r="E1951">
        <v>480</v>
      </c>
      <c r="F1951" s="1">
        <v>45728</v>
      </c>
      <c r="G1951" s="1">
        <v>45730</v>
      </c>
      <c r="H1951" t="s">
        <v>27</v>
      </c>
      <c r="I1951" t="s">
        <v>70</v>
      </c>
      <c r="J1951">
        <v>4</v>
      </c>
      <c r="K1951" t="s">
        <v>19</v>
      </c>
      <c r="L1951" t="s">
        <v>77</v>
      </c>
      <c r="M1951">
        <f>orders[[#This Row],[Ship Date]]-orders[[#This Row],[Order Date]]</f>
        <v>2</v>
      </c>
      <c r="N1951">
        <f>WEEKNUM(orders[[#This Row],[Order Date]])</f>
        <v>11</v>
      </c>
      <c r="O1951" t="str">
        <f>_xlfn.IFS(orders[[#This Row],[Customer Gender]]="M","Male", orders[[#This Row],[Customer Gender]]="F","Female", orders[[#This Row],[Customer Gender]]="O","Other", TRUE,"Unknown")</f>
        <v>Female</v>
      </c>
    </row>
    <row r="1952" spans="1:15">
      <c r="A1952" t="s">
        <v>2052</v>
      </c>
      <c r="B1952" t="s">
        <v>54</v>
      </c>
      <c r="C1952">
        <v>18</v>
      </c>
      <c r="D1952">
        <v>38.5</v>
      </c>
      <c r="E1952">
        <v>693</v>
      </c>
      <c r="F1952" s="1">
        <v>45729</v>
      </c>
      <c r="G1952" s="1">
        <v>45730</v>
      </c>
      <c r="H1952" t="s">
        <v>23</v>
      </c>
      <c r="I1952" t="s">
        <v>18</v>
      </c>
      <c r="J1952">
        <v>5</v>
      </c>
      <c r="K1952" t="s">
        <v>19</v>
      </c>
      <c r="L1952" t="s">
        <v>77</v>
      </c>
      <c r="M1952">
        <f>orders[[#This Row],[Ship Date]]-orders[[#This Row],[Order Date]]</f>
        <v>1</v>
      </c>
      <c r="N1952">
        <f>WEEKNUM(orders[[#This Row],[Order Date]])</f>
        <v>11</v>
      </c>
      <c r="O1952" t="str">
        <f>_xlfn.IFS(orders[[#This Row],[Customer Gender]]="M","Male", orders[[#This Row],[Customer Gender]]="F","Female", orders[[#This Row],[Customer Gender]]="O","Other", TRUE,"Unknown")</f>
        <v>Male</v>
      </c>
    </row>
    <row r="1953" spans="1:15">
      <c r="A1953" t="s">
        <v>2053</v>
      </c>
      <c r="B1953" t="s">
        <v>16</v>
      </c>
      <c r="C1953">
        <v>4</v>
      </c>
      <c r="D1953">
        <v>11.7</v>
      </c>
      <c r="E1953">
        <v>46.8</v>
      </c>
      <c r="F1953" s="1">
        <v>45729</v>
      </c>
      <c r="G1953" s="1">
        <v>45731</v>
      </c>
      <c r="H1953" t="s">
        <v>27</v>
      </c>
      <c r="I1953" t="s">
        <v>35</v>
      </c>
      <c r="J1953">
        <v>4</v>
      </c>
      <c r="K1953" t="s">
        <v>19</v>
      </c>
      <c r="L1953" t="s">
        <v>113</v>
      </c>
      <c r="M1953">
        <f>orders[[#This Row],[Ship Date]]-orders[[#This Row],[Order Date]]</f>
        <v>2</v>
      </c>
      <c r="N1953">
        <f>WEEKNUM(orders[[#This Row],[Order Date]])</f>
        <v>11</v>
      </c>
      <c r="O1953" t="str">
        <f>_xlfn.IFS(orders[[#This Row],[Customer Gender]]="M","Male", orders[[#This Row],[Customer Gender]]="F","Female", orders[[#This Row],[Customer Gender]]="O","Other", TRUE,"Unknown")</f>
        <v>Female</v>
      </c>
    </row>
    <row r="1954" spans="1:15">
      <c r="A1954" t="s">
        <v>2054</v>
      </c>
      <c r="B1954" t="s">
        <v>30</v>
      </c>
      <c r="C1954">
        <v>6</v>
      </c>
      <c r="D1954">
        <v>83.8</v>
      </c>
      <c r="E1954">
        <v>502.79999999999995</v>
      </c>
      <c r="F1954" s="1">
        <v>45729</v>
      </c>
      <c r="G1954" s="1">
        <v>45730</v>
      </c>
      <c r="H1954" t="s">
        <v>23</v>
      </c>
      <c r="I1954" t="s">
        <v>18</v>
      </c>
      <c r="J1954">
        <v>4</v>
      </c>
      <c r="K1954" t="s">
        <v>19</v>
      </c>
      <c r="L1954" t="s">
        <v>115</v>
      </c>
      <c r="M1954">
        <f>orders[[#This Row],[Ship Date]]-orders[[#This Row],[Order Date]]</f>
        <v>1</v>
      </c>
      <c r="N1954">
        <f>WEEKNUM(orders[[#This Row],[Order Date]])</f>
        <v>11</v>
      </c>
      <c r="O1954" t="str">
        <f>_xlfn.IFS(orders[[#This Row],[Customer Gender]]="M","Male", orders[[#This Row],[Customer Gender]]="F","Female", orders[[#This Row],[Customer Gender]]="O","Other", TRUE,"Unknown")</f>
        <v>Male</v>
      </c>
    </row>
    <row r="1955" spans="1:15">
      <c r="A1955" t="s">
        <v>2055</v>
      </c>
      <c r="B1955" t="s">
        <v>16</v>
      </c>
      <c r="C1955">
        <v>7</v>
      </c>
      <c r="D1955">
        <v>14</v>
      </c>
      <c r="E1955">
        <v>98</v>
      </c>
      <c r="F1955" s="1">
        <v>45729</v>
      </c>
      <c r="G1955" s="1">
        <v>45732</v>
      </c>
      <c r="H1955" t="s">
        <v>23</v>
      </c>
      <c r="I1955" t="s">
        <v>18</v>
      </c>
      <c r="J1955">
        <v>3</v>
      </c>
      <c r="K1955" t="s">
        <v>19</v>
      </c>
      <c r="L1955" t="s">
        <v>147</v>
      </c>
      <c r="M1955">
        <f>orders[[#This Row],[Ship Date]]-orders[[#This Row],[Order Date]]</f>
        <v>3</v>
      </c>
      <c r="N1955">
        <f>WEEKNUM(orders[[#This Row],[Order Date]])</f>
        <v>11</v>
      </c>
      <c r="O1955" t="str">
        <f>_xlfn.IFS(orders[[#This Row],[Customer Gender]]="M","Male", orders[[#This Row],[Customer Gender]]="F","Female", orders[[#This Row],[Customer Gender]]="O","Other", TRUE,"Unknown")</f>
        <v>Male</v>
      </c>
    </row>
    <row r="1956" spans="1:15">
      <c r="A1956" t="s">
        <v>2056</v>
      </c>
      <c r="B1956" t="s">
        <v>128</v>
      </c>
      <c r="C1956">
        <v>4</v>
      </c>
      <c r="D1956">
        <v>77.3</v>
      </c>
      <c r="E1956">
        <v>309.2</v>
      </c>
      <c r="F1956" s="1">
        <v>45729</v>
      </c>
      <c r="G1956" s="1">
        <v>45731</v>
      </c>
      <c r="H1956" t="s">
        <v>27</v>
      </c>
      <c r="I1956" t="s">
        <v>70</v>
      </c>
      <c r="J1956">
        <v>5</v>
      </c>
      <c r="K1956" t="s">
        <v>19</v>
      </c>
      <c r="L1956" t="s">
        <v>33</v>
      </c>
      <c r="M1956">
        <f>orders[[#This Row],[Ship Date]]-orders[[#This Row],[Order Date]]</f>
        <v>2</v>
      </c>
      <c r="N1956">
        <f>WEEKNUM(orders[[#This Row],[Order Date]])</f>
        <v>11</v>
      </c>
      <c r="O1956" t="str">
        <f>_xlfn.IFS(orders[[#This Row],[Customer Gender]]="M","Male", orders[[#This Row],[Customer Gender]]="F","Female", orders[[#This Row],[Customer Gender]]="O","Other", TRUE,"Unknown")</f>
        <v>Female</v>
      </c>
    </row>
    <row r="1957" spans="1:15">
      <c r="A1957" t="s">
        <v>2057</v>
      </c>
      <c r="B1957" t="s">
        <v>26</v>
      </c>
      <c r="C1957">
        <v>2</v>
      </c>
      <c r="D1957">
        <v>76.900000000000006</v>
      </c>
      <c r="E1957">
        <v>153.80000000000001</v>
      </c>
      <c r="F1957" s="1">
        <v>45729</v>
      </c>
      <c r="G1957" s="1">
        <v>45733</v>
      </c>
      <c r="H1957" t="s">
        <v>27</v>
      </c>
      <c r="I1957" t="s">
        <v>18</v>
      </c>
      <c r="J1957">
        <v>3</v>
      </c>
      <c r="K1957" t="s">
        <v>19</v>
      </c>
      <c r="L1957" t="s">
        <v>33</v>
      </c>
      <c r="M1957">
        <f>orders[[#This Row],[Ship Date]]-orders[[#This Row],[Order Date]]</f>
        <v>4</v>
      </c>
      <c r="N1957">
        <f>WEEKNUM(orders[[#This Row],[Order Date]])</f>
        <v>11</v>
      </c>
      <c r="O1957" t="str">
        <f>_xlfn.IFS(orders[[#This Row],[Customer Gender]]="M","Male", orders[[#This Row],[Customer Gender]]="F","Female", orders[[#This Row],[Customer Gender]]="O","Other", TRUE,"Unknown")</f>
        <v>Female</v>
      </c>
    </row>
    <row r="1958" spans="1:15">
      <c r="A1958" t="s">
        <v>2058</v>
      </c>
      <c r="B1958" t="s">
        <v>22</v>
      </c>
      <c r="C1958">
        <v>1</v>
      </c>
      <c r="D1958">
        <v>48</v>
      </c>
      <c r="E1958">
        <v>48</v>
      </c>
      <c r="F1958" s="1">
        <v>45729</v>
      </c>
      <c r="G1958" s="1">
        <v>45731</v>
      </c>
      <c r="H1958" t="s">
        <v>27</v>
      </c>
      <c r="I1958" t="s">
        <v>35</v>
      </c>
      <c r="J1958">
        <v>5</v>
      </c>
      <c r="K1958" t="s">
        <v>19</v>
      </c>
      <c r="L1958" t="s">
        <v>33</v>
      </c>
      <c r="M1958">
        <f>orders[[#This Row],[Ship Date]]-orders[[#This Row],[Order Date]]</f>
        <v>2</v>
      </c>
      <c r="N1958">
        <f>WEEKNUM(orders[[#This Row],[Order Date]])</f>
        <v>11</v>
      </c>
      <c r="O1958" t="str">
        <f>_xlfn.IFS(orders[[#This Row],[Customer Gender]]="M","Male", orders[[#This Row],[Customer Gender]]="F","Female", orders[[#This Row],[Customer Gender]]="O","Other", TRUE,"Unknown")</f>
        <v>Female</v>
      </c>
    </row>
    <row r="1959" spans="1:15">
      <c r="A1959" t="s">
        <v>2059</v>
      </c>
      <c r="B1959" t="s">
        <v>26</v>
      </c>
      <c r="C1959">
        <v>1</v>
      </c>
      <c r="D1959">
        <v>94.5</v>
      </c>
      <c r="E1959">
        <v>94.5</v>
      </c>
      <c r="F1959" s="1">
        <v>45729</v>
      </c>
      <c r="G1959" s="1">
        <v>45732</v>
      </c>
      <c r="H1959" t="s">
        <v>23</v>
      </c>
      <c r="I1959" t="s">
        <v>35</v>
      </c>
      <c r="J1959">
        <v>3</v>
      </c>
      <c r="K1959" t="s">
        <v>19</v>
      </c>
      <c r="L1959" t="s">
        <v>33</v>
      </c>
      <c r="M1959">
        <f>orders[[#This Row],[Ship Date]]-orders[[#This Row],[Order Date]]</f>
        <v>3</v>
      </c>
      <c r="N1959">
        <f>WEEKNUM(orders[[#This Row],[Order Date]])</f>
        <v>11</v>
      </c>
      <c r="O1959" t="str">
        <f>_xlfn.IFS(orders[[#This Row],[Customer Gender]]="M","Male", orders[[#This Row],[Customer Gender]]="F","Female", orders[[#This Row],[Customer Gender]]="O","Other", TRUE,"Unknown")</f>
        <v>Male</v>
      </c>
    </row>
    <row r="1960" spans="1:15">
      <c r="A1960" t="s">
        <v>2060</v>
      </c>
      <c r="B1960" t="s">
        <v>54</v>
      </c>
      <c r="C1960">
        <v>3</v>
      </c>
      <c r="D1960">
        <v>58.4</v>
      </c>
      <c r="E1960">
        <v>175.2</v>
      </c>
      <c r="F1960" s="1">
        <v>45729</v>
      </c>
      <c r="G1960" s="1">
        <v>45731</v>
      </c>
      <c r="H1960" t="s">
        <v>27</v>
      </c>
      <c r="I1960" t="s">
        <v>35</v>
      </c>
      <c r="J1960">
        <v>5</v>
      </c>
      <c r="K1960" t="s">
        <v>19</v>
      </c>
      <c r="L1960" t="s">
        <v>33</v>
      </c>
      <c r="M1960">
        <f>orders[[#This Row],[Ship Date]]-orders[[#This Row],[Order Date]]</f>
        <v>2</v>
      </c>
      <c r="N1960">
        <f>WEEKNUM(orders[[#This Row],[Order Date]])</f>
        <v>11</v>
      </c>
      <c r="O1960" t="str">
        <f>_xlfn.IFS(orders[[#This Row],[Customer Gender]]="M","Male", orders[[#This Row],[Customer Gender]]="F","Female", orders[[#This Row],[Customer Gender]]="O","Other", TRUE,"Unknown")</f>
        <v>Female</v>
      </c>
    </row>
    <row r="1961" spans="1:15">
      <c r="A1961" t="s">
        <v>2061</v>
      </c>
      <c r="B1961" t="s">
        <v>42</v>
      </c>
      <c r="C1961">
        <v>13</v>
      </c>
      <c r="D1961">
        <v>42.2</v>
      </c>
      <c r="E1961">
        <v>548.6</v>
      </c>
      <c r="F1961" s="1">
        <v>45729</v>
      </c>
      <c r="G1961" s="1">
        <v>45729</v>
      </c>
      <c r="H1961" t="s">
        <v>23</v>
      </c>
      <c r="I1961" t="s">
        <v>18</v>
      </c>
      <c r="J1961">
        <v>4</v>
      </c>
      <c r="K1961" t="s">
        <v>19</v>
      </c>
      <c r="L1961" t="s">
        <v>188</v>
      </c>
      <c r="M1961">
        <f>orders[[#This Row],[Ship Date]]-orders[[#This Row],[Order Date]]</f>
        <v>0</v>
      </c>
      <c r="N1961">
        <f>WEEKNUM(orders[[#This Row],[Order Date]])</f>
        <v>11</v>
      </c>
      <c r="O1961" t="str">
        <f>_xlfn.IFS(orders[[#This Row],[Customer Gender]]="M","Male", orders[[#This Row],[Customer Gender]]="F","Female", orders[[#This Row],[Customer Gender]]="O","Other", TRUE,"Unknown")</f>
        <v>Male</v>
      </c>
    </row>
    <row r="1962" spans="1:15">
      <c r="A1962" t="s">
        <v>2062</v>
      </c>
      <c r="B1962" t="s">
        <v>39</v>
      </c>
      <c r="C1962">
        <v>2</v>
      </c>
      <c r="D1962">
        <v>152.19999999999999</v>
      </c>
      <c r="E1962">
        <v>304.39999999999998</v>
      </c>
      <c r="F1962" s="1">
        <v>45729</v>
      </c>
      <c r="G1962" s="1">
        <v>45730</v>
      </c>
      <c r="H1962" t="s">
        <v>23</v>
      </c>
      <c r="I1962" t="s">
        <v>70</v>
      </c>
      <c r="J1962">
        <v>3</v>
      </c>
      <c r="K1962" t="s">
        <v>19</v>
      </c>
      <c r="L1962" t="s">
        <v>188</v>
      </c>
      <c r="M1962">
        <f>orders[[#This Row],[Ship Date]]-orders[[#This Row],[Order Date]]</f>
        <v>1</v>
      </c>
      <c r="N1962">
        <f>WEEKNUM(orders[[#This Row],[Order Date]])</f>
        <v>11</v>
      </c>
      <c r="O1962" t="str">
        <f>_xlfn.IFS(orders[[#This Row],[Customer Gender]]="M","Male", orders[[#This Row],[Customer Gender]]="F","Female", orders[[#This Row],[Customer Gender]]="O","Other", TRUE,"Unknown")</f>
        <v>Male</v>
      </c>
    </row>
    <row r="1963" spans="1:15">
      <c r="A1963" t="s">
        <v>2063</v>
      </c>
      <c r="B1963" t="s">
        <v>39</v>
      </c>
      <c r="C1963">
        <v>24</v>
      </c>
      <c r="D1963">
        <v>72</v>
      </c>
      <c r="E1963">
        <v>1728</v>
      </c>
      <c r="F1963" s="1">
        <v>45729</v>
      </c>
      <c r="G1963" s="1">
        <v>45730</v>
      </c>
      <c r="H1963" t="s">
        <v>23</v>
      </c>
      <c r="I1963" t="s">
        <v>18</v>
      </c>
      <c r="J1963">
        <v>3</v>
      </c>
      <c r="K1963" t="s">
        <v>19</v>
      </c>
      <c r="L1963" t="s">
        <v>55</v>
      </c>
      <c r="M1963">
        <f>orders[[#This Row],[Ship Date]]-orders[[#This Row],[Order Date]]</f>
        <v>1</v>
      </c>
      <c r="N1963">
        <f>WEEKNUM(orders[[#This Row],[Order Date]])</f>
        <v>11</v>
      </c>
      <c r="O1963" t="str">
        <f>_xlfn.IFS(orders[[#This Row],[Customer Gender]]="M","Male", orders[[#This Row],[Customer Gender]]="F","Female", orders[[#This Row],[Customer Gender]]="O","Other", TRUE,"Unknown")</f>
        <v>Male</v>
      </c>
    </row>
    <row r="1964" spans="1:15">
      <c r="A1964" t="s">
        <v>2064</v>
      </c>
      <c r="B1964" t="s">
        <v>22</v>
      </c>
      <c r="C1964">
        <v>23</v>
      </c>
      <c r="D1964">
        <v>70.900000000000006</v>
      </c>
      <c r="E1964">
        <v>1630.7</v>
      </c>
      <c r="F1964" s="1">
        <v>45729</v>
      </c>
      <c r="G1964" s="1">
        <v>45730</v>
      </c>
      <c r="H1964" t="s">
        <v>27</v>
      </c>
      <c r="I1964" t="s">
        <v>40</v>
      </c>
      <c r="J1964">
        <v>4</v>
      </c>
      <c r="K1964" t="s">
        <v>19</v>
      </c>
      <c r="L1964" t="s">
        <v>62</v>
      </c>
      <c r="M1964">
        <f>orders[[#This Row],[Ship Date]]-orders[[#This Row],[Order Date]]</f>
        <v>1</v>
      </c>
      <c r="N1964">
        <f>WEEKNUM(orders[[#This Row],[Order Date]])</f>
        <v>11</v>
      </c>
      <c r="O1964" t="str">
        <f>_xlfn.IFS(orders[[#This Row],[Customer Gender]]="M","Male", orders[[#This Row],[Customer Gender]]="F","Female", orders[[#This Row],[Customer Gender]]="O","Other", TRUE,"Unknown")</f>
        <v>Female</v>
      </c>
    </row>
    <row r="1965" spans="1:15">
      <c r="A1965" t="s">
        <v>2065</v>
      </c>
      <c r="B1965" t="s">
        <v>26</v>
      </c>
      <c r="C1965">
        <v>2</v>
      </c>
      <c r="D1965">
        <v>53.7</v>
      </c>
      <c r="E1965">
        <v>107.4</v>
      </c>
      <c r="F1965" s="1">
        <v>45729</v>
      </c>
      <c r="G1965" s="1">
        <v>45730</v>
      </c>
      <c r="H1965" t="s">
        <v>23</v>
      </c>
      <c r="I1965" t="s">
        <v>40</v>
      </c>
      <c r="J1965">
        <v>5</v>
      </c>
      <c r="K1965" t="s">
        <v>19</v>
      </c>
      <c r="L1965" t="s">
        <v>62</v>
      </c>
      <c r="M1965">
        <f>orders[[#This Row],[Ship Date]]-orders[[#This Row],[Order Date]]</f>
        <v>1</v>
      </c>
      <c r="N1965">
        <f>WEEKNUM(orders[[#This Row],[Order Date]])</f>
        <v>11</v>
      </c>
      <c r="O1965" t="str">
        <f>_xlfn.IFS(orders[[#This Row],[Customer Gender]]="M","Male", orders[[#This Row],[Customer Gender]]="F","Female", orders[[#This Row],[Customer Gender]]="O","Other", TRUE,"Unknown")</f>
        <v>Male</v>
      </c>
    </row>
    <row r="1966" spans="1:15">
      <c r="A1966" t="s">
        <v>2066</v>
      </c>
      <c r="B1966" t="s">
        <v>46</v>
      </c>
      <c r="C1966">
        <v>4</v>
      </c>
      <c r="D1966">
        <v>42.9</v>
      </c>
      <c r="E1966">
        <v>171.6</v>
      </c>
      <c r="F1966" s="1">
        <v>45729</v>
      </c>
      <c r="G1966" s="1">
        <v>45730</v>
      </c>
      <c r="H1966" t="s">
        <v>27</v>
      </c>
      <c r="I1966" t="s">
        <v>40</v>
      </c>
      <c r="J1966">
        <v>2</v>
      </c>
      <c r="K1966" t="s">
        <v>19</v>
      </c>
      <c r="L1966" t="s">
        <v>72</v>
      </c>
      <c r="M1966">
        <f>orders[[#This Row],[Ship Date]]-orders[[#This Row],[Order Date]]</f>
        <v>1</v>
      </c>
      <c r="N1966">
        <f>WEEKNUM(orders[[#This Row],[Order Date]])</f>
        <v>11</v>
      </c>
      <c r="O1966" t="str">
        <f>_xlfn.IFS(orders[[#This Row],[Customer Gender]]="M","Male", orders[[#This Row],[Customer Gender]]="F","Female", orders[[#This Row],[Customer Gender]]="O","Other", TRUE,"Unknown")</f>
        <v>Female</v>
      </c>
    </row>
    <row r="1967" spans="1:15">
      <c r="A1967" t="s">
        <v>2067</v>
      </c>
      <c r="B1967" t="s">
        <v>26</v>
      </c>
      <c r="C1967">
        <v>7</v>
      </c>
      <c r="D1967">
        <v>107.5</v>
      </c>
      <c r="E1967">
        <v>752.5</v>
      </c>
      <c r="F1967" s="1">
        <v>45729</v>
      </c>
      <c r="G1967" s="1">
        <v>45730</v>
      </c>
      <c r="H1967" t="s">
        <v>23</v>
      </c>
      <c r="I1967" t="s">
        <v>35</v>
      </c>
      <c r="J1967">
        <v>4</v>
      </c>
      <c r="K1967" t="s">
        <v>19</v>
      </c>
      <c r="L1967" t="s">
        <v>77</v>
      </c>
      <c r="M1967">
        <f>orders[[#This Row],[Ship Date]]-orders[[#This Row],[Order Date]]</f>
        <v>1</v>
      </c>
      <c r="N1967">
        <f>WEEKNUM(orders[[#This Row],[Order Date]])</f>
        <v>11</v>
      </c>
      <c r="O1967" t="str">
        <f>_xlfn.IFS(orders[[#This Row],[Customer Gender]]="M","Male", orders[[#This Row],[Customer Gender]]="F","Female", orders[[#This Row],[Customer Gender]]="O","Other", TRUE,"Unknown")</f>
        <v>Male</v>
      </c>
    </row>
    <row r="1968" spans="1:15">
      <c r="A1968" t="s">
        <v>2068</v>
      </c>
      <c r="B1968" t="s">
        <v>135</v>
      </c>
      <c r="C1968">
        <v>16</v>
      </c>
      <c r="D1968">
        <v>21.5</v>
      </c>
      <c r="E1968">
        <v>344</v>
      </c>
      <c r="F1968" s="1">
        <v>45729</v>
      </c>
      <c r="G1968" s="1">
        <v>45730</v>
      </c>
      <c r="H1968" t="s">
        <v>23</v>
      </c>
      <c r="I1968" t="s">
        <v>35</v>
      </c>
      <c r="J1968">
        <v>3</v>
      </c>
      <c r="K1968" t="s">
        <v>19</v>
      </c>
      <c r="L1968" t="s">
        <v>309</v>
      </c>
      <c r="M1968">
        <f>orders[[#This Row],[Ship Date]]-orders[[#This Row],[Order Date]]</f>
        <v>1</v>
      </c>
      <c r="N1968">
        <f>WEEKNUM(orders[[#This Row],[Order Date]])</f>
        <v>11</v>
      </c>
      <c r="O1968" t="str">
        <f>_xlfn.IFS(orders[[#This Row],[Customer Gender]]="M","Male", orders[[#This Row],[Customer Gender]]="F","Female", orders[[#This Row],[Customer Gender]]="O","Other", TRUE,"Unknown")</f>
        <v>Male</v>
      </c>
    </row>
    <row r="1969" spans="1:15">
      <c r="A1969" t="s">
        <v>2069</v>
      </c>
      <c r="B1969" t="s">
        <v>30</v>
      </c>
      <c r="C1969">
        <v>5</v>
      </c>
      <c r="D1969">
        <v>85.3</v>
      </c>
      <c r="E1969">
        <v>426.5</v>
      </c>
      <c r="F1969" s="1">
        <v>45729</v>
      </c>
      <c r="G1969" s="1">
        <v>45731</v>
      </c>
      <c r="H1969" t="s">
        <v>27</v>
      </c>
      <c r="I1969" t="s">
        <v>51</v>
      </c>
      <c r="J1969">
        <v>4</v>
      </c>
      <c r="K1969" t="s">
        <v>19</v>
      </c>
      <c r="L1969" t="s">
        <v>108</v>
      </c>
      <c r="M1969">
        <f>orders[[#This Row],[Ship Date]]-orders[[#This Row],[Order Date]]</f>
        <v>2</v>
      </c>
      <c r="N1969">
        <f>WEEKNUM(orders[[#This Row],[Order Date]])</f>
        <v>11</v>
      </c>
      <c r="O1969" t="str">
        <f>_xlfn.IFS(orders[[#This Row],[Customer Gender]]="M","Male", orders[[#This Row],[Customer Gender]]="F","Female", orders[[#This Row],[Customer Gender]]="O","Other", TRUE,"Unknown")</f>
        <v>Female</v>
      </c>
    </row>
    <row r="1970" spans="1:15">
      <c r="A1970" t="s">
        <v>2070</v>
      </c>
      <c r="B1970" t="s">
        <v>42</v>
      </c>
      <c r="C1970">
        <v>5</v>
      </c>
      <c r="D1970">
        <v>80.8</v>
      </c>
      <c r="E1970">
        <v>404</v>
      </c>
      <c r="F1970" s="1">
        <v>45729</v>
      </c>
      <c r="G1970" s="1">
        <v>45737</v>
      </c>
      <c r="H1970" t="s">
        <v>89</v>
      </c>
      <c r="I1970" t="s">
        <v>35</v>
      </c>
      <c r="J1970">
        <v>3</v>
      </c>
      <c r="K1970" t="s">
        <v>19</v>
      </c>
      <c r="L1970" t="s">
        <v>110</v>
      </c>
      <c r="M1970">
        <f>orders[[#This Row],[Ship Date]]-orders[[#This Row],[Order Date]]</f>
        <v>8</v>
      </c>
      <c r="N1970">
        <f>WEEKNUM(orders[[#This Row],[Order Date]])</f>
        <v>11</v>
      </c>
      <c r="O1970" t="str">
        <f>_xlfn.IFS(orders[[#This Row],[Customer Gender]]="M","Male", orders[[#This Row],[Customer Gender]]="F","Female", orders[[#This Row],[Customer Gender]]="O","Other", TRUE,"Unknown")</f>
        <v>Other</v>
      </c>
    </row>
    <row r="1971" spans="1:15">
      <c r="A1971" t="s">
        <v>2071</v>
      </c>
      <c r="B1971" t="s">
        <v>26</v>
      </c>
      <c r="C1971">
        <v>3</v>
      </c>
      <c r="D1971">
        <v>123.1</v>
      </c>
      <c r="E1971">
        <v>369.29999999999995</v>
      </c>
      <c r="F1971" s="1">
        <v>45729</v>
      </c>
      <c r="G1971" s="1">
        <v>45731</v>
      </c>
      <c r="H1971" t="s">
        <v>17</v>
      </c>
      <c r="I1971" t="s">
        <v>40</v>
      </c>
      <c r="J1971">
        <v>4</v>
      </c>
      <c r="K1971" t="s">
        <v>19</v>
      </c>
      <c r="L1971" t="s">
        <v>115</v>
      </c>
      <c r="M1971">
        <f>orders[[#This Row],[Ship Date]]-orders[[#This Row],[Order Date]]</f>
        <v>2</v>
      </c>
      <c r="N1971">
        <f>WEEKNUM(orders[[#This Row],[Order Date]])</f>
        <v>11</v>
      </c>
      <c r="O1971" t="str">
        <f>_xlfn.IFS(orders[[#This Row],[Customer Gender]]="M","Male", orders[[#This Row],[Customer Gender]]="F","Female", orders[[#This Row],[Customer Gender]]="O","Other", TRUE,"Unknown")</f>
        <v>Unknown</v>
      </c>
    </row>
    <row r="1972" spans="1:15">
      <c r="A1972" t="s">
        <v>2072</v>
      </c>
      <c r="B1972" t="s">
        <v>44</v>
      </c>
      <c r="C1972">
        <v>2</v>
      </c>
      <c r="D1972">
        <v>36.9</v>
      </c>
      <c r="E1972">
        <v>73.8</v>
      </c>
      <c r="F1972" s="1">
        <v>45729</v>
      </c>
      <c r="G1972" s="1">
        <v>45731</v>
      </c>
      <c r="H1972" t="s">
        <v>27</v>
      </c>
      <c r="I1972" t="s">
        <v>40</v>
      </c>
      <c r="J1972">
        <v>2</v>
      </c>
      <c r="K1972" t="s">
        <v>19</v>
      </c>
      <c r="L1972" t="s">
        <v>967</v>
      </c>
      <c r="M1972">
        <f>orders[[#This Row],[Ship Date]]-orders[[#This Row],[Order Date]]</f>
        <v>2</v>
      </c>
      <c r="N1972">
        <f>WEEKNUM(orders[[#This Row],[Order Date]])</f>
        <v>11</v>
      </c>
      <c r="O1972" t="str">
        <f>_xlfn.IFS(orders[[#This Row],[Customer Gender]]="M","Male", orders[[#This Row],[Customer Gender]]="F","Female", orders[[#This Row],[Customer Gender]]="O","Other", TRUE,"Unknown")</f>
        <v>Female</v>
      </c>
    </row>
    <row r="1973" spans="1:15">
      <c r="A1973" t="s">
        <v>2073</v>
      </c>
      <c r="B1973" t="s">
        <v>67</v>
      </c>
      <c r="C1973">
        <v>5</v>
      </c>
      <c r="D1973">
        <v>40</v>
      </c>
      <c r="E1973">
        <v>200</v>
      </c>
      <c r="F1973" s="1">
        <v>45729</v>
      </c>
      <c r="G1973" s="1">
        <v>45730</v>
      </c>
      <c r="H1973" t="s">
        <v>23</v>
      </c>
      <c r="I1973" t="s">
        <v>18</v>
      </c>
      <c r="J1973">
        <v>4</v>
      </c>
      <c r="K1973" t="s">
        <v>19</v>
      </c>
      <c r="L1973" t="s">
        <v>24</v>
      </c>
      <c r="M1973">
        <f>orders[[#This Row],[Ship Date]]-orders[[#This Row],[Order Date]]</f>
        <v>1</v>
      </c>
      <c r="N1973">
        <f>WEEKNUM(orders[[#This Row],[Order Date]])</f>
        <v>11</v>
      </c>
      <c r="O1973" t="str">
        <f>_xlfn.IFS(orders[[#This Row],[Customer Gender]]="M","Male", orders[[#This Row],[Customer Gender]]="F","Female", orders[[#This Row],[Customer Gender]]="O","Other", TRUE,"Unknown")</f>
        <v>Male</v>
      </c>
    </row>
    <row r="1974" spans="1:15">
      <c r="A1974" t="s">
        <v>2074</v>
      </c>
      <c r="B1974" t="s">
        <v>39</v>
      </c>
      <c r="C1974">
        <v>3</v>
      </c>
      <c r="D1974">
        <v>55.5</v>
      </c>
      <c r="E1974">
        <v>166.5</v>
      </c>
      <c r="F1974" s="1">
        <v>45729</v>
      </c>
      <c r="G1974" s="1">
        <v>45730</v>
      </c>
      <c r="H1974" t="s">
        <v>23</v>
      </c>
      <c r="I1974" t="s">
        <v>70</v>
      </c>
      <c r="J1974">
        <v>5</v>
      </c>
      <c r="K1974" t="s">
        <v>19</v>
      </c>
      <c r="L1974" t="s">
        <v>24</v>
      </c>
      <c r="M1974">
        <f>orders[[#This Row],[Ship Date]]-orders[[#This Row],[Order Date]]</f>
        <v>1</v>
      </c>
      <c r="N1974">
        <f>WEEKNUM(orders[[#This Row],[Order Date]])</f>
        <v>11</v>
      </c>
      <c r="O1974" t="str">
        <f>_xlfn.IFS(orders[[#This Row],[Customer Gender]]="M","Male", orders[[#This Row],[Customer Gender]]="F","Female", orders[[#This Row],[Customer Gender]]="O","Other", TRUE,"Unknown")</f>
        <v>Male</v>
      </c>
    </row>
    <row r="1975" spans="1:15">
      <c r="A1975" t="s">
        <v>2075</v>
      </c>
      <c r="B1975" t="s">
        <v>16</v>
      </c>
      <c r="C1975">
        <v>4</v>
      </c>
      <c r="D1975">
        <v>20.5</v>
      </c>
      <c r="E1975">
        <v>82</v>
      </c>
      <c r="F1975" s="1">
        <v>45729</v>
      </c>
      <c r="G1975" s="1">
        <v>45733</v>
      </c>
      <c r="H1975" t="s">
        <v>27</v>
      </c>
      <c r="I1975" t="s">
        <v>70</v>
      </c>
      <c r="J1975">
        <v>4</v>
      </c>
      <c r="K1975" t="s">
        <v>19</v>
      </c>
      <c r="L1975" t="s">
        <v>24</v>
      </c>
      <c r="M1975">
        <f>orders[[#This Row],[Ship Date]]-orders[[#This Row],[Order Date]]</f>
        <v>4</v>
      </c>
      <c r="N1975">
        <f>WEEKNUM(orders[[#This Row],[Order Date]])</f>
        <v>11</v>
      </c>
      <c r="O1975" t="str">
        <f>_xlfn.IFS(orders[[#This Row],[Customer Gender]]="M","Male", orders[[#This Row],[Customer Gender]]="F","Female", orders[[#This Row],[Customer Gender]]="O","Other", TRUE,"Unknown")</f>
        <v>Female</v>
      </c>
    </row>
    <row r="1976" spans="1:15">
      <c r="A1976" t="s">
        <v>2076</v>
      </c>
      <c r="B1976" t="s">
        <v>146</v>
      </c>
      <c r="C1976">
        <v>4</v>
      </c>
      <c r="D1976">
        <v>50.1</v>
      </c>
      <c r="E1976">
        <v>200.4</v>
      </c>
      <c r="F1976" s="1">
        <v>45729</v>
      </c>
      <c r="G1976" s="1">
        <v>45730</v>
      </c>
      <c r="H1976" t="s">
        <v>27</v>
      </c>
      <c r="I1976" t="s">
        <v>70</v>
      </c>
      <c r="J1976">
        <v>4</v>
      </c>
      <c r="K1976" t="s">
        <v>19</v>
      </c>
      <c r="L1976" t="s">
        <v>24</v>
      </c>
      <c r="M1976">
        <f>orders[[#This Row],[Ship Date]]-orders[[#This Row],[Order Date]]</f>
        <v>1</v>
      </c>
      <c r="N1976">
        <f>WEEKNUM(orders[[#This Row],[Order Date]])</f>
        <v>11</v>
      </c>
      <c r="O1976" t="str">
        <f>_xlfn.IFS(orders[[#This Row],[Customer Gender]]="M","Male", orders[[#This Row],[Customer Gender]]="F","Female", orders[[#This Row],[Customer Gender]]="O","Other", TRUE,"Unknown")</f>
        <v>Female</v>
      </c>
    </row>
    <row r="1977" spans="1:15">
      <c r="A1977" t="s">
        <v>2077</v>
      </c>
      <c r="B1977" t="s">
        <v>46</v>
      </c>
      <c r="C1977">
        <v>1</v>
      </c>
      <c r="D1977">
        <v>35.9</v>
      </c>
      <c r="E1977">
        <v>35.9</v>
      </c>
      <c r="F1977" s="1">
        <v>45729</v>
      </c>
      <c r="G1977" s="1">
        <v>45731</v>
      </c>
      <c r="H1977" t="s">
        <v>23</v>
      </c>
      <c r="I1977" t="s">
        <v>35</v>
      </c>
      <c r="J1977">
        <v>5</v>
      </c>
      <c r="K1977" t="s">
        <v>19</v>
      </c>
      <c r="L1977" t="s">
        <v>24</v>
      </c>
      <c r="M1977">
        <f>orders[[#This Row],[Ship Date]]-orders[[#This Row],[Order Date]]</f>
        <v>2</v>
      </c>
      <c r="N1977">
        <f>WEEKNUM(orders[[#This Row],[Order Date]])</f>
        <v>11</v>
      </c>
      <c r="O1977" t="str">
        <f>_xlfn.IFS(orders[[#This Row],[Customer Gender]]="M","Male", orders[[#This Row],[Customer Gender]]="F","Female", orders[[#This Row],[Customer Gender]]="O","Other", TRUE,"Unknown")</f>
        <v>Male</v>
      </c>
    </row>
    <row r="1978" spans="1:15">
      <c r="A1978" t="s">
        <v>2078</v>
      </c>
      <c r="B1978" t="s">
        <v>76</v>
      </c>
      <c r="C1978">
        <v>4</v>
      </c>
      <c r="D1978">
        <v>29.4</v>
      </c>
      <c r="E1978">
        <v>117.6</v>
      </c>
      <c r="F1978" s="1">
        <v>45730</v>
      </c>
      <c r="G1978" s="1">
        <v>45731</v>
      </c>
      <c r="H1978" t="s">
        <v>23</v>
      </c>
      <c r="I1978" t="s">
        <v>40</v>
      </c>
      <c r="J1978">
        <v>5</v>
      </c>
      <c r="K1978" t="s">
        <v>19</v>
      </c>
      <c r="L1978" t="s">
        <v>331</v>
      </c>
      <c r="M1978">
        <f>orders[[#This Row],[Ship Date]]-orders[[#This Row],[Order Date]]</f>
        <v>1</v>
      </c>
      <c r="N1978">
        <f>WEEKNUM(orders[[#This Row],[Order Date]])</f>
        <v>11</v>
      </c>
      <c r="O1978" t="str">
        <f>_xlfn.IFS(orders[[#This Row],[Customer Gender]]="M","Male", orders[[#This Row],[Customer Gender]]="F","Female", orders[[#This Row],[Customer Gender]]="O","Other", TRUE,"Unknown")</f>
        <v>Male</v>
      </c>
    </row>
    <row r="1979" spans="1:15">
      <c r="A1979" t="s">
        <v>2079</v>
      </c>
      <c r="B1979" t="s">
        <v>44</v>
      </c>
      <c r="C1979">
        <v>5</v>
      </c>
      <c r="D1979">
        <v>29.1</v>
      </c>
      <c r="E1979">
        <v>145.5</v>
      </c>
      <c r="F1979" s="1">
        <v>45730</v>
      </c>
      <c r="G1979" s="1">
        <v>45738</v>
      </c>
      <c r="H1979" t="s">
        <v>89</v>
      </c>
      <c r="I1979" t="s">
        <v>40</v>
      </c>
      <c r="J1979">
        <v>3</v>
      </c>
      <c r="K1979" t="s">
        <v>19</v>
      </c>
      <c r="L1979" t="s">
        <v>331</v>
      </c>
      <c r="M1979">
        <f>orders[[#This Row],[Ship Date]]-orders[[#This Row],[Order Date]]</f>
        <v>8</v>
      </c>
      <c r="N1979">
        <f>WEEKNUM(orders[[#This Row],[Order Date]])</f>
        <v>11</v>
      </c>
      <c r="O1979" t="str">
        <f>_xlfn.IFS(orders[[#This Row],[Customer Gender]]="M","Male", orders[[#This Row],[Customer Gender]]="F","Female", orders[[#This Row],[Customer Gender]]="O","Other", TRUE,"Unknown")</f>
        <v>Other</v>
      </c>
    </row>
    <row r="1980" spans="1:15">
      <c r="A1980" t="s">
        <v>2080</v>
      </c>
      <c r="B1980" t="s">
        <v>44</v>
      </c>
      <c r="C1980">
        <v>3</v>
      </c>
      <c r="D1980">
        <v>33.5</v>
      </c>
      <c r="E1980">
        <v>100.5</v>
      </c>
      <c r="F1980" s="1">
        <v>45730</v>
      </c>
      <c r="G1980" s="1">
        <v>45742</v>
      </c>
      <c r="H1980" t="s">
        <v>23</v>
      </c>
      <c r="I1980" t="s">
        <v>18</v>
      </c>
      <c r="J1980">
        <v>5</v>
      </c>
      <c r="K1980" t="s">
        <v>19</v>
      </c>
      <c r="L1980" t="s">
        <v>147</v>
      </c>
      <c r="M1980">
        <f>orders[[#This Row],[Ship Date]]-orders[[#This Row],[Order Date]]</f>
        <v>12</v>
      </c>
      <c r="N1980">
        <f>WEEKNUM(orders[[#This Row],[Order Date]])</f>
        <v>11</v>
      </c>
      <c r="O1980" t="str">
        <f>_xlfn.IFS(orders[[#This Row],[Customer Gender]]="M","Male", orders[[#This Row],[Customer Gender]]="F","Female", orders[[#This Row],[Customer Gender]]="O","Other", TRUE,"Unknown")</f>
        <v>Male</v>
      </c>
    </row>
    <row r="1981" spans="1:15">
      <c r="A1981" t="s">
        <v>2081</v>
      </c>
      <c r="B1981" t="s">
        <v>32</v>
      </c>
      <c r="C1981">
        <v>10</v>
      </c>
      <c r="D1981">
        <v>36</v>
      </c>
      <c r="E1981">
        <v>360</v>
      </c>
      <c r="F1981" s="1">
        <v>45730</v>
      </c>
      <c r="G1981" s="1">
        <v>45730</v>
      </c>
      <c r="H1981" t="s">
        <v>23</v>
      </c>
      <c r="I1981" t="s">
        <v>51</v>
      </c>
      <c r="J1981">
        <v>5</v>
      </c>
      <c r="K1981" t="s">
        <v>19</v>
      </c>
      <c r="L1981" t="s">
        <v>33</v>
      </c>
      <c r="M1981">
        <f>orders[[#This Row],[Ship Date]]-orders[[#This Row],[Order Date]]</f>
        <v>0</v>
      </c>
      <c r="N1981">
        <f>WEEKNUM(orders[[#This Row],[Order Date]])</f>
        <v>11</v>
      </c>
      <c r="O1981" t="str">
        <f>_xlfn.IFS(orders[[#This Row],[Customer Gender]]="M","Male", orders[[#This Row],[Customer Gender]]="F","Female", orders[[#This Row],[Customer Gender]]="O","Other", TRUE,"Unknown")</f>
        <v>Male</v>
      </c>
    </row>
    <row r="1982" spans="1:15">
      <c r="A1982" t="s">
        <v>2082</v>
      </c>
      <c r="B1982" t="s">
        <v>128</v>
      </c>
      <c r="C1982">
        <v>3</v>
      </c>
      <c r="D1982">
        <v>57.3</v>
      </c>
      <c r="E1982">
        <v>171.89999999999998</v>
      </c>
      <c r="F1982" s="1">
        <v>45730</v>
      </c>
      <c r="G1982" s="1">
        <v>45734</v>
      </c>
      <c r="H1982" t="s">
        <v>27</v>
      </c>
      <c r="I1982" t="s">
        <v>18</v>
      </c>
      <c r="J1982">
        <v>5</v>
      </c>
      <c r="K1982" t="s">
        <v>19</v>
      </c>
      <c r="L1982" t="s">
        <v>33</v>
      </c>
      <c r="M1982">
        <f>orders[[#This Row],[Ship Date]]-orders[[#This Row],[Order Date]]</f>
        <v>4</v>
      </c>
      <c r="N1982">
        <f>WEEKNUM(orders[[#This Row],[Order Date]])</f>
        <v>11</v>
      </c>
      <c r="O1982" t="str">
        <f>_xlfn.IFS(orders[[#This Row],[Customer Gender]]="M","Male", orders[[#This Row],[Customer Gender]]="F","Female", orders[[#This Row],[Customer Gender]]="O","Other", TRUE,"Unknown")</f>
        <v>Female</v>
      </c>
    </row>
    <row r="1983" spans="1:15">
      <c r="A1983" t="s">
        <v>2083</v>
      </c>
      <c r="B1983" t="s">
        <v>22</v>
      </c>
      <c r="C1983">
        <v>1</v>
      </c>
      <c r="D1983">
        <v>81.400000000000006</v>
      </c>
      <c r="E1983">
        <v>81.400000000000006</v>
      </c>
      <c r="F1983" s="1">
        <v>45730</v>
      </c>
      <c r="G1983" s="1">
        <v>45731</v>
      </c>
      <c r="H1983" t="s">
        <v>27</v>
      </c>
      <c r="I1983" t="s">
        <v>40</v>
      </c>
      <c r="J1983">
        <v>5</v>
      </c>
      <c r="K1983" t="s">
        <v>19</v>
      </c>
      <c r="L1983" t="s">
        <v>33</v>
      </c>
      <c r="M1983">
        <f>orders[[#This Row],[Ship Date]]-orders[[#This Row],[Order Date]]</f>
        <v>1</v>
      </c>
      <c r="N1983">
        <f>WEEKNUM(orders[[#This Row],[Order Date]])</f>
        <v>11</v>
      </c>
      <c r="O1983" t="str">
        <f>_xlfn.IFS(orders[[#This Row],[Customer Gender]]="M","Male", orders[[#This Row],[Customer Gender]]="F","Female", orders[[#This Row],[Customer Gender]]="O","Other", TRUE,"Unknown")</f>
        <v>Female</v>
      </c>
    </row>
    <row r="1984" spans="1:15">
      <c r="A1984" t="s">
        <v>2084</v>
      </c>
      <c r="B1984" t="s">
        <v>54</v>
      </c>
      <c r="C1984">
        <v>2</v>
      </c>
      <c r="D1984">
        <v>35.299999999999997</v>
      </c>
      <c r="E1984">
        <v>70.599999999999994</v>
      </c>
      <c r="F1984" s="1">
        <v>45730</v>
      </c>
      <c r="G1984" s="1">
        <v>45734</v>
      </c>
      <c r="H1984" t="s">
        <v>23</v>
      </c>
      <c r="I1984" t="s">
        <v>18</v>
      </c>
      <c r="J1984">
        <v>5</v>
      </c>
      <c r="K1984" t="s">
        <v>19</v>
      </c>
      <c r="L1984" t="s">
        <v>33</v>
      </c>
      <c r="M1984">
        <f>orders[[#This Row],[Ship Date]]-orders[[#This Row],[Order Date]]</f>
        <v>4</v>
      </c>
      <c r="N1984">
        <f>WEEKNUM(orders[[#This Row],[Order Date]])</f>
        <v>11</v>
      </c>
      <c r="O1984" t="str">
        <f>_xlfn.IFS(orders[[#This Row],[Customer Gender]]="M","Male", orders[[#This Row],[Customer Gender]]="F","Female", orders[[#This Row],[Customer Gender]]="O","Other", TRUE,"Unknown")</f>
        <v>Male</v>
      </c>
    </row>
    <row r="1985" spans="1:15">
      <c r="A1985" t="s">
        <v>2085</v>
      </c>
      <c r="B1985" t="s">
        <v>30</v>
      </c>
      <c r="C1985">
        <v>1</v>
      </c>
      <c r="D1985">
        <v>36.1</v>
      </c>
      <c r="E1985">
        <v>36.1</v>
      </c>
      <c r="F1985" s="1">
        <v>45730</v>
      </c>
      <c r="G1985" s="1">
        <v>45731</v>
      </c>
      <c r="H1985" t="s">
        <v>27</v>
      </c>
      <c r="I1985" t="s">
        <v>70</v>
      </c>
      <c r="J1985">
        <v>4</v>
      </c>
      <c r="K1985" t="s">
        <v>19</v>
      </c>
      <c r="L1985" t="s">
        <v>33</v>
      </c>
      <c r="M1985">
        <f>orders[[#This Row],[Ship Date]]-orders[[#This Row],[Order Date]]</f>
        <v>1</v>
      </c>
      <c r="N1985">
        <f>WEEKNUM(orders[[#This Row],[Order Date]])</f>
        <v>11</v>
      </c>
      <c r="O1985" t="str">
        <f>_xlfn.IFS(orders[[#This Row],[Customer Gender]]="M","Male", orders[[#This Row],[Customer Gender]]="F","Female", orders[[#This Row],[Customer Gender]]="O","Other", TRUE,"Unknown")</f>
        <v>Female</v>
      </c>
    </row>
    <row r="1986" spans="1:15">
      <c r="A1986" t="s">
        <v>2086</v>
      </c>
      <c r="B1986" t="s">
        <v>22</v>
      </c>
      <c r="C1986">
        <v>2</v>
      </c>
      <c r="D1986">
        <v>36.700000000000003</v>
      </c>
      <c r="E1986">
        <v>73.400000000000006</v>
      </c>
      <c r="F1986" s="1">
        <v>45730</v>
      </c>
      <c r="G1986" s="1">
        <v>45732</v>
      </c>
      <c r="H1986" t="s">
        <v>27</v>
      </c>
      <c r="I1986" t="s">
        <v>18</v>
      </c>
      <c r="J1986">
        <v>5</v>
      </c>
      <c r="K1986" t="s">
        <v>19</v>
      </c>
      <c r="L1986" t="s">
        <v>33</v>
      </c>
      <c r="M1986">
        <f>orders[[#This Row],[Ship Date]]-orders[[#This Row],[Order Date]]</f>
        <v>2</v>
      </c>
      <c r="N1986">
        <f>WEEKNUM(orders[[#This Row],[Order Date]])</f>
        <v>11</v>
      </c>
      <c r="O1986" t="str">
        <f>_xlfn.IFS(orders[[#This Row],[Customer Gender]]="M","Male", orders[[#This Row],[Customer Gender]]="F","Female", orders[[#This Row],[Customer Gender]]="O","Other", TRUE,"Unknown")</f>
        <v>Female</v>
      </c>
    </row>
    <row r="1987" spans="1:15">
      <c r="A1987" t="s">
        <v>2087</v>
      </c>
      <c r="B1987" t="s">
        <v>54</v>
      </c>
      <c r="C1987">
        <v>1</v>
      </c>
      <c r="D1987">
        <v>20.9</v>
      </c>
      <c r="E1987">
        <v>20.9</v>
      </c>
      <c r="F1987" s="1">
        <v>45730</v>
      </c>
      <c r="G1987" s="1">
        <v>45732</v>
      </c>
      <c r="H1987" t="s">
        <v>27</v>
      </c>
      <c r="I1987" t="s">
        <v>18</v>
      </c>
      <c r="J1987">
        <v>2</v>
      </c>
      <c r="K1987" t="s">
        <v>19</v>
      </c>
      <c r="L1987" t="s">
        <v>33</v>
      </c>
      <c r="M1987">
        <f>orders[[#This Row],[Ship Date]]-orders[[#This Row],[Order Date]]</f>
        <v>2</v>
      </c>
      <c r="N1987">
        <f>WEEKNUM(orders[[#This Row],[Order Date]])</f>
        <v>11</v>
      </c>
      <c r="O1987" t="str">
        <f>_xlfn.IFS(orders[[#This Row],[Customer Gender]]="M","Male", orders[[#This Row],[Customer Gender]]="F","Female", orders[[#This Row],[Customer Gender]]="O","Other", TRUE,"Unknown")</f>
        <v>Female</v>
      </c>
    </row>
    <row r="1988" spans="1:15">
      <c r="A1988" t="s">
        <v>2088</v>
      </c>
      <c r="B1988" t="s">
        <v>69</v>
      </c>
      <c r="C1988">
        <v>3</v>
      </c>
      <c r="D1988">
        <v>58.8</v>
      </c>
      <c r="E1988">
        <v>176.39999999999998</v>
      </c>
      <c r="F1988" s="1">
        <v>45730</v>
      </c>
      <c r="G1988" s="1">
        <v>45734</v>
      </c>
      <c r="H1988" t="s">
        <v>23</v>
      </c>
      <c r="I1988" t="s">
        <v>18</v>
      </c>
      <c r="J1988">
        <v>5</v>
      </c>
      <c r="K1988" t="s">
        <v>19</v>
      </c>
      <c r="L1988" t="s">
        <v>188</v>
      </c>
      <c r="M1988">
        <f>orders[[#This Row],[Ship Date]]-orders[[#This Row],[Order Date]]</f>
        <v>4</v>
      </c>
      <c r="N1988">
        <f>WEEKNUM(orders[[#This Row],[Order Date]])</f>
        <v>11</v>
      </c>
      <c r="O1988" t="str">
        <f>_xlfn.IFS(orders[[#This Row],[Customer Gender]]="M","Male", orders[[#This Row],[Customer Gender]]="F","Female", orders[[#This Row],[Customer Gender]]="O","Other", TRUE,"Unknown")</f>
        <v>Male</v>
      </c>
    </row>
    <row r="1989" spans="1:15">
      <c r="A1989" t="s">
        <v>2089</v>
      </c>
      <c r="B1989" t="s">
        <v>26</v>
      </c>
      <c r="C1989">
        <v>3</v>
      </c>
      <c r="D1989">
        <v>97.6</v>
      </c>
      <c r="E1989">
        <v>292.79999999999995</v>
      </c>
      <c r="F1989" s="1">
        <v>45731</v>
      </c>
      <c r="G1989" s="1">
        <v>45733</v>
      </c>
      <c r="H1989" t="s">
        <v>17</v>
      </c>
      <c r="I1989" t="s">
        <v>18</v>
      </c>
      <c r="J1989">
        <v>4</v>
      </c>
      <c r="K1989" t="s">
        <v>19</v>
      </c>
      <c r="L1989" t="s">
        <v>55</v>
      </c>
      <c r="M1989">
        <f>orders[[#This Row],[Ship Date]]-orders[[#This Row],[Order Date]]</f>
        <v>2</v>
      </c>
      <c r="N1989">
        <f>WEEKNUM(orders[[#This Row],[Order Date]])</f>
        <v>11</v>
      </c>
      <c r="O1989" t="str">
        <f>_xlfn.IFS(orders[[#This Row],[Customer Gender]]="M","Male", orders[[#This Row],[Customer Gender]]="F","Female", orders[[#This Row],[Customer Gender]]="O","Other", TRUE,"Unknown")</f>
        <v>Unknown</v>
      </c>
    </row>
    <row r="1990" spans="1:15">
      <c r="A1990" t="s">
        <v>2090</v>
      </c>
      <c r="B1990" t="s">
        <v>22</v>
      </c>
      <c r="C1990">
        <v>2</v>
      </c>
      <c r="D1990">
        <v>58.7</v>
      </c>
      <c r="E1990">
        <v>117.4</v>
      </c>
      <c r="F1990" s="1">
        <v>45731</v>
      </c>
      <c r="G1990" s="1">
        <v>45734</v>
      </c>
      <c r="H1990" t="s">
        <v>27</v>
      </c>
      <c r="I1990" t="s">
        <v>18</v>
      </c>
      <c r="J1990">
        <v>3</v>
      </c>
      <c r="K1990" t="s">
        <v>19</v>
      </c>
      <c r="L1990" t="s">
        <v>55</v>
      </c>
      <c r="M1990">
        <f>orders[[#This Row],[Ship Date]]-orders[[#This Row],[Order Date]]</f>
        <v>3</v>
      </c>
      <c r="N1990">
        <f>WEEKNUM(orders[[#This Row],[Order Date]])</f>
        <v>11</v>
      </c>
      <c r="O1990" t="str">
        <f>_xlfn.IFS(orders[[#This Row],[Customer Gender]]="M","Male", orders[[#This Row],[Customer Gender]]="F","Female", orders[[#This Row],[Customer Gender]]="O","Other", TRUE,"Unknown")</f>
        <v>Female</v>
      </c>
    </row>
    <row r="1991" spans="1:15">
      <c r="A1991" t="s">
        <v>2091</v>
      </c>
      <c r="B1991" t="s">
        <v>39</v>
      </c>
      <c r="C1991">
        <v>5</v>
      </c>
      <c r="D1991">
        <v>71.900000000000006</v>
      </c>
      <c r="E1991">
        <v>359.5</v>
      </c>
      <c r="F1991" s="1">
        <v>45731</v>
      </c>
      <c r="G1991" s="1">
        <v>45732</v>
      </c>
      <c r="H1991" t="s">
        <v>17</v>
      </c>
      <c r="I1991" t="s">
        <v>18</v>
      </c>
      <c r="J1991">
        <v>3</v>
      </c>
      <c r="K1991" t="s">
        <v>19</v>
      </c>
      <c r="L1991" t="s">
        <v>55</v>
      </c>
      <c r="M1991">
        <f>orders[[#This Row],[Ship Date]]-orders[[#This Row],[Order Date]]</f>
        <v>1</v>
      </c>
      <c r="N1991">
        <f>WEEKNUM(orders[[#This Row],[Order Date]])</f>
        <v>11</v>
      </c>
      <c r="O1991" t="str">
        <f>_xlfn.IFS(orders[[#This Row],[Customer Gender]]="M","Male", orders[[#This Row],[Customer Gender]]="F","Female", orders[[#This Row],[Customer Gender]]="O","Other", TRUE,"Unknown")</f>
        <v>Unknown</v>
      </c>
    </row>
    <row r="1992" spans="1:15">
      <c r="A1992" t="s">
        <v>2092</v>
      </c>
      <c r="B1992" t="s">
        <v>22</v>
      </c>
      <c r="C1992">
        <v>2</v>
      </c>
      <c r="D1992">
        <v>62.4</v>
      </c>
      <c r="E1992">
        <v>124.8</v>
      </c>
      <c r="F1992" s="1">
        <v>45731</v>
      </c>
      <c r="G1992" s="1">
        <v>45733</v>
      </c>
      <c r="H1992" t="s">
        <v>17</v>
      </c>
      <c r="I1992" t="s">
        <v>18</v>
      </c>
      <c r="J1992">
        <v>3</v>
      </c>
      <c r="K1992" t="s">
        <v>19</v>
      </c>
      <c r="L1992" t="s">
        <v>62</v>
      </c>
      <c r="M1992">
        <f>orders[[#This Row],[Ship Date]]-orders[[#This Row],[Order Date]]</f>
        <v>2</v>
      </c>
      <c r="N1992">
        <f>WEEKNUM(orders[[#This Row],[Order Date]])</f>
        <v>11</v>
      </c>
      <c r="O1992" t="str">
        <f>_xlfn.IFS(orders[[#This Row],[Customer Gender]]="M","Male", orders[[#This Row],[Customer Gender]]="F","Female", orders[[#This Row],[Customer Gender]]="O","Other", TRUE,"Unknown")</f>
        <v>Unknown</v>
      </c>
    </row>
    <row r="1993" spans="1:15">
      <c r="A1993" t="s">
        <v>2093</v>
      </c>
      <c r="B1993" t="s">
        <v>39</v>
      </c>
      <c r="C1993">
        <v>16</v>
      </c>
      <c r="D1993">
        <v>53.8</v>
      </c>
      <c r="E1993">
        <v>860.8</v>
      </c>
      <c r="F1993" s="1">
        <v>45731</v>
      </c>
      <c r="G1993" s="1">
        <v>45732</v>
      </c>
      <c r="H1993" t="s">
        <v>27</v>
      </c>
      <c r="I1993" t="s">
        <v>35</v>
      </c>
      <c r="J1993">
        <v>4</v>
      </c>
      <c r="K1993" t="s">
        <v>19</v>
      </c>
      <c r="L1993" t="s">
        <v>62</v>
      </c>
      <c r="M1993">
        <f>orders[[#This Row],[Ship Date]]-orders[[#This Row],[Order Date]]</f>
        <v>1</v>
      </c>
      <c r="N1993">
        <f>WEEKNUM(orders[[#This Row],[Order Date]])</f>
        <v>11</v>
      </c>
      <c r="O1993" t="str">
        <f>_xlfn.IFS(orders[[#This Row],[Customer Gender]]="M","Male", orders[[#This Row],[Customer Gender]]="F","Female", orders[[#This Row],[Customer Gender]]="O","Other", TRUE,"Unknown")</f>
        <v>Female</v>
      </c>
    </row>
    <row r="1994" spans="1:15">
      <c r="A1994" t="s">
        <v>2094</v>
      </c>
      <c r="B1994" t="s">
        <v>46</v>
      </c>
      <c r="C1994">
        <v>1</v>
      </c>
      <c r="D1994">
        <v>43.8</v>
      </c>
      <c r="E1994">
        <v>43.8</v>
      </c>
      <c r="F1994" s="1">
        <v>45731</v>
      </c>
      <c r="G1994" s="1">
        <v>45738</v>
      </c>
      <c r="H1994" t="s">
        <v>27</v>
      </c>
      <c r="I1994" t="s">
        <v>18</v>
      </c>
      <c r="J1994">
        <v>5</v>
      </c>
      <c r="K1994" t="s">
        <v>19</v>
      </c>
      <c r="L1994" t="s">
        <v>62</v>
      </c>
      <c r="M1994">
        <f>orders[[#This Row],[Ship Date]]-orders[[#This Row],[Order Date]]</f>
        <v>7</v>
      </c>
      <c r="N1994">
        <f>WEEKNUM(orders[[#This Row],[Order Date]])</f>
        <v>11</v>
      </c>
      <c r="O1994" t="str">
        <f>_xlfn.IFS(orders[[#This Row],[Customer Gender]]="M","Male", orders[[#This Row],[Customer Gender]]="F","Female", orders[[#This Row],[Customer Gender]]="O","Other", TRUE,"Unknown")</f>
        <v>Female</v>
      </c>
    </row>
    <row r="1995" spans="1:15">
      <c r="A1995" t="s">
        <v>2095</v>
      </c>
      <c r="B1995" t="s">
        <v>37</v>
      </c>
      <c r="C1995">
        <v>3</v>
      </c>
      <c r="D1995">
        <v>53.6</v>
      </c>
      <c r="E1995">
        <v>160.80000000000001</v>
      </c>
      <c r="F1995" s="1">
        <v>45731</v>
      </c>
      <c r="G1995" s="1">
        <v>45732</v>
      </c>
      <c r="H1995" t="s">
        <v>23</v>
      </c>
      <c r="I1995" t="s">
        <v>51</v>
      </c>
      <c r="J1995">
        <v>4</v>
      </c>
      <c r="K1995" t="s">
        <v>19</v>
      </c>
      <c r="L1995" t="s">
        <v>62</v>
      </c>
      <c r="M1995">
        <f>orders[[#This Row],[Ship Date]]-orders[[#This Row],[Order Date]]</f>
        <v>1</v>
      </c>
      <c r="N1995">
        <f>WEEKNUM(orders[[#This Row],[Order Date]])</f>
        <v>11</v>
      </c>
      <c r="O1995" t="str">
        <f>_xlfn.IFS(orders[[#This Row],[Customer Gender]]="M","Male", orders[[#This Row],[Customer Gender]]="F","Female", orders[[#This Row],[Customer Gender]]="O","Other", TRUE,"Unknown")</f>
        <v>Male</v>
      </c>
    </row>
    <row r="1996" spans="1:15">
      <c r="A1996" t="s">
        <v>2096</v>
      </c>
      <c r="B1996" t="s">
        <v>69</v>
      </c>
      <c r="C1996">
        <v>2</v>
      </c>
      <c r="D1996">
        <v>84.3</v>
      </c>
      <c r="E1996">
        <v>168.6</v>
      </c>
      <c r="F1996" s="1">
        <v>45731</v>
      </c>
      <c r="G1996" s="1">
        <v>45734</v>
      </c>
      <c r="H1996" t="s">
        <v>23</v>
      </c>
      <c r="I1996" t="s">
        <v>70</v>
      </c>
      <c r="J1996">
        <v>3</v>
      </c>
      <c r="K1996" t="s">
        <v>19</v>
      </c>
      <c r="L1996" t="s">
        <v>62</v>
      </c>
      <c r="M1996">
        <f>orders[[#This Row],[Ship Date]]-orders[[#This Row],[Order Date]]</f>
        <v>3</v>
      </c>
      <c r="N1996">
        <f>WEEKNUM(orders[[#This Row],[Order Date]])</f>
        <v>11</v>
      </c>
      <c r="O1996" t="str">
        <f>_xlfn.IFS(orders[[#This Row],[Customer Gender]]="M","Male", orders[[#This Row],[Customer Gender]]="F","Female", orders[[#This Row],[Customer Gender]]="O","Other", TRUE,"Unknown")</f>
        <v>Male</v>
      </c>
    </row>
    <row r="1997" spans="1:15">
      <c r="A1997" t="s">
        <v>2097</v>
      </c>
      <c r="B1997" t="s">
        <v>39</v>
      </c>
      <c r="C1997">
        <v>9</v>
      </c>
      <c r="D1997">
        <v>117.9</v>
      </c>
      <c r="E1997">
        <v>1061.1000000000001</v>
      </c>
      <c r="F1997" s="1">
        <v>45731</v>
      </c>
      <c r="G1997" s="1">
        <v>45732</v>
      </c>
      <c r="H1997" t="s">
        <v>27</v>
      </c>
      <c r="I1997" t="s">
        <v>35</v>
      </c>
      <c r="J1997">
        <v>5</v>
      </c>
      <c r="K1997" t="s">
        <v>19</v>
      </c>
      <c r="L1997" t="s">
        <v>62</v>
      </c>
      <c r="M1997">
        <f>orders[[#This Row],[Ship Date]]-orders[[#This Row],[Order Date]]</f>
        <v>1</v>
      </c>
      <c r="N1997">
        <f>WEEKNUM(orders[[#This Row],[Order Date]])</f>
        <v>11</v>
      </c>
      <c r="O1997" t="str">
        <f>_xlfn.IFS(orders[[#This Row],[Customer Gender]]="M","Male", orders[[#This Row],[Customer Gender]]="F","Female", orders[[#This Row],[Customer Gender]]="O","Other", TRUE,"Unknown")</f>
        <v>Female</v>
      </c>
    </row>
    <row r="1998" spans="1:15">
      <c r="A1998" t="s">
        <v>2098</v>
      </c>
      <c r="B1998" t="s">
        <v>32</v>
      </c>
      <c r="C1998">
        <v>8</v>
      </c>
      <c r="D1998">
        <v>30</v>
      </c>
      <c r="E1998">
        <v>240</v>
      </c>
      <c r="F1998" s="1">
        <v>45731</v>
      </c>
      <c r="G1998" s="1">
        <v>45732</v>
      </c>
      <c r="H1998" t="s">
        <v>27</v>
      </c>
      <c r="I1998" t="s">
        <v>35</v>
      </c>
      <c r="J1998">
        <v>4</v>
      </c>
      <c r="K1998" t="s">
        <v>19</v>
      </c>
      <c r="L1998" t="s">
        <v>201</v>
      </c>
      <c r="M1998">
        <f>orders[[#This Row],[Ship Date]]-orders[[#This Row],[Order Date]]</f>
        <v>1</v>
      </c>
      <c r="N1998">
        <f>WEEKNUM(orders[[#This Row],[Order Date]])</f>
        <v>11</v>
      </c>
      <c r="O1998" t="str">
        <f>_xlfn.IFS(orders[[#This Row],[Customer Gender]]="M","Male", orders[[#This Row],[Customer Gender]]="F","Female", orders[[#This Row],[Customer Gender]]="O","Other", TRUE,"Unknown")</f>
        <v>Female</v>
      </c>
    </row>
    <row r="1999" spans="1:15">
      <c r="A1999" t="s">
        <v>2099</v>
      </c>
      <c r="B1999" t="s">
        <v>81</v>
      </c>
      <c r="C1999">
        <v>3</v>
      </c>
      <c r="D1999">
        <v>37.299999999999997</v>
      </c>
      <c r="E1999">
        <v>111.89999999999999</v>
      </c>
      <c r="F1999" s="1">
        <v>45731</v>
      </c>
      <c r="G1999" s="1">
        <v>45732</v>
      </c>
      <c r="H1999" t="s">
        <v>23</v>
      </c>
      <c r="I1999" t="s">
        <v>40</v>
      </c>
      <c r="J1999">
        <v>4</v>
      </c>
      <c r="K1999" t="s">
        <v>19</v>
      </c>
      <c r="L1999" t="s">
        <v>72</v>
      </c>
      <c r="M1999">
        <f>orders[[#This Row],[Ship Date]]-orders[[#This Row],[Order Date]]</f>
        <v>1</v>
      </c>
      <c r="N1999">
        <f>WEEKNUM(orders[[#This Row],[Order Date]])</f>
        <v>11</v>
      </c>
      <c r="O1999" t="str">
        <f>_xlfn.IFS(orders[[#This Row],[Customer Gender]]="M","Male", orders[[#This Row],[Customer Gender]]="F","Female", orders[[#This Row],[Customer Gender]]="O","Other", TRUE,"Unknown")</f>
        <v>Male</v>
      </c>
    </row>
    <row r="2000" spans="1:15">
      <c r="A2000" t="s">
        <v>2100</v>
      </c>
      <c r="B2000" t="s">
        <v>32</v>
      </c>
      <c r="C2000">
        <v>9</v>
      </c>
      <c r="D2000">
        <v>25.1</v>
      </c>
      <c r="E2000">
        <v>225.9</v>
      </c>
      <c r="F2000" s="1">
        <v>45731</v>
      </c>
      <c r="G2000" s="1">
        <v>45733</v>
      </c>
      <c r="H2000" t="s">
        <v>23</v>
      </c>
      <c r="I2000" t="s">
        <v>35</v>
      </c>
      <c r="J2000">
        <v>5</v>
      </c>
      <c r="K2000" t="s">
        <v>19</v>
      </c>
      <c r="L2000" t="s">
        <v>77</v>
      </c>
      <c r="M2000">
        <f>orders[[#This Row],[Ship Date]]-orders[[#This Row],[Order Date]]</f>
        <v>2</v>
      </c>
      <c r="N2000">
        <f>WEEKNUM(orders[[#This Row],[Order Date]])</f>
        <v>11</v>
      </c>
      <c r="O2000" t="str">
        <f>_xlfn.IFS(orders[[#This Row],[Customer Gender]]="M","Male", orders[[#This Row],[Customer Gender]]="F","Female", orders[[#This Row],[Customer Gender]]="O","Other", TRUE,"Unknown")</f>
        <v>Male</v>
      </c>
    </row>
    <row r="2001" spans="1:15">
      <c r="A2001" t="s">
        <v>2101</v>
      </c>
      <c r="B2001" t="s">
        <v>44</v>
      </c>
      <c r="C2001">
        <v>11</v>
      </c>
      <c r="D2001">
        <v>36</v>
      </c>
      <c r="E2001">
        <v>396</v>
      </c>
      <c r="F2001" s="1">
        <v>45731</v>
      </c>
      <c r="G2001" s="1">
        <v>45741</v>
      </c>
      <c r="H2001" t="s">
        <v>23</v>
      </c>
      <c r="I2001" t="s">
        <v>35</v>
      </c>
      <c r="J2001">
        <v>4</v>
      </c>
      <c r="K2001" t="s">
        <v>19</v>
      </c>
      <c r="L2001" t="s">
        <v>108</v>
      </c>
      <c r="M2001">
        <f>orders[[#This Row],[Ship Date]]-orders[[#This Row],[Order Date]]</f>
        <v>10</v>
      </c>
      <c r="N2001">
        <f>WEEKNUM(orders[[#This Row],[Order Date]])</f>
        <v>11</v>
      </c>
      <c r="O2001" t="str">
        <f>_xlfn.IFS(orders[[#This Row],[Customer Gender]]="M","Male", orders[[#This Row],[Customer Gender]]="F","Female", orders[[#This Row],[Customer Gender]]="O","Other", TRUE,"Unknown")</f>
        <v>Male</v>
      </c>
    </row>
    <row r="2002" spans="1:15">
      <c r="A2002" t="s">
        <v>2102</v>
      </c>
      <c r="B2002" t="s">
        <v>128</v>
      </c>
      <c r="C2002">
        <v>3</v>
      </c>
      <c r="D2002">
        <v>48.5</v>
      </c>
      <c r="E2002">
        <v>145.5</v>
      </c>
      <c r="F2002" s="1">
        <v>45731</v>
      </c>
      <c r="G2002" s="1">
        <v>45735</v>
      </c>
      <c r="H2002" t="s">
        <v>27</v>
      </c>
      <c r="I2002" t="s">
        <v>35</v>
      </c>
      <c r="J2002">
        <v>4</v>
      </c>
      <c r="K2002" t="s">
        <v>19</v>
      </c>
      <c r="L2002" t="s">
        <v>110</v>
      </c>
      <c r="M2002">
        <f>orders[[#This Row],[Ship Date]]-orders[[#This Row],[Order Date]]</f>
        <v>4</v>
      </c>
      <c r="N2002">
        <f>WEEKNUM(orders[[#This Row],[Order Date]])</f>
        <v>11</v>
      </c>
      <c r="O2002" t="str">
        <f>_xlfn.IFS(orders[[#This Row],[Customer Gender]]="M","Male", orders[[#This Row],[Customer Gender]]="F","Female", orders[[#This Row],[Customer Gender]]="O","Other", TRUE,"Unknown")</f>
        <v>Female</v>
      </c>
    </row>
    <row r="2003" spans="1:15">
      <c r="A2003" t="s">
        <v>2103</v>
      </c>
      <c r="B2003" t="s">
        <v>135</v>
      </c>
      <c r="C2003">
        <v>6</v>
      </c>
      <c r="D2003">
        <v>21.1</v>
      </c>
      <c r="E2003">
        <v>126.60000000000001</v>
      </c>
      <c r="F2003" s="1">
        <v>45731</v>
      </c>
      <c r="G2003" s="1">
        <v>45732</v>
      </c>
      <c r="H2003" t="s">
        <v>23</v>
      </c>
      <c r="I2003" t="s">
        <v>35</v>
      </c>
      <c r="J2003">
        <v>5</v>
      </c>
      <c r="K2003" t="s">
        <v>19</v>
      </c>
      <c r="L2003" t="s">
        <v>115</v>
      </c>
      <c r="M2003">
        <f>orders[[#This Row],[Ship Date]]-orders[[#This Row],[Order Date]]</f>
        <v>1</v>
      </c>
      <c r="N2003">
        <f>WEEKNUM(orders[[#This Row],[Order Date]])</f>
        <v>11</v>
      </c>
      <c r="O2003" t="str">
        <f>_xlfn.IFS(orders[[#This Row],[Customer Gender]]="M","Male", orders[[#This Row],[Customer Gender]]="F","Female", orders[[#This Row],[Customer Gender]]="O","Other", TRUE,"Unknown")</f>
        <v>Male</v>
      </c>
    </row>
    <row r="2004" spans="1:15">
      <c r="A2004" t="s">
        <v>2104</v>
      </c>
      <c r="B2004" t="s">
        <v>123</v>
      </c>
      <c r="C2004">
        <v>14</v>
      </c>
      <c r="D2004">
        <v>43.2</v>
      </c>
      <c r="E2004">
        <v>604.80000000000007</v>
      </c>
      <c r="F2004" s="1">
        <v>45731</v>
      </c>
      <c r="G2004" s="1">
        <v>45732</v>
      </c>
      <c r="H2004" t="s">
        <v>89</v>
      </c>
      <c r="I2004" t="s">
        <v>18</v>
      </c>
      <c r="J2004">
        <v>3</v>
      </c>
      <c r="K2004" t="s">
        <v>19</v>
      </c>
      <c r="L2004" t="s">
        <v>115</v>
      </c>
      <c r="M2004">
        <f>orders[[#This Row],[Ship Date]]-orders[[#This Row],[Order Date]]</f>
        <v>1</v>
      </c>
      <c r="N2004">
        <f>WEEKNUM(orders[[#This Row],[Order Date]])</f>
        <v>11</v>
      </c>
      <c r="O2004" t="str">
        <f>_xlfn.IFS(orders[[#This Row],[Customer Gender]]="M","Male", orders[[#This Row],[Customer Gender]]="F","Female", orders[[#This Row],[Customer Gender]]="O","Other", TRUE,"Unknown")</f>
        <v>Other</v>
      </c>
    </row>
    <row r="2005" spans="1:15">
      <c r="A2005" t="s">
        <v>2105</v>
      </c>
      <c r="B2005" t="s">
        <v>46</v>
      </c>
      <c r="C2005">
        <v>2</v>
      </c>
      <c r="D2005">
        <v>21.1</v>
      </c>
      <c r="E2005">
        <v>42.2</v>
      </c>
      <c r="F2005" s="1">
        <v>45731</v>
      </c>
      <c r="G2005" s="1">
        <v>45732</v>
      </c>
      <c r="H2005" t="s">
        <v>17</v>
      </c>
      <c r="I2005" t="s">
        <v>51</v>
      </c>
      <c r="J2005">
        <v>3</v>
      </c>
      <c r="K2005" t="s">
        <v>19</v>
      </c>
      <c r="L2005" t="s">
        <v>115</v>
      </c>
      <c r="M2005">
        <f>orders[[#This Row],[Ship Date]]-orders[[#This Row],[Order Date]]</f>
        <v>1</v>
      </c>
      <c r="N2005">
        <f>WEEKNUM(orders[[#This Row],[Order Date]])</f>
        <v>11</v>
      </c>
      <c r="O2005" t="str">
        <f>_xlfn.IFS(orders[[#This Row],[Customer Gender]]="M","Male", orders[[#This Row],[Customer Gender]]="F","Female", orders[[#This Row],[Customer Gender]]="O","Other", TRUE,"Unknown")</f>
        <v>Unknown</v>
      </c>
    </row>
    <row r="2006" spans="1:15">
      <c r="A2006" t="s">
        <v>2106</v>
      </c>
      <c r="B2006" t="s">
        <v>39</v>
      </c>
      <c r="C2006">
        <v>4</v>
      </c>
      <c r="D2006">
        <v>41.3</v>
      </c>
      <c r="E2006">
        <v>165.2</v>
      </c>
      <c r="F2006" s="1">
        <v>45731</v>
      </c>
      <c r="G2006" s="1">
        <v>45733</v>
      </c>
      <c r="H2006" t="s">
        <v>27</v>
      </c>
      <c r="I2006" t="s">
        <v>51</v>
      </c>
      <c r="J2006">
        <v>5</v>
      </c>
      <c r="K2006" t="s">
        <v>19</v>
      </c>
      <c r="L2006" t="s">
        <v>24</v>
      </c>
      <c r="M2006">
        <f>orders[[#This Row],[Ship Date]]-orders[[#This Row],[Order Date]]</f>
        <v>2</v>
      </c>
      <c r="N2006">
        <f>WEEKNUM(orders[[#This Row],[Order Date]])</f>
        <v>11</v>
      </c>
      <c r="O2006" t="str">
        <f>_xlfn.IFS(orders[[#This Row],[Customer Gender]]="M","Male", orders[[#This Row],[Customer Gender]]="F","Female", orders[[#This Row],[Customer Gender]]="O","Other", TRUE,"Unknown")</f>
        <v>Female</v>
      </c>
    </row>
    <row r="2007" spans="1:15">
      <c r="A2007" t="s">
        <v>2107</v>
      </c>
      <c r="B2007" t="s">
        <v>44</v>
      </c>
      <c r="C2007">
        <v>2</v>
      </c>
      <c r="D2007">
        <v>15.3</v>
      </c>
      <c r="E2007">
        <v>30.6</v>
      </c>
      <c r="F2007" s="1">
        <v>45731</v>
      </c>
      <c r="G2007" s="1">
        <v>45734</v>
      </c>
      <c r="H2007" t="s">
        <v>17</v>
      </c>
      <c r="I2007" t="s">
        <v>40</v>
      </c>
      <c r="J2007">
        <v>5</v>
      </c>
      <c r="K2007" t="s">
        <v>19</v>
      </c>
      <c r="L2007" t="s">
        <v>24</v>
      </c>
      <c r="M2007">
        <f>orders[[#This Row],[Ship Date]]-orders[[#This Row],[Order Date]]</f>
        <v>3</v>
      </c>
      <c r="N2007">
        <f>WEEKNUM(orders[[#This Row],[Order Date]])</f>
        <v>11</v>
      </c>
      <c r="O2007" t="str">
        <f>_xlfn.IFS(orders[[#This Row],[Customer Gender]]="M","Male", orders[[#This Row],[Customer Gender]]="F","Female", orders[[#This Row],[Customer Gender]]="O","Other", TRUE,"Unknown")</f>
        <v>Unknown</v>
      </c>
    </row>
    <row r="2008" spans="1:15">
      <c r="A2008" t="s">
        <v>2108</v>
      </c>
      <c r="B2008" t="s">
        <v>22</v>
      </c>
      <c r="C2008">
        <v>1</v>
      </c>
      <c r="D2008">
        <v>54.6</v>
      </c>
      <c r="E2008">
        <v>54.6</v>
      </c>
      <c r="F2008" s="1">
        <v>45731</v>
      </c>
      <c r="G2008" s="1">
        <v>45733</v>
      </c>
      <c r="H2008" t="s">
        <v>23</v>
      </c>
      <c r="I2008" t="s">
        <v>35</v>
      </c>
      <c r="J2008">
        <v>3</v>
      </c>
      <c r="K2008" t="s">
        <v>19</v>
      </c>
      <c r="L2008" t="s">
        <v>28</v>
      </c>
      <c r="M2008">
        <f>orders[[#This Row],[Ship Date]]-orders[[#This Row],[Order Date]]</f>
        <v>2</v>
      </c>
      <c r="N2008">
        <f>WEEKNUM(orders[[#This Row],[Order Date]])</f>
        <v>11</v>
      </c>
      <c r="O2008" t="str">
        <f>_xlfn.IFS(orders[[#This Row],[Customer Gender]]="M","Male", orders[[#This Row],[Customer Gender]]="F","Female", orders[[#This Row],[Customer Gender]]="O","Other", TRUE,"Unknown")</f>
        <v>Male</v>
      </c>
    </row>
    <row r="2009" spans="1:15">
      <c r="A2009" t="s">
        <v>2109</v>
      </c>
      <c r="B2009" t="s">
        <v>44</v>
      </c>
      <c r="C2009">
        <v>1</v>
      </c>
      <c r="D2009">
        <v>15.9</v>
      </c>
      <c r="E2009">
        <v>15.9</v>
      </c>
      <c r="F2009" s="1">
        <v>45731</v>
      </c>
      <c r="G2009" s="1">
        <v>45732</v>
      </c>
      <c r="H2009" t="s">
        <v>23</v>
      </c>
      <c r="I2009" t="s">
        <v>18</v>
      </c>
      <c r="J2009">
        <v>3</v>
      </c>
      <c r="K2009" t="s">
        <v>19</v>
      </c>
      <c r="L2009" t="s">
        <v>147</v>
      </c>
      <c r="M2009">
        <f>orders[[#This Row],[Ship Date]]-orders[[#This Row],[Order Date]]</f>
        <v>1</v>
      </c>
      <c r="N2009">
        <f>WEEKNUM(orders[[#This Row],[Order Date]])</f>
        <v>11</v>
      </c>
      <c r="O2009" t="str">
        <f>_xlfn.IFS(orders[[#This Row],[Customer Gender]]="M","Male", orders[[#This Row],[Customer Gender]]="F","Female", orders[[#This Row],[Customer Gender]]="O","Other", TRUE,"Unknown")</f>
        <v>Male</v>
      </c>
    </row>
    <row r="2010" spans="1:15">
      <c r="A2010" t="s">
        <v>2110</v>
      </c>
      <c r="B2010" t="s">
        <v>46</v>
      </c>
      <c r="C2010">
        <v>1</v>
      </c>
      <c r="D2010">
        <v>50.2</v>
      </c>
      <c r="E2010">
        <v>50.2</v>
      </c>
      <c r="F2010" s="1">
        <v>45731</v>
      </c>
      <c r="G2010" s="1">
        <v>45733</v>
      </c>
      <c r="H2010" t="s">
        <v>27</v>
      </c>
      <c r="I2010" t="s">
        <v>51</v>
      </c>
      <c r="J2010">
        <v>5</v>
      </c>
      <c r="K2010" t="s">
        <v>19</v>
      </c>
      <c r="L2010" t="s">
        <v>334</v>
      </c>
      <c r="M2010">
        <f>orders[[#This Row],[Ship Date]]-orders[[#This Row],[Order Date]]</f>
        <v>2</v>
      </c>
      <c r="N2010">
        <f>WEEKNUM(orders[[#This Row],[Order Date]])</f>
        <v>11</v>
      </c>
      <c r="O2010" t="str">
        <f>_xlfn.IFS(orders[[#This Row],[Customer Gender]]="M","Male", orders[[#This Row],[Customer Gender]]="F","Female", orders[[#This Row],[Customer Gender]]="O","Other", TRUE,"Unknown")</f>
        <v>Female</v>
      </c>
    </row>
    <row r="2011" spans="1:15">
      <c r="A2011" t="s">
        <v>2111</v>
      </c>
      <c r="B2011" t="s">
        <v>67</v>
      </c>
      <c r="C2011">
        <v>4</v>
      </c>
      <c r="D2011">
        <v>85.1</v>
      </c>
      <c r="E2011">
        <v>340.4</v>
      </c>
      <c r="F2011" s="1">
        <v>45731</v>
      </c>
      <c r="G2011" s="1">
        <v>45732</v>
      </c>
      <c r="H2011" t="s">
        <v>27</v>
      </c>
      <c r="I2011" t="s">
        <v>51</v>
      </c>
      <c r="J2011">
        <v>2</v>
      </c>
      <c r="K2011" t="s">
        <v>19</v>
      </c>
      <c r="L2011" t="s">
        <v>334</v>
      </c>
      <c r="M2011">
        <f>orders[[#This Row],[Ship Date]]-orders[[#This Row],[Order Date]]</f>
        <v>1</v>
      </c>
      <c r="N2011">
        <f>WEEKNUM(orders[[#This Row],[Order Date]])</f>
        <v>11</v>
      </c>
      <c r="O2011" t="str">
        <f>_xlfn.IFS(orders[[#This Row],[Customer Gender]]="M","Male", orders[[#This Row],[Customer Gender]]="F","Female", orders[[#This Row],[Customer Gender]]="O","Other", TRUE,"Unknown")</f>
        <v>Female</v>
      </c>
    </row>
    <row r="2012" spans="1:15">
      <c r="A2012" t="s">
        <v>2112</v>
      </c>
      <c r="B2012" t="s">
        <v>67</v>
      </c>
      <c r="C2012">
        <v>2</v>
      </c>
      <c r="D2012">
        <v>41.4</v>
      </c>
      <c r="E2012">
        <v>82.8</v>
      </c>
      <c r="F2012" s="1">
        <v>45731</v>
      </c>
      <c r="G2012" s="1">
        <v>45732</v>
      </c>
      <c r="H2012" t="s">
        <v>27</v>
      </c>
      <c r="I2012" t="s">
        <v>18</v>
      </c>
      <c r="J2012">
        <v>5</v>
      </c>
      <c r="K2012" t="s">
        <v>19</v>
      </c>
      <c r="L2012" t="s">
        <v>33</v>
      </c>
      <c r="M2012">
        <f>orders[[#This Row],[Ship Date]]-orders[[#This Row],[Order Date]]</f>
        <v>1</v>
      </c>
      <c r="N2012">
        <f>WEEKNUM(orders[[#This Row],[Order Date]])</f>
        <v>11</v>
      </c>
      <c r="O2012" t="str">
        <f>_xlfn.IFS(orders[[#This Row],[Customer Gender]]="M","Male", orders[[#This Row],[Customer Gender]]="F","Female", orders[[#This Row],[Customer Gender]]="O","Other", TRUE,"Unknown")</f>
        <v>Female</v>
      </c>
    </row>
    <row r="2013" spans="1:15">
      <c r="A2013" t="s">
        <v>2113</v>
      </c>
      <c r="B2013" t="s">
        <v>32</v>
      </c>
      <c r="C2013">
        <v>7</v>
      </c>
      <c r="D2013">
        <v>32.700000000000003</v>
      </c>
      <c r="E2013">
        <v>228.90000000000003</v>
      </c>
      <c r="F2013" s="1">
        <v>45731</v>
      </c>
      <c r="G2013" s="1">
        <v>45732</v>
      </c>
      <c r="H2013" t="s">
        <v>27</v>
      </c>
      <c r="I2013" t="s">
        <v>40</v>
      </c>
      <c r="J2013">
        <v>3</v>
      </c>
      <c r="K2013" t="s">
        <v>19</v>
      </c>
      <c r="L2013" t="s">
        <v>33</v>
      </c>
      <c r="M2013">
        <f>orders[[#This Row],[Ship Date]]-orders[[#This Row],[Order Date]]</f>
        <v>1</v>
      </c>
      <c r="N2013">
        <f>WEEKNUM(orders[[#This Row],[Order Date]])</f>
        <v>11</v>
      </c>
      <c r="O2013" t="str">
        <f>_xlfn.IFS(orders[[#This Row],[Customer Gender]]="M","Male", orders[[#This Row],[Customer Gender]]="F","Female", orders[[#This Row],[Customer Gender]]="O","Other", TRUE,"Unknown")</f>
        <v>Female</v>
      </c>
    </row>
    <row r="2014" spans="1:15">
      <c r="A2014" t="s">
        <v>2114</v>
      </c>
      <c r="B2014" t="s">
        <v>32</v>
      </c>
      <c r="C2014">
        <v>2</v>
      </c>
      <c r="D2014">
        <v>41.6</v>
      </c>
      <c r="E2014">
        <v>83.2</v>
      </c>
      <c r="F2014" s="1">
        <v>45731</v>
      </c>
      <c r="G2014" s="1">
        <v>45733</v>
      </c>
      <c r="H2014" t="s">
        <v>23</v>
      </c>
      <c r="I2014" t="s">
        <v>70</v>
      </c>
      <c r="J2014">
        <v>3</v>
      </c>
      <c r="K2014" t="s">
        <v>19</v>
      </c>
      <c r="L2014" t="s">
        <v>33</v>
      </c>
      <c r="M2014">
        <f>orders[[#This Row],[Ship Date]]-orders[[#This Row],[Order Date]]</f>
        <v>2</v>
      </c>
      <c r="N2014">
        <f>WEEKNUM(orders[[#This Row],[Order Date]])</f>
        <v>11</v>
      </c>
      <c r="O2014" t="str">
        <f>_xlfn.IFS(orders[[#This Row],[Customer Gender]]="M","Male", orders[[#This Row],[Customer Gender]]="F","Female", orders[[#This Row],[Customer Gender]]="O","Other", TRUE,"Unknown")</f>
        <v>Male</v>
      </c>
    </row>
    <row r="2015" spans="1:15">
      <c r="A2015" t="s">
        <v>2115</v>
      </c>
      <c r="B2015" t="s">
        <v>37</v>
      </c>
      <c r="C2015">
        <v>4</v>
      </c>
      <c r="D2015">
        <v>64.8</v>
      </c>
      <c r="E2015">
        <v>259.2</v>
      </c>
      <c r="F2015" s="1">
        <v>45731</v>
      </c>
      <c r="G2015" s="1">
        <v>45732</v>
      </c>
      <c r="H2015" t="s">
        <v>17</v>
      </c>
      <c r="I2015" t="s">
        <v>40</v>
      </c>
      <c r="J2015">
        <v>4</v>
      </c>
      <c r="K2015" t="s">
        <v>19</v>
      </c>
      <c r="L2015" t="s">
        <v>33</v>
      </c>
      <c r="M2015">
        <f>orders[[#This Row],[Ship Date]]-orders[[#This Row],[Order Date]]</f>
        <v>1</v>
      </c>
      <c r="N2015">
        <f>WEEKNUM(orders[[#This Row],[Order Date]])</f>
        <v>11</v>
      </c>
      <c r="O2015" t="str">
        <f>_xlfn.IFS(orders[[#This Row],[Customer Gender]]="M","Male", orders[[#This Row],[Customer Gender]]="F","Female", orders[[#This Row],[Customer Gender]]="O","Other", TRUE,"Unknown")</f>
        <v>Unknown</v>
      </c>
    </row>
    <row r="2016" spans="1:15">
      <c r="A2016" t="s">
        <v>2116</v>
      </c>
      <c r="B2016" t="s">
        <v>123</v>
      </c>
      <c r="C2016">
        <v>2</v>
      </c>
      <c r="D2016">
        <v>33.6</v>
      </c>
      <c r="E2016">
        <v>67.2</v>
      </c>
      <c r="F2016" s="1">
        <v>45731</v>
      </c>
      <c r="G2016" s="1">
        <v>45732</v>
      </c>
      <c r="H2016" t="s">
        <v>23</v>
      </c>
      <c r="I2016" t="s">
        <v>18</v>
      </c>
      <c r="J2016">
        <v>5</v>
      </c>
      <c r="K2016" t="s">
        <v>19</v>
      </c>
      <c r="L2016" t="s">
        <v>33</v>
      </c>
      <c r="M2016">
        <f>orders[[#This Row],[Ship Date]]-orders[[#This Row],[Order Date]]</f>
        <v>1</v>
      </c>
      <c r="N2016">
        <f>WEEKNUM(orders[[#This Row],[Order Date]])</f>
        <v>11</v>
      </c>
      <c r="O2016" t="str">
        <f>_xlfn.IFS(orders[[#This Row],[Customer Gender]]="M","Male", orders[[#This Row],[Customer Gender]]="F","Female", orders[[#This Row],[Customer Gender]]="O","Other", TRUE,"Unknown")</f>
        <v>Male</v>
      </c>
    </row>
    <row r="2017" spans="1:15">
      <c r="A2017" t="s">
        <v>2117</v>
      </c>
      <c r="B2017" t="s">
        <v>39</v>
      </c>
      <c r="C2017">
        <v>3</v>
      </c>
      <c r="D2017">
        <v>100.7</v>
      </c>
      <c r="E2017">
        <v>302.10000000000002</v>
      </c>
      <c r="F2017" s="1">
        <v>45731</v>
      </c>
      <c r="G2017" s="1">
        <v>45732</v>
      </c>
      <c r="H2017" t="s">
        <v>17</v>
      </c>
      <c r="I2017" t="s">
        <v>35</v>
      </c>
      <c r="J2017">
        <v>4</v>
      </c>
      <c r="K2017" t="s">
        <v>19</v>
      </c>
      <c r="L2017" t="s">
        <v>33</v>
      </c>
      <c r="M2017">
        <f>orders[[#This Row],[Ship Date]]-orders[[#This Row],[Order Date]]</f>
        <v>1</v>
      </c>
      <c r="N2017">
        <f>WEEKNUM(orders[[#This Row],[Order Date]])</f>
        <v>11</v>
      </c>
      <c r="O2017" t="str">
        <f>_xlfn.IFS(orders[[#This Row],[Customer Gender]]="M","Male", orders[[#This Row],[Customer Gender]]="F","Female", orders[[#This Row],[Customer Gender]]="O","Other", TRUE,"Unknown")</f>
        <v>Unknown</v>
      </c>
    </row>
    <row r="2018" spans="1:15">
      <c r="A2018" t="s">
        <v>2118</v>
      </c>
      <c r="B2018" t="s">
        <v>32</v>
      </c>
      <c r="C2018">
        <v>2</v>
      </c>
      <c r="D2018">
        <v>49.3</v>
      </c>
      <c r="E2018">
        <v>98.6</v>
      </c>
      <c r="F2018" s="1">
        <v>45732</v>
      </c>
      <c r="G2018" s="1">
        <v>45734</v>
      </c>
      <c r="H2018" t="s">
        <v>27</v>
      </c>
      <c r="I2018" t="s">
        <v>70</v>
      </c>
      <c r="J2018">
        <v>5</v>
      </c>
      <c r="K2018" t="s">
        <v>19</v>
      </c>
      <c r="L2018" t="s">
        <v>33</v>
      </c>
      <c r="M2018">
        <f>orders[[#This Row],[Ship Date]]-orders[[#This Row],[Order Date]]</f>
        <v>2</v>
      </c>
      <c r="N2018">
        <f>WEEKNUM(orders[[#This Row],[Order Date]])</f>
        <v>12</v>
      </c>
      <c r="O2018" t="str">
        <f>_xlfn.IFS(orders[[#This Row],[Customer Gender]]="M","Male", orders[[#This Row],[Customer Gender]]="F","Female", orders[[#This Row],[Customer Gender]]="O","Other", TRUE,"Unknown")</f>
        <v>Female</v>
      </c>
    </row>
    <row r="2019" spans="1:15">
      <c r="A2019" t="s">
        <v>2119</v>
      </c>
      <c r="B2019" t="s">
        <v>26</v>
      </c>
      <c r="C2019">
        <v>6</v>
      </c>
      <c r="D2019">
        <v>97</v>
      </c>
      <c r="E2019">
        <v>582</v>
      </c>
      <c r="F2019" s="1">
        <v>45732</v>
      </c>
      <c r="G2019" s="1">
        <v>45735</v>
      </c>
      <c r="H2019" t="s">
        <v>23</v>
      </c>
      <c r="I2019" t="s">
        <v>40</v>
      </c>
      <c r="J2019">
        <v>5</v>
      </c>
      <c r="K2019" t="s">
        <v>19</v>
      </c>
      <c r="L2019" t="s">
        <v>33</v>
      </c>
      <c r="M2019">
        <f>orders[[#This Row],[Ship Date]]-orders[[#This Row],[Order Date]]</f>
        <v>3</v>
      </c>
      <c r="N2019">
        <f>WEEKNUM(orders[[#This Row],[Order Date]])</f>
        <v>12</v>
      </c>
      <c r="O2019" t="str">
        <f>_xlfn.IFS(orders[[#This Row],[Customer Gender]]="M","Male", orders[[#This Row],[Customer Gender]]="F","Female", orders[[#This Row],[Customer Gender]]="O","Other", TRUE,"Unknown")</f>
        <v>Male</v>
      </c>
    </row>
    <row r="2020" spans="1:15">
      <c r="A2020" t="s">
        <v>2120</v>
      </c>
      <c r="B2020" t="s">
        <v>16</v>
      </c>
      <c r="C2020">
        <v>6</v>
      </c>
      <c r="D2020">
        <v>25.2</v>
      </c>
      <c r="E2020">
        <v>151.19999999999999</v>
      </c>
      <c r="F2020" s="1">
        <v>45732</v>
      </c>
      <c r="G2020" s="1">
        <v>45735</v>
      </c>
      <c r="H2020" t="s">
        <v>27</v>
      </c>
      <c r="I2020" t="s">
        <v>70</v>
      </c>
      <c r="J2020">
        <v>5</v>
      </c>
      <c r="K2020" t="s">
        <v>19</v>
      </c>
      <c r="L2020" t="s">
        <v>33</v>
      </c>
      <c r="M2020">
        <f>orders[[#This Row],[Ship Date]]-orders[[#This Row],[Order Date]]</f>
        <v>3</v>
      </c>
      <c r="N2020">
        <f>WEEKNUM(orders[[#This Row],[Order Date]])</f>
        <v>12</v>
      </c>
      <c r="O2020" t="str">
        <f>_xlfn.IFS(orders[[#This Row],[Customer Gender]]="M","Male", orders[[#This Row],[Customer Gender]]="F","Female", orders[[#This Row],[Customer Gender]]="O","Other", TRUE,"Unknown")</f>
        <v>Female</v>
      </c>
    </row>
    <row r="2021" spans="1:15">
      <c r="A2021" t="s">
        <v>2121</v>
      </c>
      <c r="B2021" t="s">
        <v>16</v>
      </c>
      <c r="C2021">
        <v>11</v>
      </c>
      <c r="D2021">
        <v>12.2</v>
      </c>
      <c r="E2021">
        <v>134.19999999999999</v>
      </c>
      <c r="F2021" s="1">
        <v>45732</v>
      </c>
      <c r="G2021" s="1">
        <v>45733</v>
      </c>
      <c r="H2021" t="s">
        <v>17</v>
      </c>
      <c r="I2021" t="s">
        <v>18</v>
      </c>
      <c r="J2021">
        <v>3</v>
      </c>
      <c r="K2021" t="s">
        <v>19</v>
      </c>
      <c r="L2021" t="s">
        <v>33</v>
      </c>
      <c r="M2021">
        <f>orders[[#This Row],[Ship Date]]-orders[[#This Row],[Order Date]]</f>
        <v>1</v>
      </c>
      <c r="N2021">
        <f>WEEKNUM(orders[[#This Row],[Order Date]])</f>
        <v>12</v>
      </c>
      <c r="O2021" t="str">
        <f>_xlfn.IFS(orders[[#This Row],[Customer Gender]]="M","Male", orders[[#This Row],[Customer Gender]]="F","Female", orders[[#This Row],[Customer Gender]]="O","Other", TRUE,"Unknown")</f>
        <v>Unknown</v>
      </c>
    </row>
    <row r="2022" spans="1:15">
      <c r="A2022" t="s">
        <v>2122</v>
      </c>
      <c r="B2022" t="s">
        <v>44</v>
      </c>
      <c r="C2022">
        <v>7</v>
      </c>
      <c r="D2022">
        <v>38.799999999999997</v>
      </c>
      <c r="E2022">
        <v>271.59999999999997</v>
      </c>
      <c r="F2022" s="1">
        <v>45732</v>
      </c>
      <c r="G2022" s="1">
        <v>45734</v>
      </c>
      <c r="H2022" t="s">
        <v>27</v>
      </c>
      <c r="I2022" t="s">
        <v>35</v>
      </c>
      <c r="J2022">
        <v>3</v>
      </c>
      <c r="K2022" t="s">
        <v>19</v>
      </c>
      <c r="L2022" t="s">
        <v>158</v>
      </c>
      <c r="M2022">
        <f>orders[[#This Row],[Ship Date]]-orders[[#This Row],[Order Date]]</f>
        <v>2</v>
      </c>
      <c r="N2022">
        <f>WEEKNUM(orders[[#This Row],[Order Date]])</f>
        <v>12</v>
      </c>
      <c r="O2022" t="str">
        <f>_xlfn.IFS(orders[[#This Row],[Customer Gender]]="M","Male", orders[[#This Row],[Customer Gender]]="F","Female", orders[[#This Row],[Customer Gender]]="O","Other", TRUE,"Unknown")</f>
        <v>Female</v>
      </c>
    </row>
    <row r="2023" spans="1:15">
      <c r="A2023" t="s">
        <v>2123</v>
      </c>
      <c r="B2023" t="s">
        <v>26</v>
      </c>
      <c r="C2023">
        <v>4</v>
      </c>
      <c r="D2023">
        <v>53.2</v>
      </c>
      <c r="E2023">
        <v>212.8</v>
      </c>
      <c r="F2023" s="1">
        <v>45732</v>
      </c>
      <c r="G2023" s="1">
        <v>45733</v>
      </c>
      <c r="H2023" t="s">
        <v>23</v>
      </c>
      <c r="I2023" t="s">
        <v>18</v>
      </c>
      <c r="J2023">
        <v>5</v>
      </c>
      <c r="K2023" t="s">
        <v>19</v>
      </c>
      <c r="L2023" t="s">
        <v>62</v>
      </c>
      <c r="M2023">
        <f>orders[[#This Row],[Ship Date]]-orders[[#This Row],[Order Date]]</f>
        <v>1</v>
      </c>
      <c r="N2023">
        <f>WEEKNUM(orders[[#This Row],[Order Date]])</f>
        <v>12</v>
      </c>
      <c r="O2023" t="str">
        <f>_xlfn.IFS(orders[[#This Row],[Customer Gender]]="M","Male", orders[[#This Row],[Customer Gender]]="F","Female", orders[[#This Row],[Customer Gender]]="O","Other", TRUE,"Unknown")</f>
        <v>Male</v>
      </c>
    </row>
    <row r="2024" spans="1:15">
      <c r="A2024" t="s">
        <v>2124</v>
      </c>
      <c r="B2024" t="s">
        <v>39</v>
      </c>
      <c r="C2024">
        <v>7</v>
      </c>
      <c r="D2024">
        <v>151</v>
      </c>
      <c r="E2024">
        <v>1057</v>
      </c>
      <c r="F2024" s="1">
        <v>45732</v>
      </c>
      <c r="G2024" s="1">
        <v>45733</v>
      </c>
      <c r="H2024" t="s">
        <v>89</v>
      </c>
      <c r="I2024" t="s">
        <v>35</v>
      </c>
      <c r="J2024">
        <v>3</v>
      </c>
      <c r="K2024" t="s">
        <v>19</v>
      </c>
      <c r="L2024" t="s">
        <v>62</v>
      </c>
      <c r="M2024">
        <f>orders[[#This Row],[Ship Date]]-orders[[#This Row],[Order Date]]</f>
        <v>1</v>
      </c>
      <c r="N2024">
        <f>WEEKNUM(orders[[#This Row],[Order Date]])</f>
        <v>12</v>
      </c>
      <c r="O2024" t="str">
        <f>_xlfn.IFS(orders[[#This Row],[Customer Gender]]="M","Male", orders[[#This Row],[Customer Gender]]="F","Female", orders[[#This Row],[Customer Gender]]="O","Other", TRUE,"Unknown")</f>
        <v>Other</v>
      </c>
    </row>
    <row r="2025" spans="1:15">
      <c r="A2025" t="s">
        <v>2125</v>
      </c>
      <c r="B2025" t="s">
        <v>22</v>
      </c>
      <c r="C2025">
        <v>2</v>
      </c>
      <c r="D2025">
        <v>37.1</v>
      </c>
      <c r="E2025">
        <v>74.2</v>
      </c>
      <c r="F2025" s="1">
        <v>45732</v>
      </c>
      <c r="G2025" s="1">
        <v>45733</v>
      </c>
      <c r="H2025" t="s">
        <v>27</v>
      </c>
      <c r="I2025" t="s">
        <v>70</v>
      </c>
      <c r="J2025">
        <v>4</v>
      </c>
      <c r="K2025" t="s">
        <v>19</v>
      </c>
      <c r="L2025" t="s">
        <v>62</v>
      </c>
      <c r="M2025">
        <f>orders[[#This Row],[Ship Date]]-orders[[#This Row],[Order Date]]</f>
        <v>1</v>
      </c>
      <c r="N2025">
        <f>WEEKNUM(orders[[#This Row],[Order Date]])</f>
        <v>12</v>
      </c>
      <c r="O2025" t="str">
        <f>_xlfn.IFS(orders[[#This Row],[Customer Gender]]="M","Male", orders[[#This Row],[Customer Gender]]="F","Female", orders[[#This Row],[Customer Gender]]="O","Other", TRUE,"Unknown")</f>
        <v>Female</v>
      </c>
    </row>
    <row r="2026" spans="1:15">
      <c r="A2026" t="s">
        <v>2126</v>
      </c>
      <c r="B2026" t="s">
        <v>37</v>
      </c>
      <c r="C2026">
        <v>2</v>
      </c>
      <c r="D2026">
        <v>38.9</v>
      </c>
      <c r="E2026">
        <v>77.8</v>
      </c>
      <c r="F2026" s="1">
        <v>45732</v>
      </c>
      <c r="G2026" s="1">
        <v>45733</v>
      </c>
      <c r="H2026" t="s">
        <v>23</v>
      </c>
      <c r="I2026" t="s">
        <v>70</v>
      </c>
      <c r="J2026">
        <v>4</v>
      </c>
      <c r="K2026" t="s">
        <v>19</v>
      </c>
      <c r="L2026" t="s">
        <v>62</v>
      </c>
      <c r="M2026">
        <f>orders[[#This Row],[Ship Date]]-orders[[#This Row],[Order Date]]</f>
        <v>1</v>
      </c>
      <c r="N2026">
        <f>WEEKNUM(orders[[#This Row],[Order Date]])</f>
        <v>12</v>
      </c>
      <c r="O2026" t="str">
        <f>_xlfn.IFS(orders[[#This Row],[Customer Gender]]="M","Male", orders[[#This Row],[Customer Gender]]="F","Female", orders[[#This Row],[Customer Gender]]="O","Other", TRUE,"Unknown")</f>
        <v>Male</v>
      </c>
    </row>
    <row r="2027" spans="1:15">
      <c r="A2027" t="s">
        <v>2127</v>
      </c>
      <c r="B2027" t="s">
        <v>54</v>
      </c>
      <c r="C2027">
        <v>2</v>
      </c>
      <c r="D2027">
        <v>35.200000000000003</v>
      </c>
      <c r="E2027">
        <v>70.400000000000006</v>
      </c>
      <c r="F2027" s="1">
        <v>45732</v>
      </c>
      <c r="G2027" s="1">
        <v>45733</v>
      </c>
      <c r="H2027" t="s">
        <v>23</v>
      </c>
      <c r="I2027" t="s">
        <v>18</v>
      </c>
      <c r="J2027">
        <v>5</v>
      </c>
      <c r="K2027" t="s">
        <v>19</v>
      </c>
      <c r="L2027" t="s">
        <v>103</v>
      </c>
      <c r="M2027">
        <f>orders[[#This Row],[Ship Date]]-orders[[#This Row],[Order Date]]</f>
        <v>1</v>
      </c>
      <c r="N2027">
        <f>WEEKNUM(orders[[#This Row],[Order Date]])</f>
        <v>12</v>
      </c>
      <c r="O2027" t="str">
        <f>_xlfn.IFS(orders[[#This Row],[Customer Gender]]="M","Male", orders[[#This Row],[Customer Gender]]="F","Female", orders[[#This Row],[Customer Gender]]="O","Other", TRUE,"Unknown")</f>
        <v>Male</v>
      </c>
    </row>
    <row r="2028" spans="1:15">
      <c r="A2028" t="s">
        <v>2128</v>
      </c>
      <c r="B2028" t="s">
        <v>16</v>
      </c>
      <c r="C2028">
        <v>2</v>
      </c>
      <c r="D2028">
        <v>22.3</v>
      </c>
      <c r="E2028">
        <v>44.6</v>
      </c>
      <c r="F2028" s="1">
        <v>45732</v>
      </c>
      <c r="G2028" s="1">
        <v>45734</v>
      </c>
      <c r="H2028" t="s">
        <v>27</v>
      </c>
      <c r="I2028" t="s">
        <v>35</v>
      </c>
      <c r="J2028">
        <v>4</v>
      </c>
      <c r="K2028" t="s">
        <v>19</v>
      </c>
      <c r="L2028" t="s">
        <v>72</v>
      </c>
      <c r="M2028">
        <f>orders[[#This Row],[Ship Date]]-orders[[#This Row],[Order Date]]</f>
        <v>2</v>
      </c>
      <c r="N2028">
        <f>WEEKNUM(orders[[#This Row],[Order Date]])</f>
        <v>12</v>
      </c>
      <c r="O2028" t="str">
        <f>_xlfn.IFS(orders[[#This Row],[Customer Gender]]="M","Male", orders[[#This Row],[Customer Gender]]="F","Female", orders[[#This Row],[Customer Gender]]="O","Other", TRUE,"Unknown")</f>
        <v>Female</v>
      </c>
    </row>
    <row r="2029" spans="1:15">
      <c r="A2029" t="s">
        <v>2145</v>
      </c>
      <c r="B2029" t="s">
        <v>26</v>
      </c>
      <c r="C2029">
        <v>14</v>
      </c>
      <c r="D2029">
        <v>176</v>
      </c>
      <c r="E2029">
        <v>2464</v>
      </c>
      <c r="F2029" s="1">
        <v>45732</v>
      </c>
      <c r="G2029" s="1">
        <v>45733</v>
      </c>
      <c r="H2029" t="s">
        <v>27</v>
      </c>
      <c r="I2029" t="s">
        <v>18</v>
      </c>
      <c r="J2029">
        <v>3</v>
      </c>
      <c r="K2029" t="s">
        <v>19</v>
      </c>
      <c r="L2029" t="s">
        <v>33</v>
      </c>
      <c r="M2029">
        <f>orders[[#This Row],[Ship Date]]-orders[[#This Row],[Order Date]]</f>
        <v>1</v>
      </c>
      <c r="N2029">
        <f>WEEKNUM(orders[[#This Row],[Order Date]])</f>
        <v>12</v>
      </c>
      <c r="O2029" t="str">
        <f>_xlfn.IFS(orders[[#This Row],[Customer Gender]]="M","Male", orders[[#This Row],[Customer Gender]]="F","Female", orders[[#This Row],[Customer Gender]]="O","Other", TRUE,"Unknown")</f>
        <v>Female</v>
      </c>
    </row>
    <row r="2030" spans="1:15">
      <c r="A2030" t="s">
        <v>2130</v>
      </c>
      <c r="B2030" t="s">
        <v>39</v>
      </c>
      <c r="C2030">
        <v>6</v>
      </c>
      <c r="D2030">
        <v>75.900000000000006</v>
      </c>
      <c r="E2030">
        <v>455.40000000000003</v>
      </c>
      <c r="F2030" s="1">
        <v>45732</v>
      </c>
      <c r="G2030" s="1">
        <v>45738</v>
      </c>
      <c r="H2030" t="s">
        <v>23</v>
      </c>
      <c r="I2030" t="s">
        <v>18</v>
      </c>
      <c r="J2030">
        <v>4</v>
      </c>
      <c r="K2030" t="s">
        <v>19</v>
      </c>
      <c r="L2030" t="s">
        <v>77</v>
      </c>
      <c r="M2030">
        <f>orders[[#This Row],[Ship Date]]-orders[[#This Row],[Order Date]]</f>
        <v>6</v>
      </c>
      <c r="N2030">
        <f>WEEKNUM(orders[[#This Row],[Order Date]])</f>
        <v>12</v>
      </c>
      <c r="O2030" t="str">
        <f>_xlfn.IFS(orders[[#This Row],[Customer Gender]]="M","Male", orders[[#This Row],[Customer Gender]]="F","Female", orders[[#This Row],[Customer Gender]]="O","Other", TRUE,"Unknown")</f>
        <v>Male</v>
      </c>
    </row>
    <row r="2031" spans="1:15">
      <c r="A2031" t="s">
        <v>2131</v>
      </c>
      <c r="B2031" t="s">
        <v>39</v>
      </c>
      <c r="C2031">
        <v>3</v>
      </c>
      <c r="D2031">
        <v>78.7</v>
      </c>
      <c r="E2031">
        <v>236.10000000000002</v>
      </c>
      <c r="F2031" s="1">
        <v>45732</v>
      </c>
      <c r="G2031" s="1">
        <v>45736</v>
      </c>
      <c r="H2031" t="s">
        <v>27</v>
      </c>
      <c r="I2031" t="s">
        <v>40</v>
      </c>
      <c r="J2031">
        <v>3</v>
      </c>
      <c r="K2031" t="s">
        <v>19</v>
      </c>
      <c r="L2031" t="s">
        <v>77</v>
      </c>
      <c r="M2031">
        <f>orders[[#This Row],[Ship Date]]-orders[[#This Row],[Order Date]]</f>
        <v>4</v>
      </c>
      <c r="N2031">
        <f>WEEKNUM(orders[[#This Row],[Order Date]])</f>
        <v>12</v>
      </c>
      <c r="O2031" t="str">
        <f>_xlfn.IFS(orders[[#This Row],[Customer Gender]]="M","Male", orders[[#This Row],[Customer Gender]]="F","Female", orders[[#This Row],[Customer Gender]]="O","Other", TRUE,"Unknown")</f>
        <v>Female</v>
      </c>
    </row>
    <row r="2032" spans="1:15">
      <c r="A2032" t="s">
        <v>2207</v>
      </c>
      <c r="B2032" t="s">
        <v>37</v>
      </c>
      <c r="C2032">
        <v>10</v>
      </c>
      <c r="D2032">
        <v>83.2</v>
      </c>
      <c r="E2032">
        <v>832</v>
      </c>
      <c r="F2032" s="1">
        <v>45735</v>
      </c>
      <c r="G2032" s="1">
        <v>45739</v>
      </c>
      <c r="H2032" t="s">
        <v>27</v>
      </c>
      <c r="I2032" t="s">
        <v>18</v>
      </c>
      <c r="J2032">
        <v>4</v>
      </c>
      <c r="K2032" t="s">
        <v>19</v>
      </c>
      <c r="L2032" t="s">
        <v>331</v>
      </c>
      <c r="M2032">
        <f>orders[[#This Row],[Ship Date]]-orders[[#This Row],[Order Date]]</f>
        <v>4</v>
      </c>
      <c r="N2032">
        <f>WEEKNUM(orders[[#This Row],[Order Date]])</f>
        <v>12</v>
      </c>
      <c r="O2032" t="str">
        <f>_xlfn.IFS(orders[[#This Row],[Customer Gender]]="M","Male", orders[[#This Row],[Customer Gender]]="F","Female", orders[[#This Row],[Customer Gender]]="O","Other", TRUE,"Unknown")</f>
        <v>Female</v>
      </c>
    </row>
    <row r="2033" spans="1:15">
      <c r="A2033" t="s">
        <v>2133</v>
      </c>
      <c r="B2033" t="s">
        <v>44</v>
      </c>
      <c r="C2033">
        <v>2</v>
      </c>
      <c r="D2033">
        <v>33.6</v>
      </c>
      <c r="E2033">
        <v>67.2</v>
      </c>
      <c r="F2033" s="1">
        <v>45732</v>
      </c>
      <c r="G2033" s="1">
        <v>45732</v>
      </c>
      <c r="H2033" t="s">
        <v>23</v>
      </c>
      <c r="I2033" t="s">
        <v>18</v>
      </c>
      <c r="J2033">
        <v>3</v>
      </c>
      <c r="K2033" t="s">
        <v>19</v>
      </c>
      <c r="L2033" t="s">
        <v>110</v>
      </c>
      <c r="M2033">
        <f>orders[[#This Row],[Ship Date]]-orders[[#This Row],[Order Date]]</f>
        <v>0</v>
      </c>
      <c r="N2033">
        <f>WEEKNUM(orders[[#This Row],[Order Date]])</f>
        <v>12</v>
      </c>
      <c r="O2033" t="str">
        <f>_xlfn.IFS(orders[[#This Row],[Customer Gender]]="M","Male", orders[[#This Row],[Customer Gender]]="F","Female", orders[[#This Row],[Customer Gender]]="O","Other", TRUE,"Unknown")</f>
        <v>Male</v>
      </c>
    </row>
    <row r="2034" spans="1:15">
      <c r="A2034" t="s">
        <v>2134</v>
      </c>
      <c r="B2034" t="s">
        <v>26</v>
      </c>
      <c r="C2034">
        <v>7</v>
      </c>
      <c r="D2034">
        <v>61.4</v>
      </c>
      <c r="E2034">
        <v>429.8</v>
      </c>
      <c r="F2034" s="1">
        <v>45732</v>
      </c>
      <c r="G2034" s="1">
        <v>45733</v>
      </c>
      <c r="H2034" t="s">
        <v>23</v>
      </c>
      <c r="I2034" t="s">
        <v>70</v>
      </c>
      <c r="J2034">
        <v>4</v>
      </c>
      <c r="K2034" t="s">
        <v>19</v>
      </c>
      <c r="L2034" t="s">
        <v>110</v>
      </c>
      <c r="M2034">
        <f>orders[[#This Row],[Ship Date]]-orders[[#This Row],[Order Date]]</f>
        <v>1</v>
      </c>
      <c r="N2034">
        <f>WEEKNUM(orders[[#This Row],[Order Date]])</f>
        <v>12</v>
      </c>
      <c r="O2034" t="str">
        <f>_xlfn.IFS(orders[[#This Row],[Customer Gender]]="M","Male", orders[[#This Row],[Customer Gender]]="F","Female", orders[[#This Row],[Customer Gender]]="O","Other", TRUE,"Unknown")</f>
        <v>Male</v>
      </c>
    </row>
    <row r="2035" spans="1:15">
      <c r="A2035" t="s">
        <v>2228</v>
      </c>
      <c r="B2035" t="s">
        <v>69</v>
      </c>
      <c r="C2035">
        <v>8</v>
      </c>
      <c r="D2035">
        <v>103.5</v>
      </c>
      <c r="E2035">
        <v>828</v>
      </c>
      <c r="F2035" s="1">
        <v>45735</v>
      </c>
      <c r="G2035" s="1">
        <v>45738</v>
      </c>
      <c r="H2035" t="s">
        <v>27</v>
      </c>
      <c r="I2035" t="s">
        <v>18</v>
      </c>
      <c r="J2035">
        <v>5</v>
      </c>
      <c r="K2035" t="s">
        <v>19</v>
      </c>
      <c r="L2035" t="s">
        <v>158</v>
      </c>
      <c r="M2035">
        <f>orders[[#This Row],[Ship Date]]-orders[[#This Row],[Order Date]]</f>
        <v>3</v>
      </c>
      <c r="N2035">
        <f>WEEKNUM(orders[[#This Row],[Order Date]])</f>
        <v>12</v>
      </c>
      <c r="O2035" t="str">
        <f>_xlfn.IFS(orders[[#This Row],[Customer Gender]]="M","Male", orders[[#This Row],[Customer Gender]]="F","Female", orders[[#This Row],[Customer Gender]]="O","Other", TRUE,"Unknown")</f>
        <v>Female</v>
      </c>
    </row>
    <row r="2036" spans="1:15">
      <c r="A2036" t="s">
        <v>2136</v>
      </c>
      <c r="B2036" t="s">
        <v>44</v>
      </c>
      <c r="C2036">
        <v>2</v>
      </c>
      <c r="D2036">
        <v>32.5</v>
      </c>
      <c r="E2036">
        <v>65</v>
      </c>
      <c r="F2036" s="1">
        <v>45732</v>
      </c>
      <c r="G2036" s="1">
        <v>45735</v>
      </c>
      <c r="H2036" t="s">
        <v>27</v>
      </c>
      <c r="I2036" t="s">
        <v>35</v>
      </c>
      <c r="J2036">
        <v>4</v>
      </c>
      <c r="K2036" t="s">
        <v>19</v>
      </c>
      <c r="L2036" t="s">
        <v>115</v>
      </c>
      <c r="M2036">
        <f>orders[[#This Row],[Ship Date]]-orders[[#This Row],[Order Date]]</f>
        <v>3</v>
      </c>
      <c r="N2036">
        <f>WEEKNUM(orders[[#This Row],[Order Date]])</f>
        <v>12</v>
      </c>
      <c r="O2036" t="str">
        <f>_xlfn.IFS(orders[[#This Row],[Customer Gender]]="M","Male", orders[[#This Row],[Customer Gender]]="F","Female", orders[[#This Row],[Customer Gender]]="O","Other", TRUE,"Unknown")</f>
        <v>Female</v>
      </c>
    </row>
    <row r="2037" spans="1:15">
      <c r="A2037" t="s">
        <v>2137</v>
      </c>
      <c r="B2037" t="s">
        <v>32</v>
      </c>
      <c r="C2037">
        <v>1</v>
      </c>
      <c r="D2037">
        <v>34.6</v>
      </c>
      <c r="E2037">
        <v>34.6</v>
      </c>
      <c r="F2037" s="1">
        <v>45732</v>
      </c>
      <c r="G2037" s="1">
        <v>45733</v>
      </c>
      <c r="H2037" t="s">
        <v>27</v>
      </c>
      <c r="I2037" t="s">
        <v>70</v>
      </c>
      <c r="J2037">
        <v>4</v>
      </c>
      <c r="K2037" t="s">
        <v>19</v>
      </c>
      <c r="L2037" t="s">
        <v>115</v>
      </c>
      <c r="M2037">
        <f>orders[[#This Row],[Ship Date]]-orders[[#This Row],[Order Date]]</f>
        <v>1</v>
      </c>
      <c r="N2037">
        <f>WEEKNUM(orders[[#This Row],[Order Date]])</f>
        <v>12</v>
      </c>
      <c r="O2037" t="str">
        <f>_xlfn.IFS(orders[[#This Row],[Customer Gender]]="M","Male", orders[[#This Row],[Customer Gender]]="F","Female", orders[[#This Row],[Customer Gender]]="O","Other", TRUE,"Unknown")</f>
        <v>Female</v>
      </c>
    </row>
    <row r="2038" spans="1:15">
      <c r="A2038" t="s">
        <v>2138</v>
      </c>
      <c r="B2038" t="s">
        <v>26</v>
      </c>
      <c r="C2038">
        <v>1</v>
      </c>
      <c r="D2038">
        <v>75.900000000000006</v>
      </c>
      <c r="E2038">
        <v>75.900000000000006</v>
      </c>
      <c r="F2038" s="1">
        <v>45732</v>
      </c>
      <c r="G2038" s="1">
        <v>45732</v>
      </c>
      <c r="H2038" t="s">
        <v>23</v>
      </c>
      <c r="I2038" t="s">
        <v>35</v>
      </c>
      <c r="J2038">
        <v>5</v>
      </c>
      <c r="K2038" t="s">
        <v>19</v>
      </c>
      <c r="L2038" t="s">
        <v>115</v>
      </c>
      <c r="M2038">
        <f>orders[[#This Row],[Ship Date]]-orders[[#This Row],[Order Date]]</f>
        <v>0</v>
      </c>
      <c r="N2038">
        <f>WEEKNUM(orders[[#This Row],[Order Date]])</f>
        <v>12</v>
      </c>
      <c r="O2038" t="str">
        <f>_xlfn.IFS(orders[[#This Row],[Customer Gender]]="M","Male", orders[[#This Row],[Customer Gender]]="F","Female", orders[[#This Row],[Customer Gender]]="O","Other", TRUE,"Unknown")</f>
        <v>Male</v>
      </c>
    </row>
    <row r="2039" spans="1:15">
      <c r="A2039" t="s">
        <v>2139</v>
      </c>
      <c r="B2039" t="s">
        <v>22</v>
      </c>
      <c r="C2039">
        <v>3</v>
      </c>
      <c r="D2039">
        <v>42.1</v>
      </c>
      <c r="E2039">
        <v>126.30000000000001</v>
      </c>
      <c r="F2039" s="1">
        <v>45732</v>
      </c>
      <c r="G2039" s="1">
        <v>45735</v>
      </c>
      <c r="H2039" t="s">
        <v>23</v>
      </c>
      <c r="I2039" t="s">
        <v>35</v>
      </c>
      <c r="J2039">
        <v>3</v>
      </c>
      <c r="K2039" t="s">
        <v>19</v>
      </c>
      <c r="L2039" t="s">
        <v>115</v>
      </c>
      <c r="M2039">
        <f>orders[[#This Row],[Ship Date]]-orders[[#This Row],[Order Date]]</f>
        <v>3</v>
      </c>
      <c r="N2039">
        <f>WEEKNUM(orders[[#This Row],[Order Date]])</f>
        <v>12</v>
      </c>
      <c r="O2039" t="str">
        <f>_xlfn.IFS(orders[[#This Row],[Customer Gender]]="M","Male", orders[[#This Row],[Customer Gender]]="F","Female", orders[[#This Row],[Customer Gender]]="O","Other", TRUE,"Unknown")</f>
        <v>Male</v>
      </c>
    </row>
    <row r="2040" spans="1:15">
      <c r="A2040" t="s">
        <v>2140</v>
      </c>
      <c r="B2040" t="s">
        <v>42</v>
      </c>
      <c r="C2040">
        <v>3</v>
      </c>
      <c r="D2040">
        <v>65.3</v>
      </c>
      <c r="E2040">
        <v>195.89999999999998</v>
      </c>
      <c r="F2040" s="1">
        <v>45732</v>
      </c>
      <c r="G2040" s="1">
        <v>45739</v>
      </c>
      <c r="H2040" t="s">
        <v>23</v>
      </c>
      <c r="I2040" t="s">
        <v>18</v>
      </c>
      <c r="J2040">
        <v>4</v>
      </c>
      <c r="K2040" t="s">
        <v>19</v>
      </c>
      <c r="L2040" t="s">
        <v>24</v>
      </c>
      <c r="M2040">
        <f>orders[[#This Row],[Ship Date]]-orders[[#This Row],[Order Date]]</f>
        <v>7</v>
      </c>
      <c r="N2040">
        <f>WEEKNUM(orders[[#This Row],[Order Date]])</f>
        <v>12</v>
      </c>
      <c r="O2040" t="str">
        <f>_xlfn.IFS(orders[[#This Row],[Customer Gender]]="M","Male", orders[[#This Row],[Customer Gender]]="F","Female", orders[[#This Row],[Customer Gender]]="O","Other", TRUE,"Unknown")</f>
        <v>Male</v>
      </c>
    </row>
    <row r="2041" spans="1:15">
      <c r="A2041" t="s">
        <v>2141</v>
      </c>
      <c r="B2041" t="s">
        <v>123</v>
      </c>
      <c r="C2041">
        <v>1</v>
      </c>
      <c r="D2041">
        <v>20.6</v>
      </c>
      <c r="E2041">
        <v>20.6</v>
      </c>
      <c r="F2041" s="1">
        <v>45732</v>
      </c>
      <c r="G2041" s="1">
        <v>45735</v>
      </c>
      <c r="H2041" t="s">
        <v>23</v>
      </c>
      <c r="I2041" t="s">
        <v>51</v>
      </c>
      <c r="J2041">
        <v>4</v>
      </c>
      <c r="K2041" t="s">
        <v>19</v>
      </c>
      <c r="L2041" t="s">
        <v>437</v>
      </c>
      <c r="M2041">
        <f>orders[[#This Row],[Ship Date]]-orders[[#This Row],[Order Date]]</f>
        <v>3</v>
      </c>
      <c r="N2041">
        <f>WEEKNUM(orders[[#This Row],[Order Date]])</f>
        <v>12</v>
      </c>
      <c r="O2041" t="str">
        <f>_xlfn.IFS(orders[[#This Row],[Customer Gender]]="M","Male", orders[[#This Row],[Customer Gender]]="F","Female", orders[[#This Row],[Customer Gender]]="O","Other", TRUE,"Unknown")</f>
        <v>Male</v>
      </c>
    </row>
    <row r="2042" spans="1:15">
      <c r="A2042" t="s">
        <v>2142</v>
      </c>
      <c r="B2042" t="s">
        <v>44</v>
      </c>
      <c r="C2042">
        <v>7</v>
      </c>
      <c r="D2042">
        <v>16.5</v>
      </c>
      <c r="E2042">
        <v>115.5</v>
      </c>
      <c r="F2042" s="1">
        <v>45732</v>
      </c>
      <c r="G2042" s="1">
        <v>45733</v>
      </c>
      <c r="H2042" t="s">
        <v>23</v>
      </c>
      <c r="I2042" t="s">
        <v>35</v>
      </c>
      <c r="J2042">
        <v>3</v>
      </c>
      <c r="K2042" t="s">
        <v>19</v>
      </c>
      <c r="L2042" t="s">
        <v>28</v>
      </c>
      <c r="M2042">
        <f>orders[[#This Row],[Ship Date]]-orders[[#This Row],[Order Date]]</f>
        <v>1</v>
      </c>
      <c r="N2042">
        <f>WEEKNUM(orders[[#This Row],[Order Date]])</f>
        <v>12</v>
      </c>
      <c r="O2042" t="str">
        <f>_xlfn.IFS(orders[[#This Row],[Customer Gender]]="M","Male", orders[[#This Row],[Customer Gender]]="F","Female", orders[[#This Row],[Customer Gender]]="O","Other", TRUE,"Unknown")</f>
        <v>Male</v>
      </c>
    </row>
    <row r="2043" spans="1:15">
      <c r="A2043" t="s">
        <v>2143</v>
      </c>
      <c r="B2043" t="s">
        <v>128</v>
      </c>
      <c r="C2043">
        <v>10</v>
      </c>
      <c r="D2043">
        <v>36.200000000000003</v>
      </c>
      <c r="E2043">
        <v>362</v>
      </c>
      <c r="F2043" s="1">
        <v>45732</v>
      </c>
      <c r="G2043" s="1">
        <v>45734</v>
      </c>
      <c r="H2043" t="s">
        <v>23</v>
      </c>
      <c r="I2043" t="s">
        <v>18</v>
      </c>
      <c r="J2043">
        <v>5</v>
      </c>
      <c r="K2043" t="s">
        <v>19</v>
      </c>
      <c r="L2043" t="s">
        <v>28</v>
      </c>
      <c r="M2043">
        <f>orders[[#This Row],[Ship Date]]-orders[[#This Row],[Order Date]]</f>
        <v>2</v>
      </c>
      <c r="N2043">
        <f>WEEKNUM(orders[[#This Row],[Order Date]])</f>
        <v>12</v>
      </c>
      <c r="O2043" t="str">
        <f>_xlfn.IFS(orders[[#This Row],[Customer Gender]]="M","Male", orders[[#This Row],[Customer Gender]]="F","Female", orders[[#This Row],[Customer Gender]]="O","Other", TRUE,"Unknown")</f>
        <v>Male</v>
      </c>
    </row>
    <row r="2044" spans="1:15">
      <c r="A2044" t="s">
        <v>2205</v>
      </c>
      <c r="B2044" t="s">
        <v>26</v>
      </c>
      <c r="C2044">
        <v>9</v>
      </c>
      <c r="D2044">
        <v>85.7</v>
      </c>
      <c r="E2044">
        <v>771.30000000000007</v>
      </c>
      <c r="F2044" s="1">
        <v>45735</v>
      </c>
      <c r="G2044" s="1">
        <v>45736</v>
      </c>
      <c r="H2044" t="s">
        <v>27</v>
      </c>
      <c r="I2044" t="s">
        <v>18</v>
      </c>
      <c r="J2044">
        <v>4</v>
      </c>
      <c r="K2044" t="s">
        <v>19</v>
      </c>
      <c r="L2044" t="s">
        <v>437</v>
      </c>
      <c r="M2044">
        <f>orders[[#This Row],[Ship Date]]-orders[[#This Row],[Order Date]]</f>
        <v>1</v>
      </c>
      <c r="N2044">
        <f>WEEKNUM(orders[[#This Row],[Order Date]])</f>
        <v>12</v>
      </c>
      <c r="O2044" t="str">
        <f>_xlfn.IFS(orders[[#This Row],[Customer Gender]]="M","Male", orders[[#This Row],[Customer Gender]]="F","Female", orders[[#This Row],[Customer Gender]]="O","Other", TRUE,"Unknown")</f>
        <v>Female</v>
      </c>
    </row>
    <row r="2045" spans="1:15">
      <c r="A2045" t="s">
        <v>2263</v>
      </c>
      <c r="B2045" t="s">
        <v>39</v>
      </c>
      <c r="C2045">
        <v>11</v>
      </c>
      <c r="D2045">
        <v>57.9</v>
      </c>
      <c r="E2045">
        <v>636.9</v>
      </c>
      <c r="F2045" s="1">
        <v>45736</v>
      </c>
      <c r="G2045" s="1">
        <v>45737</v>
      </c>
      <c r="H2045" t="s">
        <v>27</v>
      </c>
      <c r="I2045" t="s">
        <v>18</v>
      </c>
      <c r="J2045">
        <v>4</v>
      </c>
      <c r="K2045" t="s">
        <v>19</v>
      </c>
      <c r="L2045" t="s">
        <v>62</v>
      </c>
      <c r="M2045">
        <f>orders[[#This Row],[Ship Date]]-orders[[#This Row],[Order Date]]</f>
        <v>1</v>
      </c>
      <c r="N2045">
        <f>WEEKNUM(orders[[#This Row],[Order Date]])</f>
        <v>12</v>
      </c>
      <c r="O2045" t="str">
        <f>_xlfn.IFS(orders[[#This Row],[Customer Gender]]="M","Male", orders[[#This Row],[Customer Gender]]="F","Female", orders[[#This Row],[Customer Gender]]="O","Other", TRUE,"Unknown")</f>
        <v>Female</v>
      </c>
    </row>
    <row r="2046" spans="1:15">
      <c r="A2046" t="s">
        <v>2146</v>
      </c>
      <c r="B2046" t="s">
        <v>22</v>
      </c>
      <c r="C2046">
        <v>1</v>
      </c>
      <c r="D2046">
        <v>52.4</v>
      </c>
      <c r="E2046">
        <v>52.4</v>
      </c>
      <c r="F2046" s="1">
        <v>45732</v>
      </c>
      <c r="G2046" s="1">
        <v>45733</v>
      </c>
      <c r="H2046" t="s">
        <v>23</v>
      </c>
      <c r="I2046" t="s">
        <v>35</v>
      </c>
      <c r="J2046">
        <v>4</v>
      </c>
      <c r="K2046" t="s">
        <v>19</v>
      </c>
      <c r="L2046" t="s">
        <v>33</v>
      </c>
      <c r="M2046">
        <f>orders[[#This Row],[Ship Date]]-orders[[#This Row],[Order Date]]</f>
        <v>1</v>
      </c>
      <c r="N2046">
        <f>WEEKNUM(orders[[#This Row],[Order Date]])</f>
        <v>12</v>
      </c>
      <c r="O2046" t="str">
        <f>_xlfn.IFS(orders[[#This Row],[Customer Gender]]="M","Male", orders[[#This Row],[Customer Gender]]="F","Female", orders[[#This Row],[Customer Gender]]="O","Other", TRUE,"Unknown")</f>
        <v>Male</v>
      </c>
    </row>
    <row r="2047" spans="1:15">
      <c r="A2047" t="s">
        <v>2147</v>
      </c>
      <c r="B2047" t="s">
        <v>54</v>
      </c>
      <c r="C2047">
        <v>3</v>
      </c>
      <c r="D2047">
        <v>48.2</v>
      </c>
      <c r="E2047">
        <v>144.60000000000002</v>
      </c>
      <c r="F2047" s="1">
        <v>45732</v>
      </c>
      <c r="G2047" s="1">
        <v>45733</v>
      </c>
      <c r="H2047" t="s">
        <v>27</v>
      </c>
      <c r="I2047" t="s">
        <v>35</v>
      </c>
      <c r="J2047">
        <v>5</v>
      </c>
      <c r="K2047" t="s">
        <v>19</v>
      </c>
      <c r="L2047" t="s">
        <v>33</v>
      </c>
      <c r="M2047">
        <f>orders[[#This Row],[Ship Date]]-orders[[#This Row],[Order Date]]</f>
        <v>1</v>
      </c>
      <c r="N2047">
        <f>WEEKNUM(orders[[#This Row],[Order Date]])</f>
        <v>12</v>
      </c>
      <c r="O2047" t="str">
        <f>_xlfn.IFS(orders[[#This Row],[Customer Gender]]="M","Male", orders[[#This Row],[Customer Gender]]="F","Female", orders[[#This Row],[Customer Gender]]="O","Other", TRUE,"Unknown")</f>
        <v>Female</v>
      </c>
    </row>
    <row r="2048" spans="1:15">
      <c r="A2048" t="s">
        <v>2148</v>
      </c>
      <c r="B2048" t="s">
        <v>123</v>
      </c>
      <c r="C2048">
        <v>1</v>
      </c>
      <c r="D2048">
        <v>51.6</v>
      </c>
      <c r="E2048">
        <v>51.6</v>
      </c>
      <c r="F2048" s="1">
        <v>45732</v>
      </c>
      <c r="G2048" s="1">
        <v>45736</v>
      </c>
      <c r="H2048" t="s">
        <v>27</v>
      </c>
      <c r="I2048" t="s">
        <v>40</v>
      </c>
      <c r="J2048">
        <v>3</v>
      </c>
      <c r="K2048" t="s">
        <v>19</v>
      </c>
      <c r="L2048" t="s">
        <v>33</v>
      </c>
      <c r="M2048">
        <f>orders[[#This Row],[Ship Date]]-orders[[#This Row],[Order Date]]</f>
        <v>4</v>
      </c>
      <c r="N2048">
        <f>WEEKNUM(orders[[#This Row],[Order Date]])</f>
        <v>12</v>
      </c>
      <c r="O2048" t="str">
        <f>_xlfn.IFS(orders[[#This Row],[Customer Gender]]="M","Male", orders[[#This Row],[Customer Gender]]="F","Female", orders[[#This Row],[Customer Gender]]="O","Other", TRUE,"Unknown")</f>
        <v>Female</v>
      </c>
    </row>
    <row r="2049" spans="1:15">
      <c r="A2049" t="s">
        <v>2149</v>
      </c>
      <c r="B2049" t="s">
        <v>16</v>
      </c>
      <c r="C2049">
        <v>4</v>
      </c>
      <c r="D2049">
        <v>33.700000000000003</v>
      </c>
      <c r="E2049">
        <v>134.80000000000001</v>
      </c>
      <c r="F2049" s="1">
        <v>45733</v>
      </c>
      <c r="G2049" s="1">
        <v>45734</v>
      </c>
      <c r="H2049" t="s">
        <v>23</v>
      </c>
      <c r="I2049" t="s">
        <v>18</v>
      </c>
      <c r="J2049">
        <v>4</v>
      </c>
      <c r="K2049" t="s">
        <v>19</v>
      </c>
      <c r="L2049" t="s">
        <v>33</v>
      </c>
      <c r="M2049">
        <f>orders[[#This Row],[Ship Date]]-orders[[#This Row],[Order Date]]</f>
        <v>1</v>
      </c>
      <c r="N2049">
        <f>WEEKNUM(orders[[#This Row],[Order Date]])</f>
        <v>12</v>
      </c>
      <c r="O2049" t="str">
        <f>_xlfn.IFS(orders[[#This Row],[Customer Gender]]="M","Male", orders[[#This Row],[Customer Gender]]="F","Female", orders[[#This Row],[Customer Gender]]="O","Other", TRUE,"Unknown")</f>
        <v>Male</v>
      </c>
    </row>
    <row r="2050" spans="1:15">
      <c r="A2050" t="s">
        <v>2150</v>
      </c>
      <c r="B2050" t="s">
        <v>32</v>
      </c>
      <c r="C2050">
        <v>10</v>
      </c>
      <c r="D2050">
        <v>36.299999999999997</v>
      </c>
      <c r="E2050">
        <v>363</v>
      </c>
      <c r="F2050" s="1">
        <v>45733</v>
      </c>
      <c r="G2050" s="1">
        <v>45735</v>
      </c>
      <c r="H2050" t="s">
        <v>27</v>
      </c>
      <c r="I2050" t="s">
        <v>70</v>
      </c>
      <c r="J2050">
        <v>3</v>
      </c>
      <c r="K2050" t="s">
        <v>19</v>
      </c>
      <c r="L2050" t="s">
        <v>33</v>
      </c>
      <c r="M2050">
        <f>orders[[#This Row],[Ship Date]]-orders[[#This Row],[Order Date]]</f>
        <v>2</v>
      </c>
      <c r="N2050">
        <f>WEEKNUM(orders[[#This Row],[Order Date]])</f>
        <v>12</v>
      </c>
      <c r="O2050" t="str">
        <f>_xlfn.IFS(orders[[#This Row],[Customer Gender]]="M","Male", orders[[#This Row],[Customer Gender]]="F","Female", orders[[#This Row],[Customer Gender]]="O","Other", TRUE,"Unknown")</f>
        <v>Female</v>
      </c>
    </row>
    <row r="2051" spans="1:15">
      <c r="A2051" t="s">
        <v>2151</v>
      </c>
      <c r="B2051" t="s">
        <v>44</v>
      </c>
      <c r="C2051">
        <v>1</v>
      </c>
      <c r="D2051">
        <v>23.4</v>
      </c>
      <c r="E2051">
        <v>23.4</v>
      </c>
      <c r="F2051" s="1">
        <v>45733</v>
      </c>
      <c r="G2051" s="1">
        <v>45738</v>
      </c>
      <c r="H2051" t="s">
        <v>27</v>
      </c>
      <c r="I2051" t="s">
        <v>35</v>
      </c>
      <c r="J2051">
        <v>5</v>
      </c>
      <c r="K2051" t="s">
        <v>19</v>
      </c>
      <c r="L2051" t="s">
        <v>33</v>
      </c>
      <c r="M2051">
        <f>orders[[#This Row],[Ship Date]]-orders[[#This Row],[Order Date]]</f>
        <v>5</v>
      </c>
      <c r="N2051">
        <f>WEEKNUM(orders[[#This Row],[Order Date]])</f>
        <v>12</v>
      </c>
      <c r="O2051" t="str">
        <f>_xlfn.IFS(orders[[#This Row],[Customer Gender]]="M","Male", orders[[#This Row],[Customer Gender]]="F","Female", orders[[#This Row],[Customer Gender]]="O","Other", TRUE,"Unknown")</f>
        <v>Female</v>
      </c>
    </row>
    <row r="2052" spans="1:15">
      <c r="A2052" t="s">
        <v>2152</v>
      </c>
      <c r="B2052" t="s">
        <v>123</v>
      </c>
      <c r="C2052">
        <v>8</v>
      </c>
      <c r="D2052">
        <v>56.6</v>
      </c>
      <c r="E2052">
        <v>452.8</v>
      </c>
      <c r="F2052" s="1">
        <v>45733</v>
      </c>
      <c r="G2052" s="1">
        <v>45735</v>
      </c>
      <c r="H2052" t="s">
        <v>27</v>
      </c>
      <c r="I2052" t="s">
        <v>35</v>
      </c>
      <c r="J2052">
        <v>4</v>
      </c>
      <c r="K2052" t="s">
        <v>19</v>
      </c>
      <c r="L2052" t="s">
        <v>33</v>
      </c>
      <c r="M2052">
        <f>orders[[#This Row],[Ship Date]]-orders[[#This Row],[Order Date]]</f>
        <v>2</v>
      </c>
      <c r="N2052">
        <f>WEEKNUM(orders[[#This Row],[Order Date]])</f>
        <v>12</v>
      </c>
      <c r="O2052" t="str">
        <f>_xlfn.IFS(orders[[#This Row],[Customer Gender]]="M","Male", orders[[#This Row],[Customer Gender]]="F","Female", orders[[#This Row],[Customer Gender]]="O","Other", TRUE,"Unknown")</f>
        <v>Female</v>
      </c>
    </row>
    <row r="2053" spans="1:15">
      <c r="A2053" t="s">
        <v>2153</v>
      </c>
      <c r="B2053" t="s">
        <v>123</v>
      </c>
      <c r="C2053">
        <v>2</v>
      </c>
      <c r="D2053">
        <v>26.8</v>
      </c>
      <c r="E2053">
        <v>53.6</v>
      </c>
      <c r="F2053" s="1">
        <v>45733</v>
      </c>
      <c r="G2053" s="1">
        <v>45734</v>
      </c>
      <c r="H2053" t="s">
        <v>23</v>
      </c>
      <c r="I2053" t="s">
        <v>18</v>
      </c>
      <c r="J2053">
        <v>4</v>
      </c>
      <c r="K2053" t="s">
        <v>19</v>
      </c>
      <c r="L2053" t="s">
        <v>49</v>
      </c>
      <c r="M2053">
        <f>orders[[#This Row],[Ship Date]]-orders[[#This Row],[Order Date]]</f>
        <v>1</v>
      </c>
      <c r="N2053">
        <f>WEEKNUM(orders[[#This Row],[Order Date]])</f>
        <v>12</v>
      </c>
      <c r="O2053" t="str">
        <f>_xlfn.IFS(orders[[#This Row],[Customer Gender]]="M","Male", orders[[#This Row],[Customer Gender]]="F","Female", orders[[#This Row],[Customer Gender]]="O","Other", TRUE,"Unknown")</f>
        <v>Male</v>
      </c>
    </row>
    <row r="2054" spans="1:15">
      <c r="A2054" t="s">
        <v>2154</v>
      </c>
      <c r="B2054" t="s">
        <v>16</v>
      </c>
      <c r="C2054">
        <v>3</v>
      </c>
      <c r="D2054">
        <v>11.3</v>
      </c>
      <c r="E2054">
        <v>33.900000000000006</v>
      </c>
      <c r="F2054" s="1">
        <v>45733</v>
      </c>
      <c r="G2054" s="1">
        <v>45735</v>
      </c>
      <c r="H2054" t="s">
        <v>23</v>
      </c>
      <c r="I2054" t="s">
        <v>40</v>
      </c>
      <c r="J2054">
        <v>4</v>
      </c>
      <c r="K2054" t="s">
        <v>19</v>
      </c>
      <c r="L2054" t="s">
        <v>188</v>
      </c>
      <c r="M2054">
        <f>orders[[#This Row],[Ship Date]]-orders[[#This Row],[Order Date]]</f>
        <v>2</v>
      </c>
      <c r="N2054">
        <f>WEEKNUM(orders[[#This Row],[Order Date]])</f>
        <v>12</v>
      </c>
      <c r="O2054" t="str">
        <f>_xlfn.IFS(orders[[#This Row],[Customer Gender]]="M","Male", orders[[#This Row],[Customer Gender]]="F","Female", orders[[#This Row],[Customer Gender]]="O","Other", TRUE,"Unknown")</f>
        <v>Male</v>
      </c>
    </row>
    <row r="2055" spans="1:15">
      <c r="A2055" t="s">
        <v>2300</v>
      </c>
      <c r="B2055" t="s">
        <v>26</v>
      </c>
      <c r="C2055">
        <v>4</v>
      </c>
      <c r="D2055">
        <v>145.69999999999999</v>
      </c>
      <c r="E2055">
        <v>582.79999999999995</v>
      </c>
      <c r="F2055" s="1">
        <v>45738</v>
      </c>
      <c r="G2055" s="1">
        <v>45739</v>
      </c>
      <c r="H2055" t="s">
        <v>27</v>
      </c>
      <c r="I2055" t="s">
        <v>18</v>
      </c>
      <c r="J2055">
        <v>2</v>
      </c>
      <c r="K2055" t="s">
        <v>19</v>
      </c>
      <c r="L2055" t="s">
        <v>103</v>
      </c>
      <c r="M2055">
        <f>orders[[#This Row],[Ship Date]]-orders[[#This Row],[Order Date]]</f>
        <v>1</v>
      </c>
      <c r="N2055">
        <f>WEEKNUM(orders[[#This Row],[Order Date]])</f>
        <v>12</v>
      </c>
      <c r="O2055" t="str">
        <f>_xlfn.IFS(orders[[#This Row],[Customer Gender]]="M","Male", orders[[#This Row],[Customer Gender]]="F","Female", orders[[#This Row],[Customer Gender]]="O","Other", TRUE,"Unknown")</f>
        <v>Female</v>
      </c>
    </row>
    <row r="2056" spans="1:15">
      <c r="A2056" t="s">
        <v>2208</v>
      </c>
      <c r="B2056" t="s">
        <v>26</v>
      </c>
      <c r="C2056">
        <v>3</v>
      </c>
      <c r="D2056">
        <v>157</v>
      </c>
      <c r="E2056">
        <v>471</v>
      </c>
      <c r="F2056" s="1">
        <v>45735</v>
      </c>
      <c r="G2056" s="1">
        <v>45737</v>
      </c>
      <c r="H2056" t="s">
        <v>27</v>
      </c>
      <c r="I2056" t="s">
        <v>18</v>
      </c>
      <c r="J2056">
        <v>5</v>
      </c>
      <c r="K2056" t="s">
        <v>19</v>
      </c>
      <c r="L2056" t="s">
        <v>147</v>
      </c>
      <c r="M2056">
        <f>orders[[#This Row],[Ship Date]]-orders[[#This Row],[Order Date]]</f>
        <v>2</v>
      </c>
      <c r="N2056">
        <f>WEEKNUM(orders[[#This Row],[Order Date]])</f>
        <v>12</v>
      </c>
      <c r="O2056" t="str">
        <f>_xlfn.IFS(orders[[#This Row],[Customer Gender]]="M","Male", orders[[#This Row],[Customer Gender]]="F","Female", orders[[#This Row],[Customer Gender]]="O","Other", TRUE,"Unknown")</f>
        <v>Female</v>
      </c>
    </row>
    <row r="2057" spans="1:15">
      <c r="A2057" t="s">
        <v>2157</v>
      </c>
      <c r="B2057" t="s">
        <v>123</v>
      </c>
      <c r="C2057">
        <v>1</v>
      </c>
      <c r="D2057">
        <v>71.400000000000006</v>
      </c>
      <c r="E2057">
        <v>71.400000000000006</v>
      </c>
      <c r="F2057" s="1">
        <v>45733</v>
      </c>
      <c r="G2057" s="1">
        <v>45736</v>
      </c>
      <c r="H2057" t="s">
        <v>23</v>
      </c>
      <c r="I2057" t="s">
        <v>18</v>
      </c>
      <c r="J2057">
        <v>5</v>
      </c>
      <c r="K2057" t="s">
        <v>19</v>
      </c>
      <c r="L2057" t="s">
        <v>62</v>
      </c>
      <c r="M2057">
        <f>orders[[#This Row],[Ship Date]]-orders[[#This Row],[Order Date]]</f>
        <v>3</v>
      </c>
      <c r="N2057">
        <f>WEEKNUM(orders[[#This Row],[Order Date]])</f>
        <v>12</v>
      </c>
      <c r="O2057" t="str">
        <f>_xlfn.IFS(orders[[#This Row],[Customer Gender]]="M","Male", orders[[#This Row],[Customer Gender]]="F","Female", orders[[#This Row],[Customer Gender]]="O","Other", TRUE,"Unknown")</f>
        <v>Male</v>
      </c>
    </row>
    <row r="2058" spans="1:15">
      <c r="A2058" t="s">
        <v>2234</v>
      </c>
      <c r="B2058" t="s">
        <v>44</v>
      </c>
      <c r="C2058">
        <v>6</v>
      </c>
      <c r="D2058">
        <v>72.3</v>
      </c>
      <c r="E2058">
        <v>433.79999999999995</v>
      </c>
      <c r="F2058" s="1">
        <v>45735</v>
      </c>
      <c r="G2058" s="1">
        <v>45738</v>
      </c>
      <c r="H2058" t="s">
        <v>27</v>
      </c>
      <c r="I2058" t="s">
        <v>18</v>
      </c>
      <c r="J2058">
        <v>4</v>
      </c>
      <c r="K2058" t="s">
        <v>19</v>
      </c>
      <c r="L2058" t="s">
        <v>62</v>
      </c>
      <c r="M2058">
        <f>orders[[#This Row],[Ship Date]]-orders[[#This Row],[Order Date]]</f>
        <v>3</v>
      </c>
      <c r="N2058">
        <f>WEEKNUM(orders[[#This Row],[Order Date]])</f>
        <v>12</v>
      </c>
      <c r="O2058" t="str">
        <f>_xlfn.IFS(orders[[#This Row],[Customer Gender]]="M","Male", orders[[#This Row],[Customer Gender]]="F","Female", orders[[#This Row],[Customer Gender]]="O","Other", TRUE,"Unknown")</f>
        <v>Female</v>
      </c>
    </row>
    <row r="2059" spans="1:15">
      <c r="A2059" t="s">
        <v>2315</v>
      </c>
      <c r="B2059" t="s">
        <v>69</v>
      </c>
      <c r="C2059">
        <v>8</v>
      </c>
      <c r="D2059">
        <v>47.5</v>
      </c>
      <c r="E2059">
        <v>380</v>
      </c>
      <c r="F2059" s="1">
        <v>45738</v>
      </c>
      <c r="G2059" s="1">
        <v>45746</v>
      </c>
      <c r="H2059" t="s">
        <v>27</v>
      </c>
      <c r="I2059" t="s">
        <v>18</v>
      </c>
      <c r="J2059">
        <v>4</v>
      </c>
      <c r="K2059" t="s">
        <v>19</v>
      </c>
      <c r="L2059" t="s">
        <v>33</v>
      </c>
      <c r="M2059">
        <f>orders[[#This Row],[Ship Date]]-orders[[#This Row],[Order Date]]</f>
        <v>8</v>
      </c>
      <c r="N2059">
        <f>WEEKNUM(orders[[#This Row],[Order Date]])</f>
        <v>12</v>
      </c>
      <c r="O2059" t="str">
        <f>_xlfn.IFS(orders[[#This Row],[Customer Gender]]="M","Male", orders[[#This Row],[Customer Gender]]="F","Female", orders[[#This Row],[Customer Gender]]="O","Other", TRUE,"Unknown")</f>
        <v>Female</v>
      </c>
    </row>
    <row r="2060" spans="1:15">
      <c r="A2060" t="s">
        <v>2160</v>
      </c>
      <c r="B2060" t="s">
        <v>44</v>
      </c>
      <c r="C2060">
        <v>4</v>
      </c>
      <c r="D2060">
        <v>24.9</v>
      </c>
      <c r="E2060">
        <v>99.6</v>
      </c>
      <c r="F2060" s="1">
        <v>45733</v>
      </c>
      <c r="G2060" s="1">
        <v>45738</v>
      </c>
      <c r="H2060" t="s">
        <v>23</v>
      </c>
      <c r="I2060" t="s">
        <v>35</v>
      </c>
      <c r="J2060">
        <v>5</v>
      </c>
      <c r="K2060" t="s">
        <v>19</v>
      </c>
      <c r="L2060" t="s">
        <v>62</v>
      </c>
      <c r="M2060">
        <f>orders[[#This Row],[Ship Date]]-orders[[#This Row],[Order Date]]</f>
        <v>5</v>
      </c>
      <c r="N2060">
        <f>WEEKNUM(orders[[#This Row],[Order Date]])</f>
        <v>12</v>
      </c>
      <c r="O2060" t="str">
        <f>_xlfn.IFS(orders[[#This Row],[Customer Gender]]="M","Male", orders[[#This Row],[Customer Gender]]="F","Female", orders[[#This Row],[Customer Gender]]="O","Other", TRUE,"Unknown")</f>
        <v>Male</v>
      </c>
    </row>
    <row r="2061" spans="1:15">
      <c r="A2061" t="s">
        <v>2161</v>
      </c>
      <c r="B2061" t="s">
        <v>37</v>
      </c>
      <c r="C2061">
        <v>5</v>
      </c>
      <c r="D2061">
        <v>29.2</v>
      </c>
      <c r="E2061">
        <v>146</v>
      </c>
      <c r="F2061" s="1">
        <v>45733</v>
      </c>
      <c r="G2061" s="1">
        <v>45734</v>
      </c>
      <c r="H2061" t="s">
        <v>23</v>
      </c>
      <c r="I2061" t="s">
        <v>18</v>
      </c>
      <c r="J2061">
        <v>5</v>
      </c>
      <c r="K2061" t="s">
        <v>19</v>
      </c>
      <c r="L2061" t="s">
        <v>103</v>
      </c>
      <c r="M2061">
        <f>orders[[#This Row],[Ship Date]]-orders[[#This Row],[Order Date]]</f>
        <v>1</v>
      </c>
      <c r="N2061">
        <f>WEEKNUM(orders[[#This Row],[Order Date]])</f>
        <v>12</v>
      </c>
      <c r="O2061" t="str">
        <f>_xlfn.IFS(orders[[#This Row],[Customer Gender]]="M","Male", orders[[#This Row],[Customer Gender]]="F","Female", orders[[#This Row],[Customer Gender]]="O","Other", TRUE,"Unknown")</f>
        <v>Male</v>
      </c>
    </row>
    <row r="2062" spans="1:15">
      <c r="A2062" t="s">
        <v>2162</v>
      </c>
      <c r="B2062" t="s">
        <v>76</v>
      </c>
      <c r="C2062">
        <v>14</v>
      </c>
      <c r="D2062">
        <v>28.3</v>
      </c>
      <c r="E2062">
        <v>396.2</v>
      </c>
      <c r="F2062" s="1">
        <v>45733</v>
      </c>
      <c r="G2062" s="1">
        <v>45735</v>
      </c>
      <c r="H2062" t="s">
        <v>27</v>
      </c>
      <c r="I2062" t="s">
        <v>35</v>
      </c>
      <c r="J2062">
        <v>4</v>
      </c>
      <c r="K2062" t="s">
        <v>19</v>
      </c>
      <c r="L2062" t="s">
        <v>77</v>
      </c>
      <c r="M2062">
        <f>orders[[#This Row],[Ship Date]]-orders[[#This Row],[Order Date]]</f>
        <v>2</v>
      </c>
      <c r="N2062">
        <f>WEEKNUM(orders[[#This Row],[Order Date]])</f>
        <v>12</v>
      </c>
      <c r="O2062" t="str">
        <f>_xlfn.IFS(orders[[#This Row],[Customer Gender]]="M","Male", orders[[#This Row],[Customer Gender]]="F","Female", orders[[#This Row],[Customer Gender]]="O","Other", TRUE,"Unknown")</f>
        <v>Female</v>
      </c>
    </row>
    <row r="2063" spans="1:15">
      <c r="A2063" t="s">
        <v>2156</v>
      </c>
      <c r="B2063" t="s">
        <v>16</v>
      </c>
      <c r="C2063">
        <v>11</v>
      </c>
      <c r="D2063">
        <v>27.7</v>
      </c>
      <c r="E2063">
        <v>304.7</v>
      </c>
      <c r="F2063" s="1">
        <v>45733</v>
      </c>
      <c r="G2063" s="1">
        <v>45738</v>
      </c>
      <c r="H2063" t="s">
        <v>27</v>
      </c>
      <c r="I2063" t="s">
        <v>18</v>
      </c>
      <c r="J2063">
        <v>4</v>
      </c>
      <c r="K2063" t="s">
        <v>19</v>
      </c>
      <c r="L2063" t="s">
        <v>62</v>
      </c>
      <c r="M2063">
        <f>orders[[#This Row],[Ship Date]]-orders[[#This Row],[Order Date]]</f>
        <v>5</v>
      </c>
      <c r="N2063">
        <f>WEEKNUM(orders[[#This Row],[Order Date]])</f>
        <v>12</v>
      </c>
      <c r="O2063" t="str">
        <f>_xlfn.IFS(orders[[#This Row],[Customer Gender]]="M","Male", orders[[#This Row],[Customer Gender]]="F","Female", orders[[#This Row],[Customer Gender]]="O","Other", TRUE,"Unknown")</f>
        <v>Female</v>
      </c>
    </row>
    <row r="2064" spans="1:15">
      <c r="A2064" t="s">
        <v>2164</v>
      </c>
      <c r="B2064" t="s">
        <v>81</v>
      </c>
      <c r="C2064">
        <v>7</v>
      </c>
      <c r="D2064">
        <v>28.1</v>
      </c>
      <c r="E2064">
        <v>196.70000000000002</v>
      </c>
      <c r="F2064" s="1">
        <v>45733</v>
      </c>
      <c r="G2064" s="1">
        <v>45739</v>
      </c>
      <c r="H2064" t="s">
        <v>27</v>
      </c>
      <c r="I2064" t="s">
        <v>40</v>
      </c>
      <c r="J2064">
        <v>4</v>
      </c>
      <c r="K2064" t="s">
        <v>19</v>
      </c>
      <c r="L2064" t="s">
        <v>77</v>
      </c>
      <c r="M2064">
        <f>orders[[#This Row],[Ship Date]]-orders[[#This Row],[Order Date]]</f>
        <v>6</v>
      </c>
      <c r="N2064">
        <f>WEEKNUM(orders[[#This Row],[Order Date]])</f>
        <v>12</v>
      </c>
      <c r="O2064" t="str">
        <f>_xlfn.IFS(orders[[#This Row],[Customer Gender]]="M","Male", orders[[#This Row],[Customer Gender]]="F","Female", orders[[#This Row],[Customer Gender]]="O","Other", TRUE,"Unknown")</f>
        <v>Female</v>
      </c>
    </row>
    <row r="2065" spans="1:15">
      <c r="A2065" t="s">
        <v>2165</v>
      </c>
      <c r="B2065" t="s">
        <v>22</v>
      </c>
      <c r="C2065">
        <v>3</v>
      </c>
      <c r="D2065">
        <v>59.7</v>
      </c>
      <c r="E2065">
        <v>179.10000000000002</v>
      </c>
      <c r="F2065" s="1">
        <v>45733</v>
      </c>
      <c r="G2065" s="1">
        <v>45735</v>
      </c>
      <c r="H2065" t="s">
        <v>27</v>
      </c>
      <c r="I2065" t="s">
        <v>40</v>
      </c>
      <c r="J2065">
        <v>4</v>
      </c>
      <c r="K2065" t="s">
        <v>19</v>
      </c>
      <c r="L2065" t="s">
        <v>77</v>
      </c>
      <c r="M2065">
        <f>orders[[#This Row],[Ship Date]]-orders[[#This Row],[Order Date]]</f>
        <v>2</v>
      </c>
      <c r="N2065">
        <f>WEEKNUM(orders[[#This Row],[Order Date]])</f>
        <v>12</v>
      </c>
      <c r="O2065" t="str">
        <f>_xlfn.IFS(orders[[#This Row],[Customer Gender]]="M","Male", orders[[#This Row],[Customer Gender]]="F","Female", orders[[#This Row],[Customer Gender]]="O","Other", TRUE,"Unknown")</f>
        <v>Female</v>
      </c>
    </row>
    <row r="2066" spans="1:15">
      <c r="A2066" t="s">
        <v>2166</v>
      </c>
      <c r="B2066" t="s">
        <v>128</v>
      </c>
      <c r="C2066">
        <v>1</v>
      </c>
      <c r="D2066">
        <v>71.900000000000006</v>
      </c>
      <c r="E2066">
        <v>71.900000000000006</v>
      </c>
      <c r="F2066" s="1">
        <v>45733</v>
      </c>
      <c r="G2066" s="1">
        <v>45734</v>
      </c>
      <c r="H2066" t="s">
        <v>23</v>
      </c>
      <c r="I2066" t="s">
        <v>35</v>
      </c>
      <c r="J2066">
        <v>3</v>
      </c>
      <c r="K2066" t="s">
        <v>19</v>
      </c>
      <c r="L2066" t="s">
        <v>77</v>
      </c>
      <c r="M2066">
        <f>orders[[#This Row],[Ship Date]]-orders[[#This Row],[Order Date]]</f>
        <v>1</v>
      </c>
      <c r="N2066">
        <f>WEEKNUM(orders[[#This Row],[Order Date]])</f>
        <v>12</v>
      </c>
      <c r="O2066" t="str">
        <f>_xlfn.IFS(orders[[#This Row],[Customer Gender]]="M","Male", orders[[#This Row],[Customer Gender]]="F","Female", orders[[#This Row],[Customer Gender]]="O","Other", TRUE,"Unknown")</f>
        <v>Male</v>
      </c>
    </row>
    <row r="2067" spans="1:15">
      <c r="A2067" t="s">
        <v>2167</v>
      </c>
      <c r="B2067" t="s">
        <v>22</v>
      </c>
      <c r="C2067">
        <v>2</v>
      </c>
      <c r="D2067">
        <v>56.9</v>
      </c>
      <c r="E2067">
        <v>113.8</v>
      </c>
      <c r="F2067" s="1">
        <v>45733</v>
      </c>
      <c r="G2067" s="1">
        <v>45734</v>
      </c>
      <c r="H2067" t="s">
        <v>23</v>
      </c>
      <c r="I2067" t="s">
        <v>40</v>
      </c>
      <c r="J2067">
        <v>4</v>
      </c>
      <c r="K2067" t="s">
        <v>19</v>
      </c>
      <c r="L2067" t="s">
        <v>82</v>
      </c>
      <c r="M2067">
        <f>orders[[#This Row],[Ship Date]]-orders[[#This Row],[Order Date]]</f>
        <v>1</v>
      </c>
      <c r="N2067">
        <f>WEEKNUM(orders[[#This Row],[Order Date]])</f>
        <v>12</v>
      </c>
      <c r="O2067" t="str">
        <f>_xlfn.IFS(orders[[#This Row],[Customer Gender]]="M","Male", orders[[#This Row],[Customer Gender]]="F","Female", orders[[#This Row],[Customer Gender]]="O","Other", TRUE,"Unknown")</f>
        <v>Male</v>
      </c>
    </row>
    <row r="2068" spans="1:15">
      <c r="A2068" t="s">
        <v>2168</v>
      </c>
      <c r="B2068" t="s">
        <v>44</v>
      </c>
      <c r="C2068">
        <v>2</v>
      </c>
      <c r="D2068">
        <v>15.8</v>
      </c>
      <c r="E2068">
        <v>31.6</v>
      </c>
      <c r="F2068" s="1">
        <v>45733</v>
      </c>
      <c r="G2068" s="1">
        <v>45736</v>
      </c>
      <c r="H2068" t="s">
        <v>27</v>
      </c>
      <c r="I2068" t="s">
        <v>40</v>
      </c>
      <c r="J2068">
        <v>3</v>
      </c>
      <c r="K2068" t="s">
        <v>19</v>
      </c>
      <c r="L2068" t="s">
        <v>24</v>
      </c>
      <c r="M2068">
        <f>orders[[#This Row],[Ship Date]]-orders[[#This Row],[Order Date]]</f>
        <v>3</v>
      </c>
      <c r="N2068">
        <f>WEEKNUM(orders[[#This Row],[Order Date]])</f>
        <v>12</v>
      </c>
      <c r="O2068" t="str">
        <f>_xlfn.IFS(orders[[#This Row],[Customer Gender]]="M","Male", orders[[#This Row],[Customer Gender]]="F","Female", orders[[#This Row],[Customer Gender]]="O","Other", TRUE,"Unknown")</f>
        <v>Female</v>
      </c>
    </row>
    <row r="2069" spans="1:15">
      <c r="A2069" t="s">
        <v>2169</v>
      </c>
      <c r="B2069" t="s">
        <v>67</v>
      </c>
      <c r="C2069">
        <v>4</v>
      </c>
      <c r="D2069">
        <v>61.7</v>
      </c>
      <c r="E2069">
        <v>246.8</v>
      </c>
      <c r="F2069" s="1">
        <v>45733</v>
      </c>
      <c r="G2069" s="1">
        <v>45735</v>
      </c>
      <c r="H2069" t="s">
        <v>27</v>
      </c>
      <c r="I2069" t="s">
        <v>40</v>
      </c>
      <c r="J2069">
        <v>4</v>
      </c>
      <c r="K2069" t="s">
        <v>19</v>
      </c>
      <c r="L2069" t="s">
        <v>147</v>
      </c>
      <c r="M2069">
        <f>orders[[#This Row],[Ship Date]]-orders[[#This Row],[Order Date]]</f>
        <v>2</v>
      </c>
      <c r="N2069">
        <f>WEEKNUM(orders[[#This Row],[Order Date]])</f>
        <v>12</v>
      </c>
      <c r="O2069" t="str">
        <f>_xlfn.IFS(orders[[#This Row],[Customer Gender]]="M","Male", orders[[#This Row],[Customer Gender]]="F","Female", orders[[#This Row],[Customer Gender]]="O","Other", TRUE,"Unknown")</f>
        <v>Female</v>
      </c>
    </row>
    <row r="2070" spans="1:15">
      <c r="A2070" t="s">
        <v>2170</v>
      </c>
      <c r="B2070" t="s">
        <v>26</v>
      </c>
      <c r="C2070">
        <v>10</v>
      </c>
      <c r="D2070">
        <v>105.2</v>
      </c>
      <c r="E2070">
        <v>1052</v>
      </c>
      <c r="F2070" s="1">
        <v>45733</v>
      </c>
      <c r="G2070" s="1">
        <v>45735</v>
      </c>
      <c r="H2070" t="s">
        <v>23</v>
      </c>
      <c r="I2070" t="s">
        <v>35</v>
      </c>
      <c r="J2070">
        <v>2</v>
      </c>
      <c r="K2070" t="s">
        <v>19</v>
      </c>
      <c r="L2070" t="s">
        <v>33</v>
      </c>
      <c r="M2070">
        <f>orders[[#This Row],[Ship Date]]-orders[[#This Row],[Order Date]]</f>
        <v>2</v>
      </c>
      <c r="N2070">
        <f>WEEKNUM(orders[[#This Row],[Order Date]])</f>
        <v>12</v>
      </c>
      <c r="O2070" t="str">
        <f>_xlfn.IFS(orders[[#This Row],[Customer Gender]]="M","Male", orders[[#This Row],[Customer Gender]]="F","Female", orders[[#This Row],[Customer Gender]]="O","Other", TRUE,"Unknown")</f>
        <v>Male</v>
      </c>
    </row>
    <row r="2071" spans="1:15">
      <c r="A2071" t="s">
        <v>2171</v>
      </c>
      <c r="B2071" t="s">
        <v>16</v>
      </c>
      <c r="C2071">
        <v>2</v>
      </c>
      <c r="D2071">
        <v>17</v>
      </c>
      <c r="E2071">
        <v>34</v>
      </c>
      <c r="F2071" s="1">
        <v>45733</v>
      </c>
      <c r="G2071" s="1">
        <v>45735</v>
      </c>
      <c r="H2071" t="s">
        <v>27</v>
      </c>
      <c r="I2071" t="s">
        <v>40</v>
      </c>
      <c r="J2071">
        <v>4</v>
      </c>
      <c r="K2071" t="s">
        <v>19</v>
      </c>
      <c r="L2071" t="s">
        <v>33</v>
      </c>
      <c r="M2071">
        <f>orders[[#This Row],[Ship Date]]-orders[[#This Row],[Order Date]]</f>
        <v>2</v>
      </c>
      <c r="N2071">
        <f>WEEKNUM(orders[[#This Row],[Order Date]])</f>
        <v>12</v>
      </c>
      <c r="O2071" t="str">
        <f>_xlfn.IFS(orders[[#This Row],[Customer Gender]]="M","Male", orders[[#This Row],[Customer Gender]]="F","Female", orders[[#This Row],[Customer Gender]]="O","Other", TRUE,"Unknown")</f>
        <v>Female</v>
      </c>
    </row>
    <row r="2072" spans="1:15">
      <c r="A2072" t="s">
        <v>2172</v>
      </c>
      <c r="B2072" t="s">
        <v>39</v>
      </c>
      <c r="C2072">
        <v>3</v>
      </c>
      <c r="D2072">
        <v>84.1</v>
      </c>
      <c r="E2072">
        <v>252.29999999999998</v>
      </c>
      <c r="F2072" s="1">
        <v>45733</v>
      </c>
      <c r="G2072" s="1">
        <v>45734</v>
      </c>
      <c r="H2072" t="s">
        <v>23</v>
      </c>
      <c r="I2072" t="s">
        <v>40</v>
      </c>
      <c r="J2072">
        <v>4</v>
      </c>
      <c r="K2072" t="s">
        <v>19</v>
      </c>
      <c r="L2072" t="s">
        <v>33</v>
      </c>
      <c r="M2072">
        <f>orders[[#This Row],[Ship Date]]-orders[[#This Row],[Order Date]]</f>
        <v>1</v>
      </c>
      <c r="N2072">
        <f>WEEKNUM(orders[[#This Row],[Order Date]])</f>
        <v>12</v>
      </c>
      <c r="O2072" t="str">
        <f>_xlfn.IFS(orders[[#This Row],[Customer Gender]]="M","Male", orders[[#This Row],[Customer Gender]]="F","Female", orders[[#This Row],[Customer Gender]]="O","Other", TRUE,"Unknown")</f>
        <v>Male</v>
      </c>
    </row>
    <row r="2073" spans="1:15">
      <c r="A2073" t="s">
        <v>2173</v>
      </c>
      <c r="B2073" t="s">
        <v>30</v>
      </c>
      <c r="C2073">
        <v>4</v>
      </c>
      <c r="D2073">
        <v>59.5</v>
      </c>
      <c r="E2073">
        <v>238</v>
      </c>
      <c r="F2073" s="1">
        <v>45733</v>
      </c>
      <c r="G2073" s="1">
        <v>45738</v>
      </c>
      <c r="H2073" t="s">
        <v>23</v>
      </c>
      <c r="I2073" t="s">
        <v>18</v>
      </c>
      <c r="J2073">
        <v>5</v>
      </c>
      <c r="K2073" t="s">
        <v>19</v>
      </c>
      <c r="L2073" t="s">
        <v>33</v>
      </c>
      <c r="M2073">
        <f>orders[[#This Row],[Ship Date]]-orders[[#This Row],[Order Date]]</f>
        <v>5</v>
      </c>
      <c r="N2073">
        <f>WEEKNUM(orders[[#This Row],[Order Date]])</f>
        <v>12</v>
      </c>
      <c r="O2073" t="str">
        <f>_xlfn.IFS(orders[[#This Row],[Customer Gender]]="M","Male", orders[[#This Row],[Customer Gender]]="F","Female", orders[[#This Row],[Customer Gender]]="O","Other", TRUE,"Unknown")</f>
        <v>Male</v>
      </c>
    </row>
    <row r="2074" spans="1:15">
      <c r="A2074" t="s">
        <v>2174</v>
      </c>
      <c r="B2074" t="s">
        <v>44</v>
      </c>
      <c r="C2074">
        <v>2</v>
      </c>
      <c r="D2074">
        <v>57.5</v>
      </c>
      <c r="E2074">
        <v>115</v>
      </c>
      <c r="F2074" s="1">
        <v>45733</v>
      </c>
      <c r="G2074" s="1">
        <v>45735</v>
      </c>
      <c r="H2074" t="s">
        <v>23</v>
      </c>
      <c r="I2074" t="s">
        <v>35</v>
      </c>
      <c r="J2074">
        <v>5</v>
      </c>
      <c r="K2074" t="s">
        <v>19</v>
      </c>
      <c r="L2074" t="s">
        <v>33</v>
      </c>
      <c r="M2074">
        <f>orders[[#This Row],[Ship Date]]-orders[[#This Row],[Order Date]]</f>
        <v>2</v>
      </c>
      <c r="N2074">
        <f>WEEKNUM(orders[[#This Row],[Order Date]])</f>
        <v>12</v>
      </c>
      <c r="O2074" t="str">
        <f>_xlfn.IFS(orders[[#This Row],[Customer Gender]]="M","Male", orders[[#This Row],[Customer Gender]]="F","Female", orders[[#This Row],[Customer Gender]]="O","Other", TRUE,"Unknown")</f>
        <v>Male</v>
      </c>
    </row>
    <row r="2075" spans="1:15">
      <c r="A2075" t="s">
        <v>2175</v>
      </c>
      <c r="B2075" t="s">
        <v>44</v>
      </c>
      <c r="C2075">
        <v>1</v>
      </c>
      <c r="D2075">
        <v>34.299999999999997</v>
      </c>
      <c r="E2075">
        <v>34.299999999999997</v>
      </c>
      <c r="F2075" s="1">
        <v>45733</v>
      </c>
      <c r="G2075" s="1">
        <v>45734</v>
      </c>
      <c r="H2075" t="s">
        <v>27</v>
      </c>
      <c r="I2075" t="s">
        <v>70</v>
      </c>
      <c r="J2075">
        <v>5</v>
      </c>
      <c r="K2075" t="s">
        <v>19</v>
      </c>
      <c r="L2075" t="s">
        <v>33</v>
      </c>
      <c r="M2075">
        <f>orders[[#This Row],[Ship Date]]-orders[[#This Row],[Order Date]]</f>
        <v>1</v>
      </c>
      <c r="N2075">
        <f>WEEKNUM(orders[[#This Row],[Order Date]])</f>
        <v>12</v>
      </c>
      <c r="O2075" t="str">
        <f>_xlfn.IFS(orders[[#This Row],[Customer Gender]]="M","Male", orders[[#This Row],[Customer Gender]]="F","Female", orders[[#This Row],[Customer Gender]]="O","Other", TRUE,"Unknown")</f>
        <v>Female</v>
      </c>
    </row>
    <row r="2076" spans="1:15">
      <c r="A2076" t="s">
        <v>2259</v>
      </c>
      <c r="B2076" t="s">
        <v>32</v>
      </c>
      <c r="C2076">
        <v>5</v>
      </c>
      <c r="D2076">
        <v>49.7</v>
      </c>
      <c r="E2076">
        <v>248.5</v>
      </c>
      <c r="F2076" s="1">
        <v>45736</v>
      </c>
      <c r="G2076" s="1">
        <v>45738</v>
      </c>
      <c r="H2076" t="s">
        <v>27</v>
      </c>
      <c r="I2076" t="s">
        <v>18</v>
      </c>
      <c r="J2076">
        <v>4</v>
      </c>
      <c r="K2076" t="s">
        <v>19</v>
      </c>
      <c r="L2076" t="s">
        <v>55</v>
      </c>
      <c r="M2076">
        <f>orders[[#This Row],[Ship Date]]-orders[[#This Row],[Order Date]]</f>
        <v>2</v>
      </c>
      <c r="N2076">
        <f>WEEKNUM(orders[[#This Row],[Order Date]])</f>
        <v>12</v>
      </c>
      <c r="O2076" t="str">
        <f>_xlfn.IFS(orders[[#This Row],[Customer Gender]]="M","Male", orders[[#This Row],[Customer Gender]]="F","Female", orders[[#This Row],[Customer Gender]]="O","Other", TRUE,"Unknown")</f>
        <v>Female</v>
      </c>
    </row>
    <row r="2077" spans="1:15">
      <c r="A2077" t="s">
        <v>2177</v>
      </c>
      <c r="B2077" t="s">
        <v>69</v>
      </c>
      <c r="C2077">
        <v>2</v>
      </c>
      <c r="D2077">
        <v>85</v>
      </c>
      <c r="E2077">
        <v>170</v>
      </c>
      <c r="F2077" s="1">
        <v>45734</v>
      </c>
      <c r="G2077" s="1">
        <v>45734</v>
      </c>
      <c r="H2077" t="s">
        <v>23</v>
      </c>
      <c r="I2077" t="s">
        <v>40</v>
      </c>
      <c r="J2077">
        <v>5</v>
      </c>
      <c r="K2077" t="s">
        <v>19</v>
      </c>
      <c r="L2077" t="s">
        <v>33</v>
      </c>
      <c r="M2077">
        <f>orders[[#This Row],[Ship Date]]-orders[[#This Row],[Order Date]]</f>
        <v>0</v>
      </c>
      <c r="N2077">
        <f>WEEKNUM(orders[[#This Row],[Order Date]])</f>
        <v>12</v>
      </c>
      <c r="O2077" t="str">
        <f>_xlfn.IFS(orders[[#This Row],[Customer Gender]]="M","Male", orders[[#This Row],[Customer Gender]]="F","Female", orders[[#This Row],[Customer Gender]]="O","Other", TRUE,"Unknown")</f>
        <v>Male</v>
      </c>
    </row>
    <row r="2078" spans="1:15">
      <c r="A2078" t="s">
        <v>2249</v>
      </c>
      <c r="B2078" t="s">
        <v>22</v>
      </c>
      <c r="C2078">
        <v>3</v>
      </c>
      <c r="D2078">
        <v>71.5</v>
      </c>
      <c r="E2078">
        <v>214.5</v>
      </c>
      <c r="F2078" s="1">
        <v>45736</v>
      </c>
      <c r="G2078" s="1">
        <v>45750</v>
      </c>
      <c r="H2078" t="s">
        <v>27</v>
      </c>
      <c r="I2078" t="s">
        <v>18</v>
      </c>
      <c r="J2078">
        <v>4</v>
      </c>
      <c r="K2078" t="s">
        <v>19</v>
      </c>
      <c r="L2078" t="s">
        <v>33</v>
      </c>
      <c r="M2078">
        <f>orders[[#This Row],[Ship Date]]-orders[[#This Row],[Order Date]]</f>
        <v>14</v>
      </c>
      <c r="N2078">
        <f>WEEKNUM(orders[[#This Row],[Order Date]])</f>
        <v>12</v>
      </c>
      <c r="O2078" t="str">
        <f>_xlfn.IFS(orders[[#This Row],[Customer Gender]]="M","Male", orders[[#This Row],[Customer Gender]]="F","Female", orders[[#This Row],[Customer Gender]]="O","Other", TRUE,"Unknown")</f>
        <v>Female</v>
      </c>
    </row>
    <row r="2079" spans="1:15">
      <c r="A2079" t="s">
        <v>2179</v>
      </c>
      <c r="B2079" t="s">
        <v>128</v>
      </c>
      <c r="C2079">
        <v>2</v>
      </c>
      <c r="D2079">
        <v>32</v>
      </c>
      <c r="E2079">
        <v>64</v>
      </c>
      <c r="F2079" s="1">
        <v>45734</v>
      </c>
      <c r="G2079" s="1">
        <v>45736</v>
      </c>
      <c r="H2079" t="s">
        <v>23</v>
      </c>
      <c r="I2079" t="s">
        <v>18</v>
      </c>
      <c r="J2079">
        <v>3</v>
      </c>
      <c r="K2079" t="s">
        <v>19</v>
      </c>
      <c r="L2079" t="s">
        <v>33</v>
      </c>
      <c r="M2079">
        <f>orders[[#This Row],[Ship Date]]-orders[[#This Row],[Order Date]]</f>
        <v>2</v>
      </c>
      <c r="N2079">
        <f>WEEKNUM(orders[[#This Row],[Order Date]])</f>
        <v>12</v>
      </c>
      <c r="O2079" t="str">
        <f>_xlfn.IFS(orders[[#This Row],[Customer Gender]]="M","Male", orders[[#This Row],[Customer Gender]]="F","Female", orders[[#This Row],[Customer Gender]]="O","Other", TRUE,"Unknown")</f>
        <v>Male</v>
      </c>
    </row>
    <row r="2080" spans="1:15">
      <c r="A2080" t="s">
        <v>2180</v>
      </c>
      <c r="B2080" t="s">
        <v>26</v>
      </c>
      <c r="C2080">
        <v>2</v>
      </c>
      <c r="D2080">
        <v>65.2</v>
      </c>
      <c r="E2080">
        <v>130.4</v>
      </c>
      <c r="F2080" s="1">
        <v>45734</v>
      </c>
      <c r="G2080" s="1">
        <v>45735</v>
      </c>
      <c r="H2080" t="s">
        <v>27</v>
      </c>
      <c r="I2080" t="s">
        <v>35</v>
      </c>
      <c r="J2080">
        <v>4</v>
      </c>
      <c r="K2080" t="s">
        <v>19</v>
      </c>
      <c r="L2080" t="s">
        <v>33</v>
      </c>
      <c r="M2080">
        <f>orders[[#This Row],[Ship Date]]-orders[[#This Row],[Order Date]]</f>
        <v>1</v>
      </c>
      <c r="N2080">
        <f>WEEKNUM(orders[[#This Row],[Order Date]])</f>
        <v>12</v>
      </c>
      <c r="O2080" t="str">
        <f>_xlfn.IFS(orders[[#This Row],[Customer Gender]]="M","Male", orders[[#This Row],[Customer Gender]]="F","Female", orders[[#This Row],[Customer Gender]]="O","Other", TRUE,"Unknown")</f>
        <v>Female</v>
      </c>
    </row>
    <row r="2081" spans="1:15">
      <c r="A2081" t="s">
        <v>2181</v>
      </c>
      <c r="B2081" t="s">
        <v>135</v>
      </c>
      <c r="C2081">
        <v>4</v>
      </c>
      <c r="D2081">
        <v>22</v>
      </c>
      <c r="E2081">
        <v>88</v>
      </c>
      <c r="F2081" s="1">
        <v>45734</v>
      </c>
      <c r="G2081" s="1">
        <v>45735</v>
      </c>
      <c r="H2081" t="s">
        <v>23</v>
      </c>
      <c r="I2081" t="s">
        <v>35</v>
      </c>
      <c r="J2081">
        <v>5</v>
      </c>
      <c r="K2081" t="s">
        <v>19</v>
      </c>
      <c r="L2081" t="s">
        <v>33</v>
      </c>
      <c r="M2081">
        <f>orders[[#This Row],[Ship Date]]-orders[[#This Row],[Order Date]]</f>
        <v>1</v>
      </c>
      <c r="N2081">
        <f>WEEKNUM(orders[[#This Row],[Order Date]])</f>
        <v>12</v>
      </c>
      <c r="O2081" t="str">
        <f>_xlfn.IFS(orders[[#This Row],[Customer Gender]]="M","Male", orders[[#This Row],[Customer Gender]]="F","Female", orders[[#This Row],[Customer Gender]]="O","Other", TRUE,"Unknown")</f>
        <v>Male</v>
      </c>
    </row>
    <row r="2082" spans="1:15">
      <c r="A2082" t="s">
        <v>2182</v>
      </c>
      <c r="B2082" t="s">
        <v>123</v>
      </c>
      <c r="C2082">
        <v>3</v>
      </c>
      <c r="D2082">
        <v>69.400000000000006</v>
      </c>
      <c r="E2082">
        <v>208.20000000000002</v>
      </c>
      <c r="F2082" s="1">
        <v>45734</v>
      </c>
      <c r="G2082" s="1">
        <v>45737</v>
      </c>
      <c r="H2082" t="s">
        <v>23</v>
      </c>
      <c r="I2082" t="s">
        <v>35</v>
      </c>
      <c r="J2082">
        <v>5</v>
      </c>
      <c r="K2082" t="s">
        <v>19</v>
      </c>
      <c r="L2082" t="s">
        <v>33</v>
      </c>
      <c r="M2082">
        <f>orders[[#This Row],[Ship Date]]-orders[[#This Row],[Order Date]]</f>
        <v>3</v>
      </c>
      <c r="N2082">
        <f>WEEKNUM(orders[[#This Row],[Order Date]])</f>
        <v>12</v>
      </c>
      <c r="O2082" t="str">
        <f>_xlfn.IFS(orders[[#This Row],[Customer Gender]]="M","Male", orders[[#This Row],[Customer Gender]]="F","Female", orders[[#This Row],[Customer Gender]]="O","Other", TRUE,"Unknown")</f>
        <v>Male</v>
      </c>
    </row>
    <row r="2083" spans="1:15">
      <c r="A2083" t="s">
        <v>2296</v>
      </c>
      <c r="B2083" t="s">
        <v>26</v>
      </c>
      <c r="C2083">
        <v>3</v>
      </c>
      <c r="D2083">
        <v>70.599999999999994</v>
      </c>
      <c r="E2083">
        <v>211.79999999999998</v>
      </c>
      <c r="F2083" s="1">
        <v>45738</v>
      </c>
      <c r="G2083" s="1">
        <v>45738</v>
      </c>
      <c r="H2083" t="s">
        <v>27</v>
      </c>
      <c r="I2083" t="s">
        <v>18</v>
      </c>
      <c r="J2083">
        <v>3</v>
      </c>
      <c r="K2083" t="s">
        <v>19</v>
      </c>
      <c r="L2083" t="s">
        <v>62</v>
      </c>
      <c r="M2083">
        <f>orders[[#This Row],[Ship Date]]-orders[[#This Row],[Order Date]]</f>
        <v>0</v>
      </c>
      <c r="N2083">
        <f>WEEKNUM(orders[[#This Row],[Order Date]])</f>
        <v>12</v>
      </c>
      <c r="O2083" t="str">
        <f>_xlfn.IFS(orders[[#This Row],[Customer Gender]]="M","Male", orders[[#This Row],[Customer Gender]]="F","Female", orders[[#This Row],[Customer Gender]]="O","Other", TRUE,"Unknown")</f>
        <v>Female</v>
      </c>
    </row>
    <row r="2084" spans="1:15">
      <c r="A2084" t="s">
        <v>2184</v>
      </c>
      <c r="B2084" t="s">
        <v>39</v>
      </c>
      <c r="C2084">
        <v>1</v>
      </c>
      <c r="D2084">
        <v>45.8</v>
      </c>
      <c r="E2084">
        <v>45.8</v>
      </c>
      <c r="F2084" s="1">
        <v>45734</v>
      </c>
      <c r="G2084" s="1">
        <v>45738</v>
      </c>
      <c r="H2084" t="s">
        <v>89</v>
      </c>
      <c r="I2084" t="s">
        <v>18</v>
      </c>
      <c r="J2084">
        <v>4</v>
      </c>
      <c r="K2084" t="s">
        <v>19</v>
      </c>
      <c r="L2084" t="s">
        <v>33</v>
      </c>
      <c r="M2084">
        <f>orders[[#This Row],[Ship Date]]-orders[[#This Row],[Order Date]]</f>
        <v>4</v>
      </c>
      <c r="N2084">
        <f>WEEKNUM(orders[[#This Row],[Order Date]])</f>
        <v>12</v>
      </c>
      <c r="O2084" t="str">
        <f>_xlfn.IFS(orders[[#This Row],[Customer Gender]]="M","Male", orders[[#This Row],[Customer Gender]]="F","Female", orders[[#This Row],[Customer Gender]]="O","Other", TRUE,"Unknown")</f>
        <v>Other</v>
      </c>
    </row>
    <row r="2085" spans="1:15">
      <c r="A2085" t="s">
        <v>2185</v>
      </c>
      <c r="B2085" t="s">
        <v>171</v>
      </c>
      <c r="C2085">
        <v>4</v>
      </c>
      <c r="D2085">
        <v>12.8</v>
      </c>
      <c r="E2085">
        <v>51.2</v>
      </c>
      <c r="F2085" s="1">
        <v>45734</v>
      </c>
      <c r="G2085" s="1">
        <v>45741</v>
      </c>
      <c r="H2085" t="s">
        <v>27</v>
      </c>
      <c r="I2085" t="s">
        <v>35</v>
      </c>
      <c r="J2085">
        <v>3</v>
      </c>
      <c r="K2085" t="s">
        <v>19</v>
      </c>
      <c r="L2085" t="s">
        <v>52</v>
      </c>
      <c r="M2085">
        <f>orders[[#This Row],[Ship Date]]-orders[[#This Row],[Order Date]]</f>
        <v>7</v>
      </c>
      <c r="N2085">
        <f>WEEKNUM(orders[[#This Row],[Order Date]])</f>
        <v>12</v>
      </c>
      <c r="O2085" t="str">
        <f>_xlfn.IFS(orders[[#This Row],[Customer Gender]]="M","Male", orders[[#This Row],[Customer Gender]]="F","Female", orders[[#This Row],[Customer Gender]]="O","Other", TRUE,"Unknown")</f>
        <v>Female</v>
      </c>
    </row>
    <row r="2086" spans="1:15">
      <c r="A2086" t="s">
        <v>2186</v>
      </c>
      <c r="B2086" t="s">
        <v>37</v>
      </c>
      <c r="C2086">
        <v>3</v>
      </c>
      <c r="D2086">
        <v>115.3</v>
      </c>
      <c r="E2086">
        <v>345.9</v>
      </c>
      <c r="F2086" s="1">
        <v>45734</v>
      </c>
      <c r="G2086" s="1">
        <v>45735</v>
      </c>
      <c r="H2086" t="s">
        <v>27</v>
      </c>
      <c r="I2086" t="s">
        <v>40</v>
      </c>
      <c r="J2086">
        <v>5</v>
      </c>
      <c r="K2086" t="s">
        <v>19</v>
      </c>
      <c r="L2086" t="s">
        <v>55</v>
      </c>
      <c r="M2086">
        <f>orders[[#This Row],[Ship Date]]-orders[[#This Row],[Order Date]]</f>
        <v>1</v>
      </c>
      <c r="N2086">
        <f>WEEKNUM(orders[[#This Row],[Order Date]])</f>
        <v>12</v>
      </c>
      <c r="O2086" t="str">
        <f>_xlfn.IFS(orders[[#This Row],[Customer Gender]]="M","Male", orders[[#This Row],[Customer Gender]]="F","Female", orders[[#This Row],[Customer Gender]]="O","Other", TRUE,"Unknown")</f>
        <v>Female</v>
      </c>
    </row>
    <row r="2087" spans="1:15">
      <c r="A2087" t="s">
        <v>2187</v>
      </c>
      <c r="B2087" t="s">
        <v>37</v>
      </c>
      <c r="C2087">
        <v>2</v>
      </c>
      <c r="D2087">
        <v>85</v>
      </c>
      <c r="E2087">
        <v>170</v>
      </c>
      <c r="F2087" s="1">
        <v>45734</v>
      </c>
      <c r="G2087" s="1">
        <v>45736</v>
      </c>
      <c r="H2087" t="s">
        <v>27</v>
      </c>
      <c r="I2087" t="s">
        <v>35</v>
      </c>
      <c r="J2087">
        <v>4</v>
      </c>
      <c r="K2087" t="s">
        <v>19</v>
      </c>
      <c r="L2087" t="s">
        <v>59</v>
      </c>
      <c r="M2087">
        <f>orders[[#This Row],[Ship Date]]-orders[[#This Row],[Order Date]]</f>
        <v>2</v>
      </c>
      <c r="N2087">
        <f>WEEKNUM(orders[[#This Row],[Order Date]])</f>
        <v>12</v>
      </c>
      <c r="O2087" t="str">
        <f>_xlfn.IFS(orders[[#This Row],[Customer Gender]]="M","Male", orders[[#This Row],[Customer Gender]]="F","Female", orders[[#This Row],[Customer Gender]]="O","Other", TRUE,"Unknown")</f>
        <v>Female</v>
      </c>
    </row>
    <row r="2088" spans="1:15">
      <c r="A2088" t="s">
        <v>2188</v>
      </c>
      <c r="B2088" t="s">
        <v>44</v>
      </c>
      <c r="C2088">
        <v>3</v>
      </c>
      <c r="D2088">
        <v>56.6</v>
      </c>
      <c r="E2088">
        <v>169.8</v>
      </c>
      <c r="F2088" s="1">
        <v>45734</v>
      </c>
      <c r="G2088" s="1">
        <v>45735</v>
      </c>
      <c r="H2088" t="s">
        <v>27</v>
      </c>
      <c r="I2088" t="s">
        <v>35</v>
      </c>
      <c r="J2088">
        <v>5</v>
      </c>
      <c r="K2088" t="s">
        <v>19</v>
      </c>
      <c r="L2088" t="s">
        <v>59</v>
      </c>
      <c r="M2088">
        <f>orders[[#This Row],[Ship Date]]-orders[[#This Row],[Order Date]]</f>
        <v>1</v>
      </c>
      <c r="N2088">
        <f>WEEKNUM(orders[[#This Row],[Order Date]])</f>
        <v>12</v>
      </c>
      <c r="O2088" t="str">
        <f>_xlfn.IFS(orders[[#This Row],[Customer Gender]]="M","Male", orders[[#This Row],[Customer Gender]]="F","Female", orders[[#This Row],[Customer Gender]]="O","Other", TRUE,"Unknown")</f>
        <v>Female</v>
      </c>
    </row>
    <row r="2089" spans="1:15">
      <c r="A2089" t="s">
        <v>2189</v>
      </c>
      <c r="B2089" t="s">
        <v>123</v>
      </c>
      <c r="C2089">
        <v>27</v>
      </c>
      <c r="D2089">
        <v>46.3</v>
      </c>
      <c r="E2089">
        <v>1250.0999999999999</v>
      </c>
      <c r="F2089" s="1">
        <v>45734</v>
      </c>
      <c r="G2089" s="1">
        <v>45737</v>
      </c>
      <c r="H2089" t="s">
        <v>23</v>
      </c>
      <c r="I2089" t="s">
        <v>18</v>
      </c>
      <c r="J2089">
        <v>4</v>
      </c>
      <c r="K2089" t="s">
        <v>19</v>
      </c>
      <c r="L2089" t="s">
        <v>59</v>
      </c>
      <c r="M2089">
        <f>orders[[#This Row],[Ship Date]]-orders[[#This Row],[Order Date]]</f>
        <v>3</v>
      </c>
      <c r="N2089">
        <f>WEEKNUM(orders[[#This Row],[Order Date]])</f>
        <v>12</v>
      </c>
      <c r="O2089" t="str">
        <f>_xlfn.IFS(orders[[#This Row],[Customer Gender]]="M","Male", orders[[#This Row],[Customer Gender]]="F","Female", orders[[#This Row],[Customer Gender]]="O","Other", TRUE,"Unknown")</f>
        <v>Male</v>
      </c>
    </row>
    <row r="2090" spans="1:15">
      <c r="A2090" t="s">
        <v>2190</v>
      </c>
      <c r="B2090" t="s">
        <v>81</v>
      </c>
      <c r="C2090">
        <v>4</v>
      </c>
      <c r="D2090">
        <v>23</v>
      </c>
      <c r="E2090">
        <v>92</v>
      </c>
      <c r="F2090" s="1">
        <v>45734</v>
      </c>
      <c r="G2090" s="1">
        <v>45738</v>
      </c>
      <c r="H2090" t="s">
        <v>23</v>
      </c>
      <c r="I2090" t="s">
        <v>51</v>
      </c>
      <c r="J2090">
        <v>5</v>
      </c>
      <c r="K2090" t="s">
        <v>19</v>
      </c>
      <c r="L2090" t="s">
        <v>59</v>
      </c>
      <c r="M2090">
        <f>orders[[#This Row],[Ship Date]]-orders[[#This Row],[Order Date]]</f>
        <v>4</v>
      </c>
      <c r="N2090">
        <f>WEEKNUM(orders[[#This Row],[Order Date]])</f>
        <v>12</v>
      </c>
      <c r="O2090" t="str">
        <f>_xlfn.IFS(orders[[#This Row],[Customer Gender]]="M","Male", orders[[#This Row],[Customer Gender]]="F","Female", orders[[#This Row],[Customer Gender]]="O","Other", TRUE,"Unknown")</f>
        <v>Male</v>
      </c>
    </row>
    <row r="2091" spans="1:15">
      <c r="A2091" t="s">
        <v>2191</v>
      </c>
      <c r="B2091" t="s">
        <v>44</v>
      </c>
      <c r="C2091">
        <v>6</v>
      </c>
      <c r="D2091">
        <v>42.1</v>
      </c>
      <c r="E2091">
        <v>252.60000000000002</v>
      </c>
      <c r="F2091" s="1">
        <v>45734</v>
      </c>
      <c r="G2091" s="1">
        <v>45736</v>
      </c>
      <c r="H2091" t="s">
        <v>23</v>
      </c>
      <c r="I2091" t="s">
        <v>70</v>
      </c>
      <c r="J2091">
        <v>4</v>
      </c>
      <c r="K2091" t="s">
        <v>19</v>
      </c>
      <c r="L2091" t="s">
        <v>62</v>
      </c>
      <c r="M2091">
        <f>orders[[#This Row],[Ship Date]]-orders[[#This Row],[Order Date]]</f>
        <v>2</v>
      </c>
      <c r="N2091">
        <f>WEEKNUM(orders[[#This Row],[Order Date]])</f>
        <v>12</v>
      </c>
      <c r="O2091" t="str">
        <f>_xlfn.IFS(orders[[#This Row],[Customer Gender]]="M","Male", orders[[#This Row],[Customer Gender]]="F","Female", orders[[#This Row],[Customer Gender]]="O","Other", TRUE,"Unknown")</f>
        <v>Male</v>
      </c>
    </row>
    <row r="2092" spans="1:15">
      <c r="A2092" t="s">
        <v>2192</v>
      </c>
      <c r="B2092" t="s">
        <v>37</v>
      </c>
      <c r="C2092">
        <v>7</v>
      </c>
      <c r="D2092">
        <v>57.4</v>
      </c>
      <c r="E2092">
        <v>401.8</v>
      </c>
      <c r="F2092" s="1">
        <v>45734</v>
      </c>
      <c r="G2092" s="1">
        <v>45738</v>
      </c>
      <c r="H2092" t="s">
        <v>27</v>
      </c>
      <c r="I2092" t="s">
        <v>35</v>
      </c>
      <c r="J2092">
        <v>2</v>
      </c>
      <c r="K2092" t="s">
        <v>19</v>
      </c>
      <c r="L2092" t="s">
        <v>62</v>
      </c>
      <c r="M2092">
        <f>orders[[#This Row],[Ship Date]]-orders[[#This Row],[Order Date]]</f>
        <v>4</v>
      </c>
      <c r="N2092">
        <f>WEEKNUM(orders[[#This Row],[Order Date]])</f>
        <v>12</v>
      </c>
      <c r="O2092" t="str">
        <f>_xlfn.IFS(orders[[#This Row],[Customer Gender]]="M","Male", orders[[#This Row],[Customer Gender]]="F","Female", orders[[#This Row],[Customer Gender]]="O","Other", TRUE,"Unknown")</f>
        <v>Female</v>
      </c>
    </row>
    <row r="2093" spans="1:15">
      <c r="A2093" t="s">
        <v>2193</v>
      </c>
      <c r="B2093" t="s">
        <v>16</v>
      </c>
      <c r="C2093">
        <v>6</v>
      </c>
      <c r="D2093">
        <v>13.2</v>
      </c>
      <c r="E2093">
        <v>79.199999999999989</v>
      </c>
      <c r="F2093" s="1">
        <v>45734</v>
      </c>
      <c r="G2093" s="1">
        <v>45738</v>
      </c>
      <c r="H2093" t="s">
        <v>23</v>
      </c>
      <c r="I2093" t="s">
        <v>40</v>
      </c>
      <c r="J2093">
        <v>4</v>
      </c>
      <c r="K2093" t="s">
        <v>19</v>
      </c>
      <c r="L2093" t="s">
        <v>62</v>
      </c>
      <c r="M2093">
        <f>orders[[#This Row],[Ship Date]]-orders[[#This Row],[Order Date]]</f>
        <v>4</v>
      </c>
      <c r="N2093">
        <f>WEEKNUM(orders[[#This Row],[Order Date]])</f>
        <v>12</v>
      </c>
      <c r="O2093" t="str">
        <f>_xlfn.IFS(orders[[#This Row],[Customer Gender]]="M","Male", orders[[#This Row],[Customer Gender]]="F","Female", orders[[#This Row],[Customer Gender]]="O","Other", TRUE,"Unknown")</f>
        <v>Male</v>
      </c>
    </row>
    <row r="2094" spans="1:15">
      <c r="A2094" t="s">
        <v>2194</v>
      </c>
      <c r="B2094" t="s">
        <v>39</v>
      </c>
      <c r="C2094">
        <v>3</v>
      </c>
      <c r="D2094">
        <v>52.3</v>
      </c>
      <c r="E2094">
        <v>156.89999999999998</v>
      </c>
      <c r="F2094" s="1">
        <v>45734</v>
      </c>
      <c r="G2094" s="1">
        <v>45735</v>
      </c>
      <c r="H2094" t="s">
        <v>23</v>
      </c>
      <c r="I2094" t="s">
        <v>35</v>
      </c>
      <c r="J2094">
        <v>4</v>
      </c>
      <c r="K2094" t="s">
        <v>19</v>
      </c>
      <c r="L2094" t="s">
        <v>62</v>
      </c>
      <c r="M2094">
        <f>orders[[#This Row],[Ship Date]]-orders[[#This Row],[Order Date]]</f>
        <v>1</v>
      </c>
      <c r="N2094">
        <f>WEEKNUM(orders[[#This Row],[Order Date]])</f>
        <v>12</v>
      </c>
      <c r="O2094" t="str">
        <f>_xlfn.IFS(orders[[#This Row],[Customer Gender]]="M","Male", orders[[#This Row],[Customer Gender]]="F","Female", orders[[#This Row],[Customer Gender]]="O","Other", TRUE,"Unknown")</f>
        <v>Male</v>
      </c>
    </row>
    <row r="2095" spans="1:15">
      <c r="A2095" t="s">
        <v>2195</v>
      </c>
      <c r="B2095" t="s">
        <v>44</v>
      </c>
      <c r="C2095">
        <v>2</v>
      </c>
      <c r="D2095">
        <v>15.7</v>
      </c>
      <c r="E2095">
        <v>31.4</v>
      </c>
      <c r="F2095" s="1">
        <v>45734</v>
      </c>
      <c r="G2095" s="1">
        <v>45737</v>
      </c>
      <c r="H2095" t="s">
        <v>23</v>
      </c>
      <c r="I2095" t="s">
        <v>35</v>
      </c>
      <c r="J2095">
        <v>5</v>
      </c>
      <c r="K2095" t="s">
        <v>19</v>
      </c>
      <c r="L2095" t="s">
        <v>62</v>
      </c>
      <c r="M2095">
        <f>orders[[#This Row],[Ship Date]]-orders[[#This Row],[Order Date]]</f>
        <v>3</v>
      </c>
      <c r="N2095">
        <f>WEEKNUM(orders[[#This Row],[Order Date]])</f>
        <v>12</v>
      </c>
      <c r="O2095" t="str">
        <f>_xlfn.IFS(orders[[#This Row],[Customer Gender]]="M","Male", orders[[#This Row],[Customer Gender]]="F","Female", orders[[#This Row],[Customer Gender]]="O","Other", TRUE,"Unknown")</f>
        <v>Male</v>
      </c>
    </row>
    <row r="2096" spans="1:15">
      <c r="A2096" t="s">
        <v>2196</v>
      </c>
      <c r="B2096" t="s">
        <v>42</v>
      </c>
      <c r="C2096">
        <v>3</v>
      </c>
      <c r="D2096">
        <v>35</v>
      </c>
      <c r="E2096">
        <v>105</v>
      </c>
      <c r="F2096" s="1">
        <v>45734</v>
      </c>
      <c r="G2096" s="1">
        <v>45737</v>
      </c>
      <c r="H2096" t="s">
        <v>27</v>
      </c>
      <c r="I2096" t="s">
        <v>35</v>
      </c>
      <c r="J2096">
        <v>5</v>
      </c>
      <c r="K2096" t="s">
        <v>19</v>
      </c>
      <c r="L2096" t="s">
        <v>72</v>
      </c>
      <c r="M2096">
        <f>orders[[#This Row],[Ship Date]]-orders[[#This Row],[Order Date]]</f>
        <v>3</v>
      </c>
      <c r="N2096">
        <f>WEEKNUM(orders[[#This Row],[Order Date]])</f>
        <v>12</v>
      </c>
      <c r="O2096" t="str">
        <f>_xlfn.IFS(orders[[#This Row],[Customer Gender]]="M","Male", orders[[#This Row],[Customer Gender]]="F","Female", orders[[#This Row],[Customer Gender]]="O","Other", TRUE,"Unknown")</f>
        <v>Female</v>
      </c>
    </row>
    <row r="2097" spans="1:15">
      <c r="A2097" t="s">
        <v>2197</v>
      </c>
      <c r="B2097" t="s">
        <v>32</v>
      </c>
      <c r="C2097">
        <v>3</v>
      </c>
      <c r="D2097">
        <v>26.6</v>
      </c>
      <c r="E2097">
        <v>79.800000000000011</v>
      </c>
      <c r="F2097" s="1">
        <v>45734</v>
      </c>
      <c r="G2097" s="1">
        <v>45734</v>
      </c>
      <c r="H2097" t="s">
        <v>23</v>
      </c>
      <c r="I2097" t="s">
        <v>35</v>
      </c>
      <c r="J2097">
        <v>5</v>
      </c>
      <c r="K2097" t="s">
        <v>19</v>
      </c>
      <c r="L2097" t="s">
        <v>77</v>
      </c>
      <c r="M2097">
        <f>orders[[#This Row],[Ship Date]]-orders[[#This Row],[Order Date]]</f>
        <v>0</v>
      </c>
      <c r="N2097">
        <f>WEEKNUM(orders[[#This Row],[Order Date]])</f>
        <v>12</v>
      </c>
      <c r="O2097" t="str">
        <f>_xlfn.IFS(orders[[#This Row],[Customer Gender]]="M","Male", orders[[#This Row],[Customer Gender]]="F","Female", orders[[#This Row],[Customer Gender]]="O","Other", TRUE,"Unknown")</f>
        <v>Male</v>
      </c>
    </row>
    <row r="2098" spans="1:15">
      <c r="A2098" t="s">
        <v>2198</v>
      </c>
      <c r="B2098" t="s">
        <v>32</v>
      </c>
      <c r="C2098">
        <v>8</v>
      </c>
      <c r="D2098">
        <v>47.9</v>
      </c>
      <c r="E2098">
        <v>383.2</v>
      </c>
      <c r="F2098" s="1">
        <v>45735</v>
      </c>
      <c r="G2098" s="1">
        <v>45736</v>
      </c>
      <c r="H2098" t="s">
        <v>27</v>
      </c>
      <c r="I2098" t="s">
        <v>51</v>
      </c>
      <c r="J2098">
        <v>5</v>
      </c>
      <c r="K2098" t="s">
        <v>19</v>
      </c>
      <c r="L2098" t="s">
        <v>113</v>
      </c>
      <c r="M2098">
        <f>orders[[#This Row],[Ship Date]]-orders[[#This Row],[Order Date]]</f>
        <v>1</v>
      </c>
      <c r="N2098">
        <f>WEEKNUM(orders[[#This Row],[Order Date]])</f>
        <v>12</v>
      </c>
      <c r="O2098" t="str">
        <f>_xlfn.IFS(orders[[#This Row],[Customer Gender]]="M","Male", orders[[#This Row],[Customer Gender]]="F","Female", orders[[#This Row],[Customer Gender]]="O","Other", TRUE,"Unknown")</f>
        <v>Female</v>
      </c>
    </row>
    <row r="2099" spans="1:15">
      <c r="A2099" t="s">
        <v>2199</v>
      </c>
      <c r="B2099" t="s">
        <v>37</v>
      </c>
      <c r="C2099">
        <v>1</v>
      </c>
      <c r="D2099">
        <v>80.099999999999994</v>
      </c>
      <c r="E2099">
        <v>80.099999999999994</v>
      </c>
      <c r="F2099" s="1">
        <v>45735</v>
      </c>
      <c r="G2099" s="1">
        <v>45736</v>
      </c>
      <c r="H2099" t="s">
        <v>23</v>
      </c>
      <c r="I2099" t="s">
        <v>40</v>
      </c>
      <c r="J2099">
        <v>4</v>
      </c>
      <c r="K2099" t="s">
        <v>19</v>
      </c>
      <c r="L2099" t="s">
        <v>115</v>
      </c>
      <c r="M2099">
        <f>orders[[#This Row],[Ship Date]]-orders[[#This Row],[Order Date]]</f>
        <v>1</v>
      </c>
      <c r="N2099">
        <f>WEEKNUM(orders[[#This Row],[Order Date]])</f>
        <v>12</v>
      </c>
      <c r="O2099" t="str">
        <f>_xlfn.IFS(orders[[#This Row],[Customer Gender]]="M","Male", orders[[#This Row],[Customer Gender]]="F","Female", orders[[#This Row],[Customer Gender]]="O","Other", TRUE,"Unknown")</f>
        <v>Male</v>
      </c>
    </row>
    <row r="2100" spans="1:15">
      <c r="A2100" t="s">
        <v>2200</v>
      </c>
      <c r="B2100" t="s">
        <v>39</v>
      </c>
      <c r="C2100">
        <v>5</v>
      </c>
      <c r="D2100">
        <v>50.4</v>
      </c>
      <c r="E2100">
        <v>252</v>
      </c>
      <c r="F2100" s="1">
        <v>45735</v>
      </c>
      <c r="G2100" s="1">
        <v>45736</v>
      </c>
      <c r="H2100" t="s">
        <v>23</v>
      </c>
      <c r="I2100" t="s">
        <v>35</v>
      </c>
      <c r="J2100">
        <v>5</v>
      </c>
      <c r="K2100" t="s">
        <v>19</v>
      </c>
      <c r="L2100" t="s">
        <v>115</v>
      </c>
      <c r="M2100">
        <f>orders[[#This Row],[Ship Date]]-orders[[#This Row],[Order Date]]</f>
        <v>1</v>
      </c>
      <c r="N2100">
        <f>WEEKNUM(orders[[#This Row],[Order Date]])</f>
        <v>12</v>
      </c>
      <c r="O2100" t="str">
        <f>_xlfn.IFS(orders[[#This Row],[Customer Gender]]="M","Male", orders[[#This Row],[Customer Gender]]="F","Female", orders[[#This Row],[Customer Gender]]="O","Other", TRUE,"Unknown")</f>
        <v>Male</v>
      </c>
    </row>
    <row r="2101" spans="1:15">
      <c r="A2101" t="s">
        <v>2201</v>
      </c>
      <c r="B2101" t="s">
        <v>54</v>
      </c>
      <c r="C2101">
        <v>7</v>
      </c>
      <c r="D2101">
        <v>43.3</v>
      </c>
      <c r="E2101">
        <v>303.09999999999997</v>
      </c>
      <c r="F2101" s="1">
        <v>45735</v>
      </c>
      <c r="G2101" s="1">
        <v>45736</v>
      </c>
      <c r="H2101" t="s">
        <v>23</v>
      </c>
      <c r="I2101" t="s">
        <v>40</v>
      </c>
      <c r="J2101">
        <v>4</v>
      </c>
      <c r="K2101" t="s">
        <v>19</v>
      </c>
      <c r="L2101" t="s">
        <v>115</v>
      </c>
      <c r="M2101">
        <f>orders[[#This Row],[Ship Date]]-orders[[#This Row],[Order Date]]</f>
        <v>1</v>
      </c>
      <c r="N2101">
        <f>WEEKNUM(orders[[#This Row],[Order Date]])</f>
        <v>12</v>
      </c>
      <c r="O2101" t="str">
        <f>_xlfn.IFS(orders[[#This Row],[Customer Gender]]="M","Male", orders[[#This Row],[Customer Gender]]="F","Female", orders[[#This Row],[Customer Gender]]="O","Other", TRUE,"Unknown")</f>
        <v>Male</v>
      </c>
    </row>
    <row r="2102" spans="1:15">
      <c r="A2102" t="s">
        <v>2202</v>
      </c>
      <c r="B2102" t="s">
        <v>54</v>
      </c>
      <c r="C2102">
        <v>4</v>
      </c>
      <c r="D2102">
        <v>57.5</v>
      </c>
      <c r="E2102">
        <v>230</v>
      </c>
      <c r="F2102" s="1">
        <v>45735</v>
      </c>
      <c r="G2102" s="1">
        <v>45736</v>
      </c>
      <c r="H2102" t="s">
        <v>27</v>
      </c>
      <c r="I2102" t="s">
        <v>35</v>
      </c>
      <c r="J2102">
        <v>5</v>
      </c>
      <c r="K2102" t="s">
        <v>19</v>
      </c>
      <c r="L2102" t="s">
        <v>24</v>
      </c>
      <c r="M2102">
        <f>orders[[#This Row],[Ship Date]]-orders[[#This Row],[Order Date]]</f>
        <v>1</v>
      </c>
      <c r="N2102">
        <f>WEEKNUM(orders[[#This Row],[Order Date]])</f>
        <v>12</v>
      </c>
      <c r="O2102" t="str">
        <f>_xlfn.IFS(orders[[#This Row],[Customer Gender]]="M","Male", orders[[#This Row],[Customer Gender]]="F","Female", orders[[#This Row],[Customer Gender]]="O","Other", TRUE,"Unknown")</f>
        <v>Female</v>
      </c>
    </row>
    <row r="2103" spans="1:15">
      <c r="A2103" t="s">
        <v>2203</v>
      </c>
      <c r="B2103" t="s">
        <v>46</v>
      </c>
      <c r="C2103">
        <v>13</v>
      </c>
      <c r="D2103">
        <v>24.8</v>
      </c>
      <c r="E2103">
        <v>322.40000000000003</v>
      </c>
      <c r="F2103" s="1">
        <v>45735</v>
      </c>
      <c r="G2103" s="1">
        <v>45736</v>
      </c>
      <c r="H2103" t="s">
        <v>23</v>
      </c>
      <c r="I2103" t="s">
        <v>18</v>
      </c>
      <c r="J2103">
        <v>4</v>
      </c>
      <c r="K2103" t="s">
        <v>19</v>
      </c>
      <c r="L2103" t="s">
        <v>2204</v>
      </c>
      <c r="M2103">
        <f>orders[[#This Row],[Ship Date]]-orders[[#This Row],[Order Date]]</f>
        <v>1</v>
      </c>
      <c r="N2103">
        <f>WEEKNUM(orders[[#This Row],[Order Date]])</f>
        <v>12</v>
      </c>
      <c r="O2103" t="str">
        <f>_xlfn.IFS(orders[[#This Row],[Customer Gender]]="M","Male", orders[[#This Row],[Customer Gender]]="F","Female", orders[[#This Row],[Customer Gender]]="O","Other", TRUE,"Unknown")</f>
        <v>Male</v>
      </c>
    </row>
    <row r="2104" spans="1:15">
      <c r="A2104" t="s">
        <v>2159</v>
      </c>
      <c r="B2104" t="s">
        <v>76</v>
      </c>
      <c r="C2104">
        <v>5</v>
      </c>
      <c r="D2104">
        <v>39.1</v>
      </c>
      <c r="E2104">
        <v>195.5</v>
      </c>
      <c r="F2104" s="1">
        <v>45733</v>
      </c>
      <c r="G2104" s="1">
        <v>45734</v>
      </c>
      <c r="H2104" t="s">
        <v>27</v>
      </c>
      <c r="I2104" t="s">
        <v>18</v>
      </c>
      <c r="J2104">
        <v>4</v>
      </c>
      <c r="K2104" t="s">
        <v>19</v>
      </c>
      <c r="L2104" t="s">
        <v>62</v>
      </c>
      <c r="M2104">
        <f>orders[[#This Row],[Ship Date]]-orders[[#This Row],[Order Date]]</f>
        <v>1</v>
      </c>
      <c r="N2104">
        <f>WEEKNUM(orders[[#This Row],[Order Date]])</f>
        <v>12</v>
      </c>
      <c r="O2104" t="str">
        <f>_xlfn.IFS(orders[[#This Row],[Customer Gender]]="M","Male", orders[[#This Row],[Customer Gender]]="F","Female", orders[[#This Row],[Customer Gender]]="O","Other", TRUE,"Unknown")</f>
        <v>Female</v>
      </c>
    </row>
    <row r="2105" spans="1:15">
      <c r="A2105" t="s">
        <v>2178</v>
      </c>
      <c r="B2105" t="s">
        <v>39</v>
      </c>
      <c r="C2105">
        <v>2</v>
      </c>
      <c r="D2105">
        <v>95</v>
      </c>
      <c r="E2105">
        <v>190</v>
      </c>
      <c r="F2105" s="1">
        <v>45734</v>
      </c>
      <c r="G2105" s="1">
        <v>45736</v>
      </c>
      <c r="H2105" t="s">
        <v>27</v>
      </c>
      <c r="I2105" t="s">
        <v>18</v>
      </c>
      <c r="J2105">
        <v>4</v>
      </c>
      <c r="K2105" t="s">
        <v>19</v>
      </c>
      <c r="L2105" t="s">
        <v>33</v>
      </c>
      <c r="M2105">
        <f>orders[[#This Row],[Ship Date]]-orders[[#This Row],[Order Date]]</f>
        <v>2</v>
      </c>
      <c r="N2105">
        <f>WEEKNUM(orders[[#This Row],[Order Date]])</f>
        <v>12</v>
      </c>
      <c r="O2105" t="str">
        <f>_xlfn.IFS(orders[[#This Row],[Customer Gender]]="M","Male", orders[[#This Row],[Customer Gender]]="F","Female", orders[[#This Row],[Customer Gender]]="O","Other", TRUE,"Unknown")</f>
        <v>Female</v>
      </c>
    </row>
    <row r="2106" spans="1:15">
      <c r="A2106" t="s">
        <v>2183</v>
      </c>
      <c r="B2106" t="s">
        <v>54</v>
      </c>
      <c r="C2106">
        <v>6</v>
      </c>
      <c r="D2106">
        <v>31.5</v>
      </c>
      <c r="E2106">
        <v>189</v>
      </c>
      <c r="F2106" s="1">
        <v>45734</v>
      </c>
      <c r="G2106" s="1">
        <v>45736</v>
      </c>
      <c r="H2106" t="s">
        <v>27</v>
      </c>
      <c r="I2106" t="s">
        <v>18</v>
      </c>
      <c r="J2106">
        <v>5</v>
      </c>
      <c r="K2106" t="s">
        <v>19</v>
      </c>
      <c r="L2106" t="s">
        <v>33</v>
      </c>
      <c r="M2106">
        <f>orders[[#This Row],[Ship Date]]-orders[[#This Row],[Order Date]]</f>
        <v>2</v>
      </c>
      <c r="N2106">
        <f>WEEKNUM(orders[[#This Row],[Order Date]])</f>
        <v>12</v>
      </c>
      <c r="O2106" t="str">
        <f>_xlfn.IFS(orders[[#This Row],[Customer Gender]]="M","Male", orders[[#This Row],[Customer Gender]]="F","Female", orders[[#This Row],[Customer Gender]]="O","Other", TRUE,"Unknown")</f>
        <v>Female</v>
      </c>
    </row>
    <row r="2107" spans="1:15">
      <c r="A2107" t="s">
        <v>2155</v>
      </c>
      <c r="B2107" t="s">
        <v>39</v>
      </c>
      <c r="C2107">
        <v>3</v>
      </c>
      <c r="D2107">
        <v>60.1</v>
      </c>
      <c r="E2107">
        <v>180.3</v>
      </c>
      <c r="F2107" s="1">
        <v>45733</v>
      </c>
      <c r="G2107" s="1">
        <v>45736</v>
      </c>
      <c r="H2107" t="s">
        <v>27</v>
      </c>
      <c r="I2107" t="s">
        <v>18</v>
      </c>
      <c r="J2107">
        <v>4</v>
      </c>
      <c r="K2107" t="s">
        <v>19</v>
      </c>
      <c r="L2107" t="s">
        <v>59</v>
      </c>
      <c r="M2107">
        <f>orders[[#This Row],[Ship Date]]-orders[[#This Row],[Order Date]]</f>
        <v>3</v>
      </c>
      <c r="N2107">
        <f>WEEKNUM(orders[[#This Row],[Order Date]])</f>
        <v>12</v>
      </c>
      <c r="O2107" t="str">
        <f>_xlfn.IFS(orders[[#This Row],[Customer Gender]]="M","Male", orders[[#This Row],[Customer Gender]]="F","Female", orders[[#This Row],[Customer Gender]]="O","Other", TRUE,"Unknown")</f>
        <v>Female</v>
      </c>
    </row>
    <row r="2108" spans="1:15">
      <c r="A2108" t="s">
        <v>2209</v>
      </c>
      <c r="B2108" t="s">
        <v>128</v>
      </c>
      <c r="C2108">
        <v>4</v>
      </c>
      <c r="D2108">
        <v>33.700000000000003</v>
      </c>
      <c r="E2108">
        <v>134.80000000000001</v>
      </c>
      <c r="F2108" s="1">
        <v>45735</v>
      </c>
      <c r="G2108" s="1">
        <v>45736</v>
      </c>
      <c r="H2108" t="s">
        <v>23</v>
      </c>
      <c r="I2108" t="s">
        <v>40</v>
      </c>
      <c r="J2108">
        <v>5</v>
      </c>
      <c r="K2108" t="s">
        <v>19</v>
      </c>
      <c r="L2108" t="s">
        <v>147</v>
      </c>
      <c r="M2108">
        <f>orders[[#This Row],[Ship Date]]-orders[[#This Row],[Order Date]]</f>
        <v>1</v>
      </c>
      <c r="N2108">
        <f>WEEKNUM(orders[[#This Row],[Order Date]])</f>
        <v>12</v>
      </c>
      <c r="O2108" t="str">
        <f>_xlfn.IFS(orders[[#This Row],[Customer Gender]]="M","Male", orders[[#This Row],[Customer Gender]]="F","Female", orders[[#This Row],[Customer Gender]]="O","Other", TRUE,"Unknown")</f>
        <v>Male</v>
      </c>
    </row>
    <row r="2109" spans="1:15">
      <c r="A2109" t="s">
        <v>2210</v>
      </c>
      <c r="B2109" t="s">
        <v>26</v>
      </c>
      <c r="C2109">
        <v>3</v>
      </c>
      <c r="D2109">
        <v>60.8</v>
      </c>
      <c r="E2109">
        <v>182.39999999999998</v>
      </c>
      <c r="F2109" s="1">
        <v>45735</v>
      </c>
      <c r="G2109" s="1">
        <v>45739</v>
      </c>
      <c r="H2109" t="s">
        <v>27</v>
      </c>
      <c r="I2109" t="s">
        <v>35</v>
      </c>
      <c r="J2109">
        <v>3</v>
      </c>
      <c r="K2109" t="s">
        <v>19</v>
      </c>
      <c r="L2109" t="s">
        <v>33</v>
      </c>
      <c r="M2109">
        <f>orders[[#This Row],[Ship Date]]-orders[[#This Row],[Order Date]]</f>
        <v>4</v>
      </c>
      <c r="N2109">
        <f>WEEKNUM(orders[[#This Row],[Order Date]])</f>
        <v>12</v>
      </c>
      <c r="O2109" t="str">
        <f>_xlfn.IFS(orders[[#This Row],[Customer Gender]]="M","Male", orders[[#This Row],[Customer Gender]]="F","Female", orders[[#This Row],[Customer Gender]]="O","Other", TRUE,"Unknown")</f>
        <v>Female</v>
      </c>
    </row>
    <row r="2110" spans="1:15">
      <c r="A2110" t="s">
        <v>2211</v>
      </c>
      <c r="B2110" t="s">
        <v>42</v>
      </c>
      <c r="C2110">
        <v>1</v>
      </c>
      <c r="D2110">
        <v>57.6</v>
      </c>
      <c r="E2110">
        <v>57.6</v>
      </c>
      <c r="F2110" s="1">
        <v>45735</v>
      </c>
      <c r="G2110" s="1">
        <v>45736</v>
      </c>
      <c r="H2110" t="s">
        <v>23</v>
      </c>
      <c r="I2110" t="s">
        <v>35</v>
      </c>
      <c r="J2110">
        <v>2</v>
      </c>
      <c r="K2110" t="s">
        <v>19</v>
      </c>
      <c r="L2110" t="s">
        <v>33</v>
      </c>
      <c r="M2110">
        <f>orders[[#This Row],[Ship Date]]-orders[[#This Row],[Order Date]]</f>
        <v>1</v>
      </c>
      <c r="N2110">
        <f>WEEKNUM(orders[[#This Row],[Order Date]])</f>
        <v>12</v>
      </c>
      <c r="O2110" t="str">
        <f>_xlfn.IFS(orders[[#This Row],[Customer Gender]]="M","Male", orders[[#This Row],[Customer Gender]]="F","Female", orders[[#This Row],[Customer Gender]]="O","Other", TRUE,"Unknown")</f>
        <v>Male</v>
      </c>
    </row>
    <row r="2111" spans="1:15">
      <c r="A2111" t="s">
        <v>2212</v>
      </c>
      <c r="B2111" t="s">
        <v>54</v>
      </c>
      <c r="C2111">
        <v>1</v>
      </c>
      <c r="D2111">
        <v>32</v>
      </c>
      <c r="E2111">
        <v>32</v>
      </c>
      <c r="F2111" s="1">
        <v>45735</v>
      </c>
      <c r="G2111" s="1">
        <v>45737</v>
      </c>
      <c r="H2111" t="s">
        <v>23</v>
      </c>
      <c r="I2111" t="s">
        <v>18</v>
      </c>
      <c r="J2111">
        <v>4</v>
      </c>
      <c r="K2111" t="s">
        <v>19</v>
      </c>
      <c r="L2111" t="s">
        <v>33</v>
      </c>
      <c r="M2111">
        <f>orders[[#This Row],[Ship Date]]-orders[[#This Row],[Order Date]]</f>
        <v>2</v>
      </c>
      <c r="N2111">
        <f>WEEKNUM(orders[[#This Row],[Order Date]])</f>
        <v>12</v>
      </c>
      <c r="O2111" t="str">
        <f>_xlfn.IFS(orders[[#This Row],[Customer Gender]]="M","Male", orders[[#This Row],[Customer Gender]]="F","Female", orders[[#This Row],[Customer Gender]]="O","Other", TRUE,"Unknown")</f>
        <v>Male</v>
      </c>
    </row>
    <row r="2112" spans="1:15">
      <c r="A2112" t="s">
        <v>2223</v>
      </c>
      <c r="B2112" t="s">
        <v>37</v>
      </c>
      <c r="C2112">
        <v>5</v>
      </c>
      <c r="D2112">
        <v>33.700000000000003</v>
      </c>
      <c r="E2112">
        <v>168.5</v>
      </c>
      <c r="F2112" s="1">
        <v>45735</v>
      </c>
      <c r="G2112" s="1">
        <v>45736</v>
      </c>
      <c r="H2112" t="s">
        <v>27</v>
      </c>
      <c r="I2112" t="s">
        <v>18</v>
      </c>
      <c r="J2112">
        <v>4</v>
      </c>
      <c r="K2112" t="s">
        <v>19</v>
      </c>
      <c r="L2112" t="s">
        <v>33</v>
      </c>
      <c r="M2112">
        <f>orders[[#This Row],[Ship Date]]-orders[[#This Row],[Order Date]]</f>
        <v>1</v>
      </c>
      <c r="N2112">
        <f>WEEKNUM(orders[[#This Row],[Order Date]])</f>
        <v>12</v>
      </c>
      <c r="O2112" t="str">
        <f>_xlfn.IFS(orders[[#This Row],[Customer Gender]]="M","Male", orders[[#This Row],[Customer Gender]]="F","Female", orders[[#This Row],[Customer Gender]]="O","Other", TRUE,"Unknown")</f>
        <v>Female</v>
      </c>
    </row>
    <row r="2113" spans="1:15">
      <c r="A2113" t="s">
        <v>2214</v>
      </c>
      <c r="B2113" t="s">
        <v>69</v>
      </c>
      <c r="C2113">
        <v>3</v>
      </c>
      <c r="D2113">
        <v>44.8</v>
      </c>
      <c r="E2113">
        <v>134.39999999999998</v>
      </c>
      <c r="F2113" s="1">
        <v>45735</v>
      </c>
      <c r="G2113" s="1">
        <v>45736</v>
      </c>
      <c r="H2113" t="s">
        <v>89</v>
      </c>
      <c r="I2113" t="s">
        <v>70</v>
      </c>
      <c r="J2113">
        <v>4</v>
      </c>
      <c r="K2113" t="s">
        <v>19</v>
      </c>
      <c r="L2113" t="s">
        <v>33</v>
      </c>
      <c r="M2113">
        <f>orders[[#This Row],[Ship Date]]-orders[[#This Row],[Order Date]]</f>
        <v>1</v>
      </c>
      <c r="N2113">
        <f>WEEKNUM(orders[[#This Row],[Order Date]])</f>
        <v>12</v>
      </c>
      <c r="O2113" t="str">
        <f>_xlfn.IFS(orders[[#This Row],[Customer Gender]]="M","Male", orders[[#This Row],[Customer Gender]]="F","Female", orders[[#This Row],[Customer Gender]]="O","Other", TRUE,"Unknown")</f>
        <v>Other</v>
      </c>
    </row>
    <row r="2114" spans="1:15">
      <c r="A2114" t="s">
        <v>2215</v>
      </c>
      <c r="B2114" t="s">
        <v>16</v>
      </c>
      <c r="C2114">
        <v>8</v>
      </c>
      <c r="D2114">
        <v>11.7</v>
      </c>
      <c r="E2114">
        <v>93.6</v>
      </c>
      <c r="F2114" s="1">
        <v>45735</v>
      </c>
      <c r="G2114" s="1">
        <v>45736</v>
      </c>
      <c r="H2114" t="s">
        <v>23</v>
      </c>
      <c r="I2114" t="s">
        <v>40</v>
      </c>
      <c r="J2114">
        <v>5</v>
      </c>
      <c r="K2114" t="s">
        <v>19</v>
      </c>
      <c r="L2114" t="s">
        <v>33</v>
      </c>
      <c r="M2114">
        <f>orders[[#This Row],[Ship Date]]-orders[[#This Row],[Order Date]]</f>
        <v>1</v>
      </c>
      <c r="N2114">
        <f>WEEKNUM(orders[[#This Row],[Order Date]])</f>
        <v>12</v>
      </c>
      <c r="O2114" t="str">
        <f>_xlfn.IFS(orders[[#This Row],[Customer Gender]]="M","Male", orders[[#This Row],[Customer Gender]]="F","Female", orders[[#This Row],[Customer Gender]]="O","Other", TRUE,"Unknown")</f>
        <v>Male</v>
      </c>
    </row>
    <row r="2115" spans="1:15">
      <c r="A2115" t="s">
        <v>2216</v>
      </c>
      <c r="B2115" t="s">
        <v>42</v>
      </c>
      <c r="C2115">
        <v>2</v>
      </c>
      <c r="D2115">
        <v>38.799999999999997</v>
      </c>
      <c r="E2115">
        <v>77.599999999999994</v>
      </c>
      <c r="F2115" s="1">
        <v>45735</v>
      </c>
      <c r="G2115" s="1">
        <v>45738</v>
      </c>
      <c r="H2115" t="s">
        <v>27</v>
      </c>
      <c r="I2115" t="s">
        <v>40</v>
      </c>
      <c r="J2115">
        <v>4</v>
      </c>
      <c r="K2115" t="s">
        <v>19</v>
      </c>
      <c r="L2115" t="s">
        <v>33</v>
      </c>
      <c r="M2115">
        <f>orders[[#This Row],[Ship Date]]-orders[[#This Row],[Order Date]]</f>
        <v>3</v>
      </c>
      <c r="N2115">
        <f>WEEKNUM(orders[[#This Row],[Order Date]])</f>
        <v>12</v>
      </c>
      <c r="O2115" t="str">
        <f>_xlfn.IFS(orders[[#This Row],[Customer Gender]]="M","Male", orders[[#This Row],[Customer Gender]]="F","Female", orders[[#This Row],[Customer Gender]]="O","Other", TRUE,"Unknown")</f>
        <v>Female</v>
      </c>
    </row>
    <row r="2116" spans="1:15">
      <c r="A2116" t="s">
        <v>2217</v>
      </c>
      <c r="B2116" t="s">
        <v>37</v>
      </c>
      <c r="C2116">
        <v>14</v>
      </c>
      <c r="D2116">
        <v>86.9</v>
      </c>
      <c r="E2116">
        <v>1216.6000000000001</v>
      </c>
      <c r="F2116" s="1">
        <v>45735</v>
      </c>
      <c r="G2116" s="1">
        <v>45740</v>
      </c>
      <c r="H2116" t="s">
        <v>27</v>
      </c>
      <c r="I2116" t="s">
        <v>35</v>
      </c>
      <c r="J2116">
        <v>4</v>
      </c>
      <c r="K2116" t="s">
        <v>19</v>
      </c>
      <c r="L2116" t="s">
        <v>33</v>
      </c>
      <c r="M2116">
        <f>orders[[#This Row],[Ship Date]]-orders[[#This Row],[Order Date]]</f>
        <v>5</v>
      </c>
      <c r="N2116">
        <f>WEEKNUM(orders[[#This Row],[Order Date]])</f>
        <v>12</v>
      </c>
      <c r="O2116" t="str">
        <f>_xlfn.IFS(orders[[#This Row],[Customer Gender]]="M","Male", orders[[#This Row],[Customer Gender]]="F","Female", orders[[#This Row],[Customer Gender]]="O","Other", TRUE,"Unknown")</f>
        <v>Female</v>
      </c>
    </row>
    <row r="2117" spans="1:15">
      <c r="A2117" t="s">
        <v>2158</v>
      </c>
      <c r="B2117" t="s">
        <v>26</v>
      </c>
      <c r="C2117">
        <v>2</v>
      </c>
      <c r="D2117">
        <v>66.7</v>
      </c>
      <c r="E2117">
        <v>133.4</v>
      </c>
      <c r="F2117" s="1">
        <v>45733</v>
      </c>
      <c r="G2117" s="1">
        <v>45734</v>
      </c>
      <c r="H2117" t="s">
        <v>27</v>
      </c>
      <c r="I2117" t="s">
        <v>18</v>
      </c>
      <c r="J2117">
        <v>5</v>
      </c>
      <c r="K2117" t="s">
        <v>19</v>
      </c>
      <c r="L2117" t="s">
        <v>62</v>
      </c>
      <c r="M2117">
        <f>orders[[#This Row],[Ship Date]]-orders[[#This Row],[Order Date]]</f>
        <v>1</v>
      </c>
      <c r="N2117">
        <f>WEEKNUM(orders[[#This Row],[Order Date]])</f>
        <v>12</v>
      </c>
      <c r="O2117" t="str">
        <f>_xlfn.IFS(orders[[#This Row],[Customer Gender]]="M","Male", orders[[#This Row],[Customer Gender]]="F","Female", orders[[#This Row],[Customer Gender]]="O","Other", TRUE,"Unknown")</f>
        <v>Female</v>
      </c>
    </row>
    <row r="2118" spans="1:15">
      <c r="A2118" t="s">
        <v>2219</v>
      </c>
      <c r="B2118" t="s">
        <v>37</v>
      </c>
      <c r="C2118">
        <v>1</v>
      </c>
      <c r="D2118">
        <v>47.5</v>
      </c>
      <c r="E2118">
        <v>47.5</v>
      </c>
      <c r="F2118" s="1">
        <v>45735</v>
      </c>
      <c r="G2118" s="1">
        <v>45739</v>
      </c>
      <c r="H2118" t="s">
        <v>23</v>
      </c>
      <c r="I2118" t="s">
        <v>70</v>
      </c>
      <c r="J2118">
        <v>5</v>
      </c>
      <c r="K2118" t="s">
        <v>19</v>
      </c>
      <c r="L2118" t="s">
        <v>33</v>
      </c>
      <c r="M2118">
        <f>orders[[#This Row],[Ship Date]]-orders[[#This Row],[Order Date]]</f>
        <v>4</v>
      </c>
      <c r="N2118">
        <f>WEEKNUM(orders[[#This Row],[Order Date]])</f>
        <v>12</v>
      </c>
      <c r="O2118" t="str">
        <f>_xlfn.IFS(orders[[#This Row],[Customer Gender]]="M","Male", orders[[#This Row],[Customer Gender]]="F","Female", orders[[#This Row],[Customer Gender]]="O","Other", TRUE,"Unknown")</f>
        <v>Male</v>
      </c>
    </row>
    <row r="2119" spans="1:15">
      <c r="A2119" t="s">
        <v>2220</v>
      </c>
      <c r="B2119" t="s">
        <v>22</v>
      </c>
      <c r="C2119">
        <v>2</v>
      </c>
      <c r="D2119">
        <v>78.599999999999994</v>
      </c>
      <c r="E2119">
        <v>157.19999999999999</v>
      </c>
      <c r="F2119" s="1">
        <v>45735</v>
      </c>
      <c r="G2119" s="1">
        <v>45736</v>
      </c>
      <c r="H2119" t="s">
        <v>23</v>
      </c>
      <c r="I2119" t="s">
        <v>40</v>
      </c>
      <c r="J2119">
        <v>5</v>
      </c>
      <c r="K2119" t="s">
        <v>19</v>
      </c>
      <c r="L2119" t="s">
        <v>33</v>
      </c>
      <c r="M2119">
        <f>orders[[#This Row],[Ship Date]]-orders[[#This Row],[Order Date]]</f>
        <v>1</v>
      </c>
      <c r="N2119">
        <f>WEEKNUM(orders[[#This Row],[Order Date]])</f>
        <v>12</v>
      </c>
      <c r="O2119" t="str">
        <f>_xlfn.IFS(orders[[#This Row],[Customer Gender]]="M","Male", orders[[#This Row],[Customer Gender]]="F","Female", orders[[#This Row],[Customer Gender]]="O","Other", TRUE,"Unknown")</f>
        <v>Male</v>
      </c>
    </row>
    <row r="2120" spans="1:15">
      <c r="A2120" t="s">
        <v>2221</v>
      </c>
      <c r="B2120" t="s">
        <v>39</v>
      </c>
      <c r="C2120">
        <v>4</v>
      </c>
      <c r="D2120">
        <v>87.3</v>
      </c>
      <c r="E2120">
        <v>349.2</v>
      </c>
      <c r="F2120" s="1">
        <v>45735</v>
      </c>
      <c r="G2120" s="1">
        <v>45736</v>
      </c>
      <c r="H2120" t="s">
        <v>23</v>
      </c>
      <c r="I2120" t="s">
        <v>18</v>
      </c>
      <c r="J2120">
        <v>4</v>
      </c>
      <c r="K2120" t="s">
        <v>19</v>
      </c>
      <c r="L2120" t="s">
        <v>33</v>
      </c>
      <c r="M2120">
        <f>orders[[#This Row],[Ship Date]]-orders[[#This Row],[Order Date]]</f>
        <v>1</v>
      </c>
      <c r="N2120">
        <f>WEEKNUM(orders[[#This Row],[Order Date]])</f>
        <v>12</v>
      </c>
      <c r="O2120" t="str">
        <f>_xlfn.IFS(orders[[#This Row],[Customer Gender]]="M","Male", orders[[#This Row],[Customer Gender]]="F","Female", orders[[#This Row],[Customer Gender]]="O","Other", TRUE,"Unknown")</f>
        <v>Male</v>
      </c>
    </row>
    <row r="2121" spans="1:15">
      <c r="A2121" t="s">
        <v>2222</v>
      </c>
      <c r="B2121" t="s">
        <v>46</v>
      </c>
      <c r="C2121">
        <v>2</v>
      </c>
      <c r="D2121">
        <v>63.2</v>
      </c>
      <c r="E2121">
        <v>126.4</v>
      </c>
      <c r="F2121" s="1">
        <v>45735</v>
      </c>
      <c r="G2121" s="1">
        <v>45735</v>
      </c>
      <c r="H2121" t="s">
        <v>23</v>
      </c>
      <c r="I2121" t="s">
        <v>70</v>
      </c>
      <c r="J2121">
        <v>3</v>
      </c>
      <c r="K2121" t="s">
        <v>19</v>
      </c>
      <c r="L2121" t="s">
        <v>33</v>
      </c>
      <c r="M2121">
        <f>orders[[#This Row],[Ship Date]]-orders[[#This Row],[Order Date]]</f>
        <v>0</v>
      </c>
      <c r="N2121">
        <f>WEEKNUM(orders[[#This Row],[Order Date]])</f>
        <v>12</v>
      </c>
      <c r="O2121" t="str">
        <f>_xlfn.IFS(orders[[#This Row],[Customer Gender]]="M","Male", orders[[#This Row],[Customer Gender]]="F","Female", orders[[#This Row],[Customer Gender]]="O","Other", TRUE,"Unknown")</f>
        <v>Male</v>
      </c>
    </row>
    <row r="2122" spans="1:15">
      <c r="A2122" t="s">
        <v>2299</v>
      </c>
      <c r="B2122" t="s">
        <v>22</v>
      </c>
      <c r="C2122">
        <v>2</v>
      </c>
      <c r="D2122">
        <v>64.2</v>
      </c>
      <c r="E2122">
        <v>128.4</v>
      </c>
      <c r="F2122" s="1">
        <v>45738</v>
      </c>
      <c r="G2122" s="1">
        <v>45739</v>
      </c>
      <c r="H2122" t="s">
        <v>27</v>
      </c>
      <c r="I2122" t="s">
        <v>18</v>
      </c>
      <c r="J2122">
        <v>3</v>
      </c>
      <c r="K2122" t="s">
        <v>19</v>
      </c>
      <c r="L2122" t="s">
        <v>103</v>
      </c>
      <c r="M2122">
        <f>orders[[#This Row],[Ship Date]]-orders[[#This Row],[Order Date]]</f>
        <v>1</v>
      </c>
      <c r="N2122">
        <f>WEEKNUM(orders[[#This Row],[Order Date]])</f>
        <v>12</v>
      </c>
      <c r="O2122" t="str">
        <f>_xlfn.IFS(orders[[#This Row],[Customer Gender]]="M","Male", orders[[#This Row],[Customer Gender]]="F","Female", orders[[#This Row],[Customer Gender]]="O","Other", TRUE,"Unknown")</f>
        <v>Female</v>
      </c>
    </row>
    <row r="2123" spans="1:15">
      <c r="A2123" t="s">
        <v>2224</v>
      </c>
      <c r="B2123" t="s">
        <v>26</v>
      </c>
      <c r="C2123">
        <v>3</v>
      </c>
      <c r="D2123">
        <v>107.4</v>
      </c>
      <c r="E2123">
        <v>322.20000000000005</v>
      </c>
      <c r="F2123" s="1">
        <v>45735</v>
      </c>
      <c r="G2123" s="1">
        <v>45748</v>
      </c>
      <c r="H2123" t="s">
        <v>27</v>
      </c>
      <c r="I2123" t="s">
        <v>35</v>
      </c>
      <c r="J2123">
        <v>5</v>
      </c>
      <c r="K2123" t="s">
        <v>19</v>
      </c>
      <c r="L2123" t="s">
        <v>33</v>
      </c>
      <c r="M2123">
        <f>orders[[#This Row],[Ship Date]]-orders[[#This Row],[Order Date]]</f>
        <v>13</v>
      </c>
      <c r="N2123">
        <f>WEEKNUM(orders[[#This Row],[Order Date]])</f>
        <v>12</v>
      </c>
      <c r="O2123" t="str">
        <f>_xlfn.IFS(orders[[#This Row],[Customer Gender]]="M","Male", orders[[#This Row],[Customer Gender]]="F","Female", orders[[#This Row],[Customer Gender]]="O","Other", TRUE,"Unknown")</f>
        <v>Female</v>
      </c>
    </row>
    <row r="2124" spans="1:15">
      <c r="A2124" t="s">
        <v>2225</v>
      </c>
      <c r="B2124" t="s">
        <v>32</v>
      </c>
      <c r="C2124">
        <v>4</v>
      </c>
      <c r="D2124">
        <v>22.2</v>
      </c>
      <c r="E2124">
        <v>88.8</v>
      </c>
      <c r="F2124" s="1">
        <v>45735</v>
      </c>
      <c r="G2124" s="1">
        <v>45736</v>
      </c>
      <c r="H2124" t="s">
        <v>17</v>
      </c>
      <c r="I2124" t="s">
        <v>35</v>
      </c>
      <c r="J2124">
        <v>5</v>
      </c>
      <c r="K2124" t="s">
        <v>19</v>
      </c>
      <c r="L2124" t="s">
        <v>186</v>
      </c>
      <c r="M2124">
        <f>orders[[#This Row],[Ship Date]]-orders[[#This Row],[Order Date]]</f>
        <v>1</v>
      </c>
      <c r="N2124">
        <f>WEEKNUM(orders[[#This Row],[Order Date]])</f>
        <v>12</v>
      </c>
      <c r="O2124" t="str">
        <f>_xlfn.IFS(orders[[#This Row],[Customer Gender]]="M","Male", orders[[#This Row],[Customer Gender]]="F","Female", orders[[#This Row],[Customer Gender]]="O","Other", TRUE,"Unknown")</f>
        <v>Unknown</v>
      </c>
    </row>
    <row r="2125" spans="1:15">
      <c r="A2125" t="s">
        <v>2226</v>
      </c>
      <c r="B2125" t="s">
        <v>146</v>
      </c>
      <c r="C2125">
        <v>3</v>
      </c>
      <c r="D2125">
        <v>52.8</v>
      </c>
      <c r="E2125">
        <v>158.39999999999998</v>
      </c>
      <c r="F2125" s="1">
        <v>45735</v>
      </c>
      <c r="G2125" s="1">
        <v>45736</v>
      </c>
      <c r="H2125" t="s">
        <v>23</v>
      </c>
      <c r="I2125" t="s">
        <v>51</v>
      </c>
      <c r="J2125">
        <v>5</v>
      </c>
      <c r="K2125" t="s">
        <v>19</v>
      </c>
      <c r="L2125" t="s">
        <v>186</v>
      </c>
      <c r="M2125">
        <f>orders[[#This Row],[Ship Date]]-orders[[#This Row],[Order Date]]</f>
        <v>1</v>
      </c>
      <c r="N2125">
        <f>WEEKNUM(orders[[#This Row],[Order Date]])</f>
        <v>12</v>
      </c>
      <c r="O2125" t="str">
        <f>_xlfn.IFS(orders[[#This Row],[Customer Gender]]="M","Male", orders[[#This Row],[Customer Gender]]="F","Female", orders[[#This Row],[Customer Gender]]="O","Other", TRUE,"Unknown")</f>
        <v>Male</v>
      </c>
    </row>
    <row r="2126" spans="1:15">
      <c r="A2126" t="s">
        <v>2227</v>
      </c>
      <c r="B2126" t="s">
        <v>44</v>
      </c>
      <c r="C2126">
        <v>3</v>
      </c>
      <c r="D2126">
        <v>41.5</v>
      </c>
      <c r="E2126">
        <v>124.5</v>
      </c>
      <c r="F2126" s="1">
        <v>45735</v>
      </c>
      <c r="G2126" s="1">
        <v>45738</v>
      </c>
      <c r="H2126" t="s">
        <v>27</v>
      </c>
      <c r="I2126" t="s">
        <v>18</v>
      </c>
      <c r="J2126">
        <v>4</v>
      </c>
      <c r="K2126" t="s">
        <v>19</v>
      </c>
      <c r="L2126" t="s">
        <v>188</v>
      </c>
      <c r="M2126">
        <f>orders[[#This Row],[Ship Date]]-orders[[#This Row],[Order Date]]</f>
        <v>3</v>
      </c>
      <c r="N2126">
        <f>WEEKNUM(orders[[#This Row],[Order Date]])</f>
        <v>12</v>
      </c>
      <c r="O2126" t="str">
        <f>_xlfn.IFS(orders[[#This Row],[Customer Gender]]="M","Male", orders[[#This Row],[Customer Gender]]="F","Female", orders[[#This Row],[Customer Gender]]="O","Other", TRUE,"Unknown")</f>
        <v>Female</v>
      </c>
    </row>
    <row r="2127" spans="1:15">
      <c r="A2127" t="s">
        <v>2163</v>
      </c>
      <c r="B2127" t="s">
        <v>46</v>
      </c>
      <c r="C2127">
        <v>3</v>
      </c>
      <c r="D2127">
        <v>37.799999999999997</v>
      </c>
      <c r="E2127">
        <v>113.39999999999999</v>
      </c>
      <c r="F2127" s="1">
        <v>45733</v>
      </c>
      <c r="G2127" s="1">
        <v>45734</v>
      </c>
      <c r="H2127" t="s">
        <v>27</v>
      </c>
      <c r="I2127" t="s">
        <v>18</v>
      </c>
      <c r="J2127">
        <v>3</v>
      </c>
      <c r="K2127" t="s">
        <v>19</v>
      </c>
      <c r="L2127" t="s">
        <v>77</v>
      </c>
      <c r="M2127">
        <f>orders[[#This Row],[Ship Date]]-orders[[#This Row],[Order Date]]</f>
        <v>1</v>
      </c>
      <c r="N2127">
        <f>WEEKNUM(orders[[#This Row],[Order Date]])</f>
        <v>12</v>
      </c>
      <c r="O2127" t="str">
        <f>_xlfn.IFS(orders[[#This Row],[Customer Gender]]="M","Male", orders[[#This Row],[Customer Gender]]="F","Female", orders[[#This Row],[Customer Gender]]="O","Other", TRUE,"Unknown")</f>
        <v>Female</v>
      </c>
    </row>
    <row r="2128" spans="1:15">
      <c r="A2128" t="s">
        <v>2229</v>
      </c>
      <c r="B2128" t="s">
        <v>32</v>
      </c>
      <c r="C2128">
        <v>14</v>
      </c>
      <c r="D2128">
        <v>37.5</v>
      </c>
      <c r="E2128">
        <v>525</v>
      </c>
      <c r="F2128" s="1">
        <v>45735</v>
      </c>
      <c r="G2128" s="1">
        <v>45735</v>
      </c>
      <c r="H2128" t="s">
        <v>27</v>
      </c>
      <c r="I2128" t="s">
        <v>35</v>
      </c>
      <c r="J2128">
        <v>5</v>
      </c>
      <c r="K2128" t="s">
        <v>19</v>
      </c>
      <c r="L2128" t="s">
        <v>55</v>
      </c>
      <c r="M2128">
        <f>orders[[#This Row],[Ship Date]]-orders[[#This Row],[Order Date]]</f>
        <v>0</v>
      </c>
      <c r="N2128">
        <f>WEEKNUM(orders[[#This Row],[Order Date]])</f>
        <v>12</v>
      </c>
      <c r="O2128" t="str">
        <f>_xlfn.IFS(orders[[#This Row],[Customer Gender]]="M","Male", orders[[#This Row],[Customer Gender]]="F","Female", orders[[#This Row],[Customer Gender]]="O","Other", TRUE,"Unknown")</f>
        <v>Female</v>
      </c>
    </row>
    <row r="2129" spans="1:15">
      <c r="A2129" t="s">
        <v>2230</v>
      </c>
      <c r="B2129" t="s">
        <v>123</v>
      </c>
      <c r="C2129">
        <v>8</v>
      </c>
      <c r="D2129">
        <v>44.4</v>
      </c>
      <c r="E2129">
        <v>355.2</v>
      </c>
      <c r="F2129" s="1">
        <v>45735</v>
      </c>
      <c r="G2129" s="1">
        <v>45741</v>
      </c>
      <c r="H2129" t="s">
        <v>27</v>
      </c>
      <c r="I2129" t="s">
        <v>51</v>
      </c>
      <c r="J2129">
        <v>5</v>
      </c>
      <c r="K2129" t="s">
        <v>19</v>
      </c>
      <c r="L2129" t="s">
        <v>59</v>
      </c>
      <c r="M2129">
        <f>orders[[#This Row],[Ship Date]]-orders[[#This Row],[Order Date]]</f>
        <v>6</v>
      </c>
      <c r="N2129">
        <f>WEEKNUM(orders[[#This Row],[Order Date]])</f>
        <v>12</v>
      </c>
      <c r="O2129" t="str">
        <f>_xlfn.IFS(orders[[#This Row],[Customer Gender]]="M","Male", orders[[#This Row],[Customer Gender]]="F","Female", orders[[#This Row],[Customer Gender]]="O","Other", TRUE,"Unknown")</f>
        <v>Female</v>
      </c>
    </row>
    <row r="2130" spans="1:15">
      <c r="A2130" t="s">
        <v>2231</v>
      </c>
      <c r="B2130" t="s">
        <v>44</v>
      </c>
      <c r="C2130">
        <v>3</v>
      </c>
      <c r="D2130">
        <v>26.2</v>
      </c>
      <c r="E2130">
        <v>78.599999999999994</v>
      </c>
      <c r="F2130" s="1">
        <v>45735</v>
      </c>
      <c r="G2130" s="1">
        <v>45736</v>
      </c>
      <c r="H2130" t="s">
        <v>23</v>
      </c>
      <c r="I2130" t="s">
        <v>18</v>
      </c>
      <c r="J2130">
        <v>4</v>
      </c>
      <c r="K2130" t="s">
        <v>19</v>
      </c>
      <c r="L2130" t="s">
        <v>62</v>
      </c>
      <c r="M2130">
        <f>orders[[#This Row],[Ship Date]]-orders[[#This Row],[Order Date]]</f>
        <v>1</v>
      </c>
      <c r="N2130">
        <f>WEEKNUM(orders[[#This Row],[Order Date]])</f>
        <v>12</v>
      </c>
      <c r="O2130" t="str">
        <f>_xlfn.IFS(orders[[#This Row],[Customer Gender]]="M","Male", orders[[#This Row],[Customer Gender]]="F","Female", orders[[#This Row],[Customer Gender]]="O","Other", TRUE,"Unknown")</f>
        <v>Male</v>
      </c>
    </row>
    <row r="2131" spans="1:15">
      <c r="A2131" t="s">
        <v>2232</v>
      </c>
      <c r="B2131" t="s">
        <v>22</v>
      </c>
      <c r="C2131">
        <v>7</v>
      </c>
      <c r="D2131">
        <v>32.200000000000003</v>
      </c>
      <c r="E2131">
        <v>225.40000000000003</v>
      </c>
      <c r="F2131" s="1">
        <v>45735</v>
      </c>
      <c r="G2131" s="1">
        <v>45736</v>
      </c>
      <c r="H2131" t="s">
        <v>27</v>
      </c>
      <c r="I2131" t="s">
        <v>35</v>
      </c>
      <c r="J2131">
        <v>5</v>
      </c>
      <c r="K2131" t="s">
        <v>19</v>
      </c>
      <c r="L2131" t="s">
        <v>62</v>
      </c>
      <c r="M2131">
        <f>orders[[#This Row],[Ship Date]]-orders[[#This Row],[Order Date]]</f>
        <v>1</v>
      </c>
      <c r="N2131">
        <f>WEEKNUM(orders[[#This Row],[Order Date]])</f>
        <v>12</v>
      </c>
      <c r="O2131" t="str">
        <f>_xlfn.IFS(orders[[#This Row],[Customer Gender]]="M","Male", orders[[#This Row],[Customer Gender]]="F","Female", orders[[#This Row],[Customer Gender]]="O","Other", TRUE,"Unknown")</f>
        <v>Female</v>
      </c>
    </row>
    <row r="2132" spans="1:15">
      <c r="A2132" t="s">
        <v>2233</v>
      </c>
      <c r="B2132" t="s">
        <v>44</v>
      </c>
      <c r="C2132">
        <v>1</v>
      </c>
      <c r="D2132">
        <v>17.399999999999999</v>
      </c>
      <c r="E2132">
        <v>17.399999999999999</v>
      </c>
      <c r="F2132" s="1">
        <v>45735</v>
      </c>
      <c r="G2132" s="1">
        <v>45739</v>
      </c>
      <c r="H2132" t="s">
        <v>17</v>
      </c>
      <c r="I2132" t="s">
        <v>40</v>
      </c>
      <c r="J2132">
        <v>3</v>
      </c>
      <c r="K2132" t="s">
        <v>19</v>
      </c>
      <c r="L2132" t="s">
        <v>62</v>
      </c>
      <c r="M2132">
        <f>orders[[#This Row],[Ship Date]]-orders[[#This Row],[Order Date]]</f>
        <v>4</v>
      </c>
      <c r="N2132">
        <f>WEEKNUM(orders[[#This Row],[Order Date]])</f>
        <v>12</v>
      </c>
      <c r="O2132" t="str">
        <f>_xlfn.IFS(orders[[#This Row],[Customer Gender]]="M","Male", orders[[#This Row],[Customer Gender]]="F","Female", orders[[#This Row],[Customer Gender]]="O","Other", TRUE,"Unknown")</f>
        <v>Unknown</v>
      </c>
    </row>
    <row r="2133" spans="1:15">
      <c r="A2133" t="s">
        <v>2213</v>
      </c>
      <c r="B2133" t="s">
        <v>54</v>
      </c>
      <c r="C2133">
        <v>4</v>
      </c>
      <c r="D2133">
        <v>23.5</v>
      </c>
      <c r="E2133">
        <v>94</v>
      </c>
      <c r="F2133" s="1">
        <v>45735</v>
      </c>
      <c r="G2133" s="1">
        <v>45736</v>
      </c>
      <c r="H2133" t="s">
        <v>27</v>
      </c>
      <c r="I2133" t="s">
        <v>18</v>
      </c>
      <c r="J2133">
        <v>5</v>
      </c>
      <c r="K2133" t="s">
        <v>19</v>
      </c>
      <c r="L2133" t="s">
        <v>33</v>
      </c>
      <c r="M2133">
        <f>orders[[#This Row],[Ship Date]]-orders[[#This Row],[Order Date]]</f>
        <v>1</v>
      </c>
      <c r="N2133">
        <f>WEEKNUM(orders[[#This Row],[Order Date]])</f>
        <v>12</v>
      </c>
      <c r="O2133" t="str">
        <f>_xlfn.IFS(orders[[#This Row],[Customer Gender]]="M","Male", orders[[#This Row],[Customer Gender]]="F","Female", orders[[#This Row],[Customer Gender]]="O","Other", TRUE,"Unknown")</f>
        <v>Female</v>
      </c>
    </row>
    <row r="2134" spans="1:15">
      <c r="A2134" t="s">
        <v>2235</v>
      </c>
      <c r="B2134" t="s">
        <v>44</v>
      </c>
      <c r="C2134">
        <v>11</v>
      </c>
      <c r="D2134">
        <v>24.3</v>
      </c>
      <c r="E2134">
        <v>267.3</v>
      </c>
      <c r="F2134" s="1">
        <v>45735</v>
      </c>
      <c r="G2134" s="1">
        <v>45736</v>
      </c>
      <c r="H2134" t="s">
        <v>23</v>
      </c>
      <c r="I2134" t="s">
        <v>18</v>
      </c>
      <c r="J2134">
        <v>4</v>
      </c>
      <c r="K2134" t="s">
        <v>19</v>
      </c>
      <c r="L2134" t="s">
        <v>62</v>
      </c>
      <c r="M2134">
        <f>orders[[#This Row],[Ship Date]]-orders[[#This Row],[Order Date]]</f>
        <v>1</v>
      </c>
      <c r="N2134">
        <f>WEEKNUM(orders[[#This Row],[Order Date]])</f>
        <v>12</v>
      </c>
      <c r="O2134" t="str">
        <f>_xlfn.IFS(orders[[#This Row],[Customer Gender]]="M","Male", orders[[#This Row],[Customer Gender]]="F","Female", orders[[#This Row],[Customer Gender]]="O","Other", TRUE,"Unknown")</f>
        <v>Male</v>
      </c>
    </row>
    <row r="2135" spans="1:15">
      <c r="A2135" t="s">
        <v>2236</v>
      </c>
      <c r="B2135" t="s">
        <v>76</v>
      </c>
      <c r="C2135">
        <v>3</v>
      </c>
      <c r="D2135">
        <v>49.1</v>
      </c>
      <c r="E2135">
        <v>147.30000000000001</v>
      </c>
      <c r="F2135" s="1">
        <v>45735</v>
      </c>
      <c r="G2135" s="1">
        <v>45741</v>
      </c>
      <c r="H2135" t="s">
        <v>23</v>
      </c>
      <c r="I2135" t="s">
        <v>40</v>
      </c>
      <c r="J2135">
        <v>2</v>
      </c>
      <c r="K2135" t="s">
        <v>19</v>
      </c>
      <c r="L2135" t="s">
        <v>62</v>
      </c>
      <c r="M2135">
        <f>orders[[#This Row],[Ship Date]]-orders[[#This Row],[Order Date]]</f>
        <v>6</v>
      </c>
      <c r="N2135">
        <f>WEEKNUM(orders[[#This Row],[Order Date]])</f>
        <v>12</v>
      </c>
      <c r="O2135" t="str">
        <f>_xlfn.IFS(orders[[#This Row],[Customer Gender]]="M","Male", orders[[#This Row],[Customer Gender]]="F","Female", orders[[#This Row],[Customer Gender]]="O","Other", TRUE,"Unknown")</f>
        <v>Male</v>
      </c>
    </row>
    <row r="2136" spans="1:15">
      <c r="A2136" t="s">
        <v>2237</v>
      </c>
      <c r="B2136" t="s">
        <v>26</v>
      </c>
      <c r="C2136">
        <v>10</v>
      </c>
      <c r="D2136">
        <v>234.7</v>
      </c>
      <c r="E2136">
        <v>2347</v>
      </c>
      <c r="F2136" s="1">
        <v>45735</v>
      </c>
      <c r="G2136" s="1">
        <v>45736</v>
      </c>
      <c r="H2136" t="s">
        <v>23</v>
      </c>
      <c r="I2136" t="s">
        <v>51</v>
      </c>
      <c r="J2136">
        <v>3</v>
      </c>
      <c r="K2136" t="s">
        <v>19</v>
      </c>
      <c r="L2136" t="s">
        <v>62</v>
      </c>
      <c r="M2136">
        <f>orders[[#This Row],[Ship Date]]-orders[[#This Row],[Order Date]]</f>
        <v>1</v>
      </c>
      <c r="N2136">
        <f>WEEKNUM(orders[[#This Row],[Order Date]])</f>
        <v>12</v>
      </c>
      <c r="O2136" t="str">
        <f>_xlfn.IFS(orders[[#This Row],[Customer Gender]]="M","Male", orders[[#This Row],[Customer Gender]]="F","Female", orders[[#This Row],[Customer Gender]]="O","Other", TRUE,"Unknown")</f>
        <v>Male</v>
      </c>
    </row>
    <row r="2137" spans="1:15">
      <c r="A2137" t="s">
        <v>2238</v>
      </c>
      <c r="B2137" t="s">
        <v>30</v>
      </c>
      <c r="C2137">
        <v>5</v>
      </c>
      <c r="D2137">
        <v>76.099999999999994</v>
      </c>
      <c r="E2137">
        <v>380.5</v>
      </c>
      <c r="F2137" s="1">
        <v>45735</v>
      </c>
      <c r="G2137" s="1">
        <v>45737</v>
      </c>
      <c r="H2137" t="s">
        <v>23</v>
      </c>
      <c r="I2137" t="s">
        <v>35</v>
      </c>
      <c r="J2137">
        <v>3</v>
      </c>
      <c r="K2137" t="s">
        <v>19</v>
      </c>
      <c r="L2137" t="s">
        <v>103</v>
      </c>
      <c r="M2137">
        <f>orders[[#This Row],[Ship Date]]-orders[[#This Row],[Order Date]]</f>
        <v>2</v>
      </c>
      <c r="N2137">
        <f>WEEKNUM(orders[[#This Row],[Order Date]])</f>
        <v>12</v>
      </c>
      <c r="O2137" t="str">
        <f>_xlfn.IFS(orders[[#This Row],[Customer Gender]]="M","Male", orders[[#This Row],[Customer Gender]]="F","Female", orders[[#This Row],[Customer Gender]]="O","Other", TRUE,"Unknown")</f>
        <v>Male</v>
      </c>
    </row>
    <row r="2138" spans="1:15">
      <c r="A2138" t="s">
        <v>2239</v>
      </c>
      <c r="B2138" t="s">
        <v>22</v>
      </c>
      <c r="C2138">
        <v>3</v>
      </c>
      <c r="D2138">
        <v>93.9</v>
      </c>
      <c r="E2138">
        <v>281.70000000000005</v>
      </c>
      <c r="F2138" s="1">
        <v>45735</v>
      </c>
      <c r="G2138" s="1">
        <v>45736</v>
      </c>
      <c r="H2138" t="s">
        <v>23</v>
      </c>
      <c r="I2138" t="s">
        <v>35</v>
      </c>
      <c r="J2138">
        <v>2</v>
      </c>
      <c r="K2138" t="s">
        <v>19</v>
      </c>
      <c r="L2138" t="s">
        <v>77</v>
      </c>
      <c r="M2138">
        <f>orders[[#This Row],[Ship Date]]-orders[[#This Row],[Order Date]]</f>
        <v>1</v>
      </c>
      <c r="N2138">
        <f>WEEKNUM(orders[[#This Row],[Order Date]])</f>
        <v>12</v>
      </c>
      <c r="O2138" t="str">
        <f>_xlfn.IFS(orders[[#This Row],[Customer Gender]]="M","Male", orders[[#This Row],[Customer Gender]]="F","Female", orders[[#This Row],[Customer Gender]]="O","Other", TRUE,"Unknown")</f>
        <v>Male</v>
      </c>
    </row>
    <row r="2139" spans="1:15">
      <c r="A2139" t="s">
        <v>2240</v>
      </c>
      <c r="B2139" t="s">
        <v>26</v>
      </c>
      <c r="C2139">
        <v>4</v>
      </c>
      <c r="D2139">
        <v>187</v>
      </c>
      <c r="E2139">
        <v>748</v>
      </c>
      <c r="F2139" s="1">
        <v>45736</v>
      </c>
      <c r="G2139" s="1">
        <v>45739</v>
      </c>
      <c r="H2139" t="s">
        <v>23</v>
      </c>
      <c r="I2139" t="s">
        <v>18</v>
      </c>
      <c r="J2139">
        <v>4</v>
      </c>
      <c r="K2139" t="s">
        <v>19</v>
      </c>
      <c r="L2139" t="s">
        <v>77</v>
      </c>
      <c r="M2139">
        <f>orders[[#This Row],[Ship Date]]-orders[[#This Row],[Order Date]]</f>
        <v>3</v>
      </c>
      <c r="N2139">
        <f>WEEKNUM(orders[[#This Row],[Order Date]])</f>
        <v>12</v>
      </c>
      <c r="O2139" t="str">
        <f>_xlfn.IFS(orders[[#This Row],[Customer Gender]]="M","Male", orders[[#This Row],[Customer Gender]]="F","Female", orders[[#This Row],[Customer Gender]]="O","Other", TRUE,"Unknown")</f>
        <v>Male</v>
      </c>
    </row>
    <row r="2140" spans="1:15">
      <c r="A2140" t="s">
        <v>2241</v>
      </c>
      <c r="B2140" t="s">
        <v>44</v>
      </c>
      <c r="C2140">
        <v>2</v>
      </c>
      <c r="D2140">
        <v>18</v>
      </c>
      <c r="E2140">
        <v>36</v>
      </c>
      <c r="F2140" s="1">
        <v>45736</v>
      </c>
      <c r="G2140" s="1">
        <v>45737</v>
      </c>
      <c r="H2140" t="s">
        <v>27</v>
      </c>
      <c r="I2140" t="s">
        <v>35</v>
      </c>
      <c r="J2140">
        <v>5</v>
      </c>
      <c r="K2140" t="s">
        <v>19</v>
      </c>
      <c r="L2140" t="s">
        <v>1116</v>
      </c>
      <c r="M2140">
        <f>orders[[#This Row],[Ship Date]]-orders[[#This Row],[Order Date]]</f>
        <v>1</v>
      </c>
      <c r="N2140">
        <f>WEEKNUM(orders[[#This Row],[Order Date]])</f>
        <v>12</v>
      </c>
      <c r="O2140" t="str">
        <f>_xlfn.IFS(orders[[#This Row],[Customer Gender]]="M","Male", orders[[#This Row],[Customer Gender]]="F","Female", orders[[#This Row],[Customer Gender]]="O","Other", TRUE,"Unknown")</f>
        <v>Female</v>
      </c>
    </row>
    <row r="2141" spans="1:15">
      <c r="A2141" t="s">
        <v>2242</v>
      </c>
      <c r="B2141" t="s">
        <v>32</v>
      </c>
      <c r="C2141">
        <v>1</v>
      </c>
      <c r="D2141">
        <v>24.4</v>
      </c>
      <c r="E2141">
        <v>24.4</v>
      </c>
      <c r="F2141" s="1">
        <v>45736</v>
      </c>
      <c r="G2141" s="1">
        <v>45737</v>
      </c>
      <c r="H2141" t="s">
        <v>27</v>
      </c>
      <c r="I2141" t="s">
        <v>70</v>
      </c>
      <c r="J2141">
        <v>5</v>
      </c>
      <c r="K2141" t="s">
        <v>19</v>
      </c>
      <c r="L2141" t="s">
        <v>115</v>
      </c>
      <c r="M2141">
        <f>orders[[#This Row],[Ship Date]]-orders[[#This Row],[Order Date]]</f>
        <v>1</v>
      </c>
      <c r="N2141">
        <f>WEEKNUM(orders[[#This Row],[Order Date]])</f>
        <v>12</v>
      </c>
      <c r="O2141" t="str">
        <f>_xlfn.IFS(orders[[#This Row],[Customer Gender]]="M","Male", orders[[#This Row],[Customer Gender]]="F","Female", orders[[#This Row],[Customer Gender]]="O","Other", TRUE,"Unknown")</f>
        <v>Female</v>
      </c>
    </row>
    <row r="2142" spans="1:15">
      <c r="A2142" t="s">
        <v>2243</v>
      </c>
      <c r="B2142" t="s">
        <v>54</v>
      </c>
      <c r="C2142">
        <v>2</v>
      </c>
      <c r="D2142">
        <v>38.799999999999997</v>
      </c>
      <c r="E2142">
        <v>77.599999999999994</v>
      </c>
      <c r="F2142" s="1">
        <v>45736</v>
      </c>
      <c r="G2142" s="1">
        <v>45737</v>
      </c>
      <c r="H2142" t="s">
        <v>23</v>
      </c>
      <c r="I2142" t="s">
        <v>70</v>
      </c>
      <c r="J2142">
        <v>3</v>
      </c>
      <c r="K2142" t="s">
        <v>19</v>
      </c>
      <c r="L2142" t="s">
        <v>33</v>
      </c>
      <c r="M2142">
        <f>orders[[#This Row],[Ship Date]]-orders[[#This Row],[Order Date]]</f>
        <v>1</v>
      </c>
      <c r="N2142">
        <f>WEEKNUM(orders[[#This Row],[Order Date]])</f>
        <v>12</v>
      </c>
      <c r="O2142" t="str">
        <f>_xlfn.IFS(orders[[#This Row],[Customer Gender]]="M","Male", orders[[#This Row],[Customer Gender]]="F","Female", orders[[#This Row],[Customer Gender]]="O","Other", TRUE,"Unknown")</f>
        <v>Male</v>
      </c>
    </row>
    <row r="2143" spans="1:15">
      <c r="A2143" t="s">
        <v>2244</v>
      </c>
      <c r="B2143" t="s">
        <v>30</v>
      </c>
      <c r="C2143">
        <v>1</v>
      </c>
      <c r="D2143">
        <v>59.7</v>
      </c>
      <c r="E2143">
        <v>59.7</v>
      </c>
      <c r="F2143" s="1">
        <v>45736</v>
      </c>
      <c r="G2143" s="1">
        <v>45739</v>
      </c>
      <c r="H2143" t="s">
        <v>23</v>
      </c>
      <c r="I2143" t="s">
        <v>51</v>
      </c>
      <c r="J2143">
        <v>4</v>
      </c>
      <c r="K2143" t="s">
        <v>19</v>
      </c>
      <c r="L2143" t="s">
        <v>33</v>
      </c>
      <c r="M2143">
        <f>orders[[#This Row],[Ship Date]]-orders[[#This Row],[Order Date]]</f>
        <v>3</v>
      </c>
      <c r="N2143">
        <f>WEEKNUM(orders[[#This Row],[Order Date]])</f>
        <v>12</v>
      </c>
      <c r="O2143" t="str">
        <f>_xlfn.IFS(orders[[#This Row],[Customer Gender]]="M","Male", orders[[#This Row],[Customer Gender]]="F","Female", orders[[#This Row],[Customer Gender]]="O","Other", TRUE,"Unknown")</f>
        <v>Male</v>
      </c>
    </row>
    <row r="2144" spans="1:15">
      <c r="A2144" t="s">
        <v>2245</v>
      </c>
      <c r="B2144" t="s">
        <v>42</v>
      </c>
      <c r="C2144">
        <v>1</v>
      </c>
      <c r="D2144">
        <v>31.2</v>
      </c>
      <c r="E2144">
        <v>31.2</v>
      </c>
      <c r="F2144" s="1">
        <v>45736</v>
      </c>
      <c r="G2144" s="1">
        <v>45737</v>
      </c>
      <c r="H2144" t="s">
        <v>23</v>
      </c>
      <c r="I2144" t="s">
        <v>35</v>
      </c>
      <c r="J2144">
        <v>5</v>
      </c>
      <c r="K2144" t="s">
        <v>19</v>
      </c>
      <c r="L2144" t="s">
        <v>33</v>
      </c>
      <c r="M2144">
        <f>orders[[#This Row],[Ship Date]]-orders[[#This Row],[Order Date]]</f>
        <v>1</v>
      </c>
      <c r="N2144">
        <f>WEEKNUM(orders[[#This Row],[Order Date]])</f>
        <v>12</v>
      </c>
      <c r="O2144" t="str">
        <f>_xlfn.IFS(orders[[#This Row],[Customer Gender]]="M","Male", orders[[#This Row],[Customer Gender]]="F","Female", orders[[#This Row],[Customer Gender]]="O","Other", TRUE,"Unknown")</f>
        <v>Male</v>
      </c>
    </row>
    <row r="2145" spans="1:15">
      <c r="A2145" t="s">
        <v>2246</v>
      </c>
      <c r="B2145" t="s">
        <v>16</v>
      </c>
      <c r="C2145">
        <v>1</v>
      </c>
      <c r="D2145">
        <v>16.8</v>
      </c>
      <c r="E2145">
        <v>16.8</v>
      </c>
      <c r="F2145" s="1">
        <v>45736</v>
      </c>
      <c r="G2145" s="1">
        <v>45737</v>
      </c>
      <c r="H2145" t="s">
        <v>27</v>
      </c>
      <c r="I2145" t="s">
        <v>40</v>
      </c>
      <c r="J2145">
        <v>3</v>
      </c>
      <c r="K2145" t="s">
        <v>19</v>
      </c>
      <c r="L2145" t="s">
        <v>33</v>
      </c>
      <c r="M2145">
        <f>orders[[#This Row],[Ship Date]]-orders[[#This Row],[Order Date]]</f>
        <v>1</v>
      </c>
      <c r="N2145">
        <f>WEEKNUM(orders[[#This Row],[Order Date]])</f>
        <v>12</v>
      </c>
      <c r="O2145" t="str">
        <f>_xlfn.IFS(orders[[#This Row],[Customer Gender]]="M","Male", orders[[#This Row],[Customer Gender]]="F","Female", orders[[#This Row],[Customer Gender]]="O","Other", TRUE,"Unknown")</f>
        <v>Female</v>
      </c>
    </row>
    <row r="2146" spans="1:15">
      <c r="A2146" t="s">
        <v>2247</v>
      </c>
      <c r="B2146" t="s">
        <v>44</v>
      </c>
      <c r="C2146">
        <v>1</v>
      </c>
      <c r="D2146">
        <v>46</v>
      </c>
      <c r="E2146">
        <v>46</v>
      </c>
      <c r="F2146" s="1">
        <v>45736</v>
      </c>
      <c r="G2146" s="1">
        <v>45737</v>
      </c>
      <c r="H2146" t="s">
        <v>23</v>
      </c>
      <c r="I2146" t="s">
        <v>18</v>
      </c>
      <c r="J2146">
        <v>4</v>
      </c>
      <c r="K2146" t="s">
        <v>19</v>
      </c>
      <c r="L2146" t="s">
        <v>33</v>
      </c>
      <c r="M2146">
        <f>orders[[#This Row],[Ship Date]]-orders[[#This Row],[Order Date]]</f>
        <v>1</v>
      </c>
      <c r="N2146">
        <f>WEEKNUM(orders[[#This Row],[Order Date]])</f>
        <v>12</v>
      </c>
      <c r="O2146" t="str">
        <f>_xlfn.IFS(orders[[#This Row],[Customer Gender]]="M","Male", orders[[#This Row],[Customer Gender]]="F","Female", orders[[#This Row],[Customer Gender]]="O","Other", TRUE,"Unknown")</f>
        <v>Male</v>
      </c>
    </row>
    <row r="2147" spans="1:15">
      <c r="A2147" t="s">
        <v>2248</v>
      </c>
      <c r="B2147" t="s">
        <v>46</v>
      </c>
      <c r="C2147">
        <v>8</v>
      </c>
      <c r="D2147">
        <v>42.2</v>
      </c>
      <c r="E2147">
        <v>337.6</v>
      </c>
      <c r="F2147" s="1">
        <v>45736</v>
      </c>
      <c r="G2147" s="1">
        <v>45739</v>
      </c>
      <c r="H2147" t="s">
        <v>27</v>
      </c>
      <c r="I2147" t="s">
        <v>51</v>
      </c>
      <c r="J2147">
        <v>5</v>
      </c>
      <c r="K2147" t="s">
        <v>19</v>
      </c>
      <c r="L2147" t="s">
        <v>33</v>
      </c>
      <c r="M2147">
        <f>orders[[#This Row],[Ship Date]]-orders[[#This Row],[Order Date]]</f>
        <v>3</v>
      </c>
      <c r="N2147">
        <f>WEEKNUM(orders[[#This Row],[Order Date]])</f>
        <v>12</v>
      </c>
      <c r="O2147" t="str">
        <f>_xlfn.IFS(orders[[#This Row],[Customer Gender]]="M","Male", orders[[#This Row],[Customer Gender]]="F","Female", orders[[#This Row],[Customer Gender]]="O","Other", TRUE,"Unknown")</f>
        <v>Female</v>
      </c>
    </row>
    <row r="2148" spans="1:15">
      <c r="A2148" t="s">
        <v>2318</v>
      </c>
      <c r="B2148" t="s">
        <v>44</v>
      </c>
      <c r="C2148">
        <v>2</v>
      </c>
      <c r="D2148">
        <v>35.4</v>
      </c>
      <c r="E2148">
        <v>70.8</v>
      </c>
      <c r="F2148" s="1">
        <v>45738</v>
      </c>
      <c r="G2148" s="1">
        <v>45739</v>
      </c>
      <c r="H2148" t="s">
        <v>27</v>
      </c>
      <c r="I2148" t="s">
        <v>18</v>
      </c>
      <c r="J2148">
        <v>4</v>
      </c>
      <c r="K2148" t="s">
        <v>19</v>
      </c>
      <c r="L2148" t="s">
        <v>103</v>
      </c>
      <c r="M2148">
        <f>orders[[#This Row],[Ship Date]]-orders[[#This Row],[Order Date]]</f>
        <v>1</v>
      </c>
      <c r="N2148">
        <f>WEEKNUM(orders[[#This Row],[Order Date]])</f>
        <v>12</v>
      </c>
      <c r="O2148" t="str">
        <f>_xlfn.IFS(orders[[#This Row],[Customer Gender]]="M","Male", orders[[#This Row],[Customer Gender]]="F","Female", orders[[#This Row],[Customer Gender]]="O","Other", TRUE,"Unknown")</f>
        <v>Female</v>
      </c>
    </row>
    <row r="2149" spans="1:15">
      <c r="A2149" t="s">
        <v>2250</v>
      </c>
      <c r="B2149" t="s">
        <v>22</v>
      </c>
      <c r="C2149">
        <v>2</v>
      </c>
      <c r="D2149">
        <v>76.599999999999994</v>
      </c>
      <c r="E2149">
        <v>153.19999999999999</v>
      </c>
      <c r="F2149" s="1">
        <v>45736</v>
      </c>
      <c r="G2149" s="1">
        <v>45736</v>
      </c>
      <c r="H2149" t="s">
        <v>23</v>
      </c>
      <c r="I2149" t="s">
        <v>18</v>
      </c>
      <c r="J2149">
        <v>5</v>
      </c>
      <c r="K2149" t="s">
        <v>19</v>
      </c>
      <c r="L2149" t="s">
        <v>33</v>
      </c>
      <c r="M2149">
        <f>orders[[#This Row],[Ship Date]]-orders[[#This Row],[Order Date]]</f>
        <v>0</v>
      </c>
      <c r="N2149">
        <f>WEEKNUM(orders[[#This Row],[Order Date]])</f>
        <v>12</v>
      </c>
      <c r="O2149" t="str">
        <f>_xlfn.IFS(orders[[#This Row],[Customer Gender]]="M","Male", orders[[#This Row],[Customer Gender]]="F","Female", orders[[#This Row],[Customer Gender]]="O","Other", TRUE,"Unknown")</f>
        <v>Male</v>
      </c>
    </row>
    <row r="2150" spans="1:15">
      <c r="A2150" t="s">
        <v>2251</v>
      </c>
      <c r="B2150" t="s">
        <v>69</v>
      </c>
      <c r="C2150">
        <v>2</v>
      </c>
      <c r="D2150">
        <v>87.3</v>
      </c>
      <c r="E2150">
        <v>174.6</v>
      </c>
      <c r="F2150" s="1">
        <v>45736</v>
      </c>
      <c r="G2150" s="1">
        <v>45744</v>
      </c>
      <c r="H2150" t="s">
        <v>27</v>
      </c>
      <c r="I2150" t="s">
        <v>51</v>
      </c>
      <c r="J2150">
        <v>5</v>
      </c>
      <c r="K2150" t="s">
        <v>19</v>
      </c>
      <c r="L2150" t="s">
        <v>33</v>
      </c>
      <c r="M2150">
        <f>orders[[#This Row],[Ship Date]]-orders[[#This Row],[Order Date]]</f>
        <v>8</v>
      </c>
      <c r="N2150">
        <f>WEEKNUM(orders[[#This Row],[Order Date]])</f>
        <v>12</v>
      </c>
      <c r="O2150" t="str">
        <f>_xlfn.IFS(orders[[#This Row],[Customer Gender]]="M","Male", orders[[#This Row],[Customer Gender]]="F","Female", orders[[#This Row],[Customer Gender]]="O","Other", TRUE,"Unknown")</f>
        <v>Female</v>
      </c>
    </row>
    <row r="2151" spans="1:15">
      <c r="A2151" t="s">
        <v>2252</v>
      </c>
      <c r="B2151" t="s">
        <v>22</v>
      </c>
      <c r="C2151">
        <v>1</v>
      </c>
      <c r="D2151">
        <v>63</v>
      </c>
      <c r="E2151">
        <v>63</v>
      </c>
      <c r="F2151" s="1">
        <v>45736</v>
      </c>
      <c r="G2151" s="1">
        <v>45739</v>
      </c>
      <c r="H2151" t="s">
        <v>23</v>
      </c>
      <c r="I2151" t="s">
        <v>51</v>
      </c>
      <c r="J2151">
        <v>4</v>
      </c>
      <c r="K2151" t="s">
        <v>19</v>
      </c>
      <c r="L2151" t="s">
        <v>33</v>
      </c>
      <c r="M2151">
        <f>orders[[#This Row],[Ship Date]]-orders[[#This Row],[Order Date]]</f>
        <v>3</v>
      </c>
      <c r="N2151">
        <f>WEEKNUM(orders[[#This Row],[Order Date]])</f>
        <v>12</v>
      </c>
      <c r="O2151" t="str">
        <f>_xlfn.IFS(orders[[#This Row],[Customer Gender]]="M","Male", orders[[#This Row],[Customer Gender]]="F","Female", orders[[#This Row],[Customer Gender]]="O","Other", TRUE,"Unknown")</f>
        <v>Male</v>
      </c>
    </row>
    <row r="2152" spans="1:15">
      <c r="A2152" t="s">
        <v>2253</v>
      </c>
      <c r="B2152" t="s">
        <v>44</v>
      </c>
      <c r="C2152">
        <v>2</v>
      </c>
      <c r="D2152">
        <v>41.7</v>
      </c>
      <c r="E2152">
        <v>83.4</v>
      </c>
      <c r="F2152" s="1">
        <v>45736</v>
      </c>
      <c r="G2152" s="1">
        <v>45737</v>
      </c>
      <c r="H2152" t="s">
        <v>27</v>
      </c>
      <c r="I2152" t="s">
        <v>70</v>
      </c>
      <c r="J2152">
        <v>3</v>
      </c>
      <c r="K2152" t="s">
        <v>19</v>
      </c>
      <c r="L2152" t="s">
        <v>545</v>
      </c>
      <c r="M2152">
        <f>orders[[#This Row],[Ship Date]]-orders[[#This Row],[Order Date]]</f>
        <v>1</v>
      </c>
      <c r="N2152">
        <f>WEEKNUM(orders[[#This Row],[Order Date]])</f>
        <v>12</v>
      </c>
      <c r="O2152" t="str">
        <f>_xlfn.IFS(orders[[#This Row],[Customer Gender]]="M","Male", orders[[#This Row],[Customer Gender]]="F","Female", orders[[#This Row],[Customer Gender]]="O","Other", TRUE,"Unknown")</f>
        <v>Female</v>
      </c>
    </row>
    <row r="2153" spans="1:15">
      <c r="A2153" t="s">
        <v>2254</v>
      </c>
      <c r="B2153" t="s">
        <v>39</v>
      </c>
      <c r="C2153">
        <v>2</v>
      </c>
      <c r="D2153">
        <v>76.099999999999994</v>
      </c>
      <c r="E2153">
        <v>152.19999999999999</v>
      </c>
      <c r="F2153" s="1">
        <v>45736</v>
      </c>
      <c r="G2153" s="1">
        <v>45736</v>
      </c>
      <c r="H2153" t="s">
        <v>27</v>
      </c>
      <c r="I2153" t="s">
        <v>70</v>
      </c>
      <c r="J2153">
        <v>5</v>
      </c>
      <c r="K2153" t="s">
        <v>19</v>
      </c>
      <c r="L2153" t="s">
        <v>98</v>
      </c>
      <c r="M2153">
        <f>orders[[#This Row],[Ship Date]]-orders[[#This Row],[Order Date]]</f>
        <v>0</v>
      </c>
      <c r="N2153">
        <f>WEEKNUM(orders[[#This Row],[Order Date]])</f>
        <v>12</v>
      </c>
      <c r="O2153" t="str">
        <f>_xlfn.IFS(orders[[#This Row],[Customer Gender]]="M","Male", orders[[#This Row],[Customer Gender]]="F","Female", orders[[#This Row],[Customer Gender]]="O","Other", TRUE,"Unknown")</f>
        <v>Female</v>
      </c>
    </row>
    <row r="2154" spans="1:15">
      <c r="A2154" t="s">
        <v>2132</v>
      </c>
      <c r="B2154" t="s">
        <v>22</v>
      </c>
      <c r="C2154">
        <v>1</v>
      </c>
      <c r="D2154">
        <v>66.3</v>
      </c>
      <c r="E2154">
        <v>66.3</v>
      </c>
      <c r="F2154" s="1">
        <v>45732</v>
      </c>
      <c r="G2154" s="1">
        <v>45736</v>
      </c>
      <c r="H2154" t="s">
        <v>27</v>
      </c>
      <c r="I2154" t="s">
        <v>18</v>
      </c>
      <c r="J2154">
        <v>5</v>
      </c>
      <c r="K2154" t="s">
        <v>19</v>
      </c>
      <c r="L2154" t="s">
        <v>110</v>
      </c>
      <c r="M2154">
        <f>orders[[#This Row],[Ship Date]]-orders[[#This Row],[Order Date]]</f>
        <v>4</v>
      </c>
      <c r="N2154">
        <f>WEEKNUM(orders[[#This Row],[Order Date]])</f>
        <v>12</v>
      </c>
      <c r="O2154" t="str">
        <f>_xlfn.IFS(orders[[#This Row],[Customer Gender]]="M","Male", orders[[#This Row],[Customer Gender]]="F","Female", orders[[#This Row],[Customer Gender]]="O","Other", TRUE,"Unknown")</f>
        <v>Female</v>
      </c>
    </row>
    <row r="2155" spans="1:15">
      <c r="A2155" t="s">
        <v>2256</v>
      </c>
      <c r="B2155" t="s">
        <v>16</v>
      </c>
      <c r="C2155">
        <v>4</v>
      </c>
      <c r="D2155">
        <v>32.1</v>
      </c>
      <c r="E2155">
        <v>128.4</v>
      </c>
      <c r="F2155" s="1">
        <v>45736</v>
      </c>
      <c r="G2155" s="1">
        <v>45737</v>
      </c>
      <c r="H2155" t="s">
        <v>27</v>
      </c>
      <c r="I2155" t="s">
        <v>35</v>
      </c>
      <c r="J2155">
        <v>5</v>
      </c>
      <c r="K2155" t="s">
        <v>19</v>
      </c>
      <c r="L2155" t="s">
        <v>188</v>
      </c>
      <c r="M2155">
        <f>orders[[#This Row],[Ship Date]]-orders[[#This Row],[Order Date]]</f>
        <v>1</v>
      </c>
      <c r="N2155">
        <f>WEEKNUM(orders[[#This Row],[Order Date]])</f>
        <v>12</v>
      </c>
      <c r="O2155" t="str">
        <f>_xlfn.IFS(orders[[#This Row],[Customer Gender]]="M","Male", orders[[#This Row],[Customer Gender]]="F","Female", orders[[#This Row],[Customer Gender]]="O","Other", TRUE,"Unknown")</f>
        <v>Female</v>
      </c>
    </row>
    <row r="2156" spans="1:15">
      <c r="A2156" t="s">
        <v>2257</v>
      </c>
      <c r="B2156" t="s">
        <v>32</v>
      </c>
      <c r="C2156">
        <v>3</v>
      </c>
      <c r="D2156">
        <v>39</v>
      </c>
      <c r="E2156">
        <v>117</v>
      </c>
      <c r="F2156" s="1">
        <v>45736</v>
      </c>
      <c r="G2156" s="1">
        <v>45739</v>
      </c>
      <c r="H2156" t="s">
        <v>23</v>
      </c>
      <c r="I2156" t="s">
        <v>35</v>
      </c>
      <c r="J2156">
        <v>5</v>
      </c>
      <c r="K2156" t="s">
        <v>19</v>
      </c>
      <c r="L2156" t="s">
        <v>188</v>
      </c>
      <c r="M2156">
        <f>orders[[#This Row],[Ship Date]]-orders[[#This Row],[Order Date]]</f>
        <v>3</v>
      </c>
      <c r="N2156">
        <f>WEEKNUM(orders[[#This Row],[Order Date]])</f>
        <v>12</v>
      </c>
      <c r="O2156" t="str">
        <f>_xlfn.IFS(orders[[#This Row],[Customer Gender]]="M","Male", orders[[#This Row],[Customer Gender]]="F","Female", orders[[#This Row],[Customer Gender]]="O","Other", TRUE,"Unknown")</f>
        <v>Male</v>
      </c>
    </row>
    <row r="2157" spans="1:15">
      <c r="A2157" t="s">
        <v>2258</v>
      </c>
      <c r="B2157" t="s">
        <v>39</v>
      </c>
      <c r="C2157">
        <v>1</v>
      </c>
      <c r="D2157">
        <v>78.5</v>
      </c>
      <c r="E2157">
        <v>78.5</v>
      </c>
      <c r="F2157" s="1">
        <v>45736</v>
      </c>
      <c r="G2157" s="1">
        <v>45737</v>
      </c>
      <c r="H2157" t="s">
        <v>23</v>
      </c>
      <c r="I2157" t="s">
        <v>35</v>
      </c>
      <c r="J2157">
        <v>4</v>
      </c>
      <c r="K2157" t="s">
        <v>19</v>
      </c>
      <c r="L2157" t="s">
        <v>55</v>
      </c>
      <c r="M2157">
        <f>orders[[#This Row],[Ship Date]]-orders[[#This Row],[Order Date]]</f>
        <v>1</v>
      </c>
      <c r="N2157">
        <f>WEEKNUM(orders[[#This Row],[Order Date]])</f>
        <v>12</v>
      </c>
      <c r="O2157" t="str">
        <f>_xlfn.IFS(orders[[#This Row],[Customer Gender]]="M","Male", orders[[#This Row],[Customer Gender]]="F","Female", orders[[#This Row],[Customer Gender]]="O","Other", TRUE,"Unknown")</f>
        <v>Male</v>
      </c>
    </row>
    <row r="2158" spans="1:15">
      <c r="A2158" t="s">
        <v>2255</v>
      </c>
      <c r="B2158" t="s">
        <v>76</v>
      </c>
      <c r="C2158">
        <v>2</v>
      </c>
      <c r="D2158">
        <v>28.5</v>
      </c>
      <c r="E2158">
        <v>57</v>
      </c>
      <c r="F2158" s="1">
        <v>45736</v>
      </c>
      <c r="G2158" s="1">
        <v>45737</v>
      </c>
      <c r="H2158" t="s">
        <v>27</v>
      </c>
      <c r="I2158" t="s">
        <v>18</v>
      </c>
      <c r="J2158">
        <v>5</v>
      </c>
      <c r="K2158" t="s">
        <v>19</v>
      </c>
      <c r="L2158" t="s">
        <v>49</v>
      </c>
      <c r="M2158">
        <f>orders[[#This Row],[Ship Date]]-orders[[#This Row],[Order Date]]</f>
        <v>1</v>
      </c>
      <c r="N2158">
        <f>WEEKNUM(orders[[#This Row],[Order Date]])</f>
        <v>12</v>
      </c>
      <c r="O2158" t="str">
        <f>_xlfn.IFS(orders[[#This Row],[Customer Gender]]="M","Male", orders[[#This Row],[Customer Gender]]="F","Female", orders[[#This Row],[Customer Gender]]="O","Other", TRUE,"Unknown")</f>
        <v>Female</v>
      </c>
    </row>
    <row r="2159" spans="1:15">
      <c r="A2159" t="s">
        <v>2260</v>
      </c>
      <c r="B2159" t="s">
        <v>22</v>
      </c>
      <c r="C2159">
        <v>4</v>
      </c>
      <c r="D2159">
        <v>68.400000000000006</v>
      </c>
      <c r="E2159">
        <v>273.60000000000002</v>
      </c>
      <c r="F2159" s="1">
        <v>45736</v>
      </c>
      <c r="G2159" s="1">
        <v>45737</v>
      </c>
      <c r="H2159" t="s">
        <v>27</v>
      </c>
      <c r="I2159" t="s">
        <v>40</v>
      </c>
      <c r="J2159">
        <v>5</v>
      </c>
      <c r="K2159" t="s">
        <v>19</v>
      </c>
      <c r="L2159" t="s">
        <v>59</v>
      </c>
      <c r="M2159">
        <f>orders[[#This Row],[Ship Date]]-orders[[#This Row],[Order Date]]</f>
        <v>1</v>
      </c>
      <c r="N2159">
        <f>WEEKNUM(orders[[#This Row],[Order Date]])</f>
        <v>12</v>
      </c>
      <c r="O2159" t="str">
        <f>_xlfn.IFS(orders[[#This Row],[Customer Gender]]="M","Male", orders[[#This Row],[Customer Gender]]="F","Female", orders[[#This Row],[Customer Gender]]="O","Other", TRUE,"Unknown")</f>
        <v>Female</v>
      </c>
    </row>
    <row r="2160" spans="1:15">
      <c r="A2160" t="s">
        <v>2261</v>
      </c>
      <c r="B2160" t="s">
        <v>30</v>
      </c>
      <c r="C2160">
        <v>2</v>
      </c>
      <c r="D2160">
        <v>72.900000000000006</v>
      </c>
      <c r="E2160">
        <v>145.80000000000001</v>
      </c>
      <c r="F2160" s="1">
        <v>45736</v>
      </c>
      <c r="G2160" s="1">
        <v>45739</v>
      </c>
      <c r="H2160" t="s">
        <v>17</v>
      </c>
      <c r="I2160" t="s">
        <v>18</v>
      </c>
      <c r="J2160">
        <v>5</v>
      </c>
      <c r="K2160" t="s">
        <v>19</v>
      </c>
      <c r="L2160" t="s">
        <v>59</v>
      </c>
      <c r="M2160">
        <f>orders[[#This Row],[Ship Date]]-orders[[#This Row],[Order Date]]</f>
        <v>3</v>
      </c>
      <c r="N2160">
        <f>WEEKNUM(orders[[#This Row],[Order Date]])</f>
        <v>12</v>
      </c>
      <c r="O2160" t="str">
        <f>_xlfn.IFS(orders[[#This Row],[Customer Gender]]="M","Male", orders[[#This Row],[Customer Gender]]="F","Female", orders[[#This Row],[Customer Gender]]="O","Other", TRUE,"Unknown")</f>
        <v>Unknown</v>
      </c>
    </row>
    <row r="2161" spans="1:15">
      <c r="A2161" t="s">
        <v>2262</v>
      </c>
      <c r="B2161" t="s">
        <v>37</v>
      </c>
      <c r="C2161">
        <v>13</v>
      </c>
      <c r="D2161">
        <v>30.3</v>
      </c>
      <c r="E2161">
        <v>393.90000000000003</v>
      </c>
      <c r="F2161" s="1">
        <v>45736</v>
      </c>
      <c r="G2161" s="1">
        <v>45737</v>
      </c>
      <c r="H2161" t="s">
        <v>23</v>
      </c>
      <c r="I2161" t="s">
        <v>70</v>
      </c>
      <c r="J2161">
        <v>4</v>
      </c>
      <c r="K2161" t="s">
        <v>19</v>
      </c>
      <c r="L2161" t="s">
        <v>59</v>
      </c>
      <c r="M2161">
        <f>orders[[#This Row],[Ship Date]]-orders[[#This Row],[Order Date]]</f>
        <v>1</v>
      </c>
      <c r="N2161">
        <f>WEEKNUM(orders[[#This Row],[Order Date]])</f>
        <v>12</v>
      </c>
      <c r="O2161" t="str">
        <f>_xlfn.IFS(orders[[#This Row],[Customer Gender]]="M","Male", orders[[#This Row],[Customer Gender]]="F","Female", orders[[#This Row],[Customer Gender]]="O","Other", TRUE,"Unknown")</f>
        <v>Male</v>
      </c>
    </row>
    <row r="2162" spans="1:15">
      <c r="A2162" t="s">
        <v>2176</v>
      </c>
      <c r="B2162" t="s">
        <v>37</v>
      </c>
      <c r="C2162">
        <v>2</v>
      </c>
      <c r="D2162">
        <v>27.8</v>
      </c>
      <c r="E2162">
        <v>55.6</v>
      </c>
      <c r="F2162" s="1">
        <v>45734</v>
      </c>
      <c r="G2162" s="1">
        <v>45736</v>
      </c>
      <c r="H2162" t="s">
        <v>27</v>
      </c>
      <c r="I2162" t="s">
        <v>18</v>
      </c>
      <c r="J2162">
        <v>4</v>
      </c>
      <c r="K2162" t="s">
        <v>19</v>
      </c>
      <c r="L2162" t="s">
        <v>33</v>
      </c>
      <c r="M2162">
        <f>orders[[#This Row],[Ship Date]]-orders[[#This Row],[Order Date]]</f>
        <v>2</v>
      </c>
      <c r="N2162">
        <f>WEEKNUM(orders[[#This Row],[Order Date]])</f>
        <v>12</v>
      </c>
      <c r="O2162" t="str">
        <f>_xlfn.IFS(orders[[#This Row],[Customer Gender]]="M","Male", orders[[#This Row],[Customer Gender]]="F","Female", orders[[#This Row],[Customer Gender]]="O","Other", TRUE,"Unknown")</f>
        <v>Female</v>
      </c>
    </row>
    <row r="2163" spans="1:15">
      <c r="A2163" t="s">
        <v>2264</v>
      </c>
      <c r="B2163" t="s">
        <v>22</v>
      </c>
      <c r="C2163">
        <v>1</v>
      </c>
      <c r="D2163">
        <v>96.7</v>
      </c>
      <c r="E2163">
        <v>96.7</v>
      </c>
      <c r="F2163" s="1">
        <v>45736</v>
      </c>
      <c r="G2163" s="1">
        <v>45737</v>
      </c>
      <c r="H2163" t="s">
        <v>23</v>
      </c>
      <c r="I2163" t="s">
        <v>18</v>
      </c>
      <c r="J2163">
        <v>4</v>
      </c>
      <c r="K2163" t="s">
        <v>19</v>
      </c>
      <c r="L2163" t="s">
        <v>62</v>
      </c>
      <c r="M2163">
        <f>orders[[#This Row],[Ship Date]]-orders[[#This Row],[Order Date]]</f>
        <v>1</v>
      </c>
      <c r="N2163">
        <f>WEEKNUM(orders[[#This Row],[Order Date]])</f>
        <v>12</v>
      </c>
      <c r="O2163" t="str">
        <f>_xlfn.IFS(orders[[#This Row],[Customer Gender]]="M","Male", orders[[#This Row],[Customer Gender]]="F","Female", orders[[#This Row],[Customer Gender]]="O","Other", TRUE,"Unknown")</f>
        <v>Male</v>
      </c>
    </row>
    <row r="2164" spans="1:15">
      <c r="A2164" t="s">
        <v>2265</v>
      </c>
      <c r="B2164" t="s">
        <v>44</v>
      </c>
      <c r="C2164">
        <v>12</v>
      </c>
      <c r="D2164">
        <v>27.6</v>
      </c>
      <c r="E2164">
        <v>331.20000000000005</v>
      </c>
      <c r="F2164" s="1">
        <v>45736</v>
      </c>
      <c r="G2164" s="1">
        <v>45738</v>
      </c>
      <c r="H2164" t="s">
        <v>23</v>
      </c>
      <c r="I2164" t="s">
        <v>40</v>
      </c>
      <c r="J2164">
        <v>5</v>
      </c>
      <c r="K2164" t="s">
        <v>19</v>
      </c>
      <c r="L2164" t="s">
        <v>62</v>
      </c>
      <c r="M2164">
        <f>orders[[#This Row],[Ship Date]]-orders[[#This Row],[Order Date]]</f>
        <v>2</v>
      </c>
      <c r="N2164">
        <f>WEEKNUM(orders[[#This Row],[Order Date]])</f>
        <v>12</v>
      </c>
      <c r="O2164" t="str">
        <f>_xlfn.IFS(orders[[#This Row],[Customer Gender]]="M","Male", orders[[#This Row],[Customer Gender]]="F","Female", orders[[#This Row],[Customer Gender]]="O","Other", TRUE,"Unknown")</f>
        <v>Male</v>
      </c>
    </row>
    <row r="2165" spans="1:15">
      <c r="A2165" t="s">
        <v>2266</v>
      </c>
      <c r="B2165" t="s">
        <v>39</v>
      </c>
      <c r="C2165">
        <v>4</v>
      </c>
      <c r="D2165">
        <v>64.7</v>
      </c>
      <c r="E2165">
        <v>258.8</v>
      </c>
      <c r="F2165" s="1">
        <v>45736</v>
      </c>
      <c r="G2165" s="1">
        <v>45736</v>
      </c>
      <c r="H2165" t="s">
        <v>23</v>
      </c>
      <c r="I2165" t="s">
        <v>51</v>
      </c>
      <c r="J2165">
        <v>5</v>
      </c>
      <c r="K2165" t="s">
        <v>19</v>
      </c>
      <c r="L2165" t="s">
        <v>62</v>
      </c>
      <c r="M2165">
        <f>orders[[#This Row],[Ship Date]]-orders[[#This Row],[Order Date]]</f>
        <v>0</v>
      </c>
      <c r="N2165">
        <f>WEEKNUM(orders[[#This Row],[Order Date]])</f>
        <v>12</v>
      </c>
      <c r="O2165" t="str">
        <f>_xlfn.IFS(orders[[#This Row],[Customer Gender]]="M","Male", orders[[#This Row],[Customer Gender]]="F","Female", orders[[#This Row],[Customer Gender]]="O","Other", TRUE,"Unknown")</f>
        <v>Male</v>
      </c>
    </row>
    <row r="2166" spans="1:15">
      <c r="A2166" t="s">
        <v>2267</v>
      </c>
      <c r="B2166" t="s">
        <v>54</v>
      </c>
      <c r="C2166">
        <v>6</v>
      </c>
      <c r="D2166">
        <v>30.5</v>
      </c>
      <c r="E2166">
        <v>183</v>
      </c>
      <c r="F2166" s="1">
        <v>45736</v>
      </c>
      <c r="G2166" s="1">
        <v>45737</v>
      </c>
      <c r="H2166" t="s">
        <v>23</v>
      </c>
      <c r="I2166" t="s">
        <v>70</v>
      </c>
      <c r="J2166">
        <v>4</v>
      </c>
      <c r="K2166" t="s">
        <v>19</v>
      </c>
      <c r="L2166" t="s">
        <v>62</v>
      </c>
      <c r="M2166">
        <f>orders[[#This Row],[Ship Date]]-orders[[#This Row],[Order Date]]</f>
        <v>1</v>
      </c>
      <c r="N2166">
        <f>WEEKNUM(orders[[#This Row],[Order Date]])</f>
        <v>12</v>
      </c>
      <c r="O2166" t="str">
        <f>_xlfn.IFS(orders[[#This Row],[Customer Gender]]="M","Male", orders[[#This Row],[Customer Gender]]="F","Female", orders[[#This Row],[Customer Gender]]="O","Other", TRUE,"Unknown")</f>
        <v>Male</v>
      </c>
    </row>
    <row r="2167" spans="1:15">
      <c r="A2167" t="s">
        <v>2268</v>
      </c>
      <c r="B2167" t="s">
        <v>39</v>
      </c>
      <c r="C2167">
        <v>70</v>
      </c>
      <c r="D2167">
        <v>106</v>
      </c>
      <c r="E2167">
        <v>7420</v>
      </c>
      <c r="F2167" s="1">
        <v>45737</v>
      </c>
      <c r="G2167" s="1">
        <v>45739</v>
      </c>
      <c r="H2167" t="s">
        <v>23</v>
      </c>
      <c r="I2167" t="s">
        <v>70</v>
      </c>
      <c r="J2167">
        <v>5</v>
      </c>
      <c r="K2167" t="s">
        <v>19</v>
      </c>
      <c r="L2167" t="s">
        <v>62</v>
      </c>
      <c r="M2167">
        <f>orders[[#This Row],[Ship Date]]-orders[[#This Row],[Order Date]]</f>
        <v>2</v>
      </c>
      <c r="N2167">
        <f>WEEKNUM(orders[[#This Row],[Order Date]])</f>
        <v>12</v>
      </c>
      <c r="O2167" t="str">
        <f>_xlfn.IFS(orders[[#This Row],[Customer Gender]]="M","Male", orders[[#This Row],[Customer Gender]]="F","Female", orders[[#This Row],[Customer Gender]]="O","Other", TRUE,"Unknown")</f>
        <v>Male</v>
      </c>
    </row>
    <row r="2168" spans="1:15">
      <c r="A2168" t="s">
        <v>2269</v>
      </c>
      <c r="B2168" t="s">
        <v>69</v>
      </c>
      <c r="C2168">
        <v>5</v>
      </c>
      <c r="D2168">
        <v>76.8</v>
      </c>
      <c r="E2168">
        <v>384</v>
      </c>
      <c r="F2168" s="1">
        <v>45737</v>
      </c>
      <c r="G2168" s="1">
        <v>45743</v>
      </c>
      <c r="H2168" t="s">
        <v>17</v>
      </c>
      <c r="I2168" t="s">
        <v>35</v>
      </c>
      <c r="J2168">
        <v>3</v>
      </c>
      <c r="K2168" t="s">
        <v>19</v>
      </c>
      <c r="L2168" t="s">
        <v>108</v>
      </c>
      <c r="M2168">
        <f>orders[[#This Row],[Ship Date]]-orders[[#This Row],[Order Date]]</f>
        <v>6</v>
      </c>
      <c r="N2168">
        <f>WEEKNUM(orders[[#This Row],[Order Date]])</f>
        <v>12</v>
      </c>
      <c r="O2168" t="str">
        <f>_xlfn.IFS(orders[[#This Row],[Customer Gender]]="M","Male", orders[[#This Row],[Customer Gender]]="F","Female", orders[[#This Row],[Customer Gender]]="O","Other", TRUE,"Unknown")</f>
        <v>Unknown</v>
      </c>
    </row>
    <row r="2169" spans="1:15">
      <c r="A2169" t="s">
        <v>2270</v>
      </c>
      <c r="B2169" t="s">
        <v>39</v>
      </c>
      <c r="C2169">
        <v>2</v>
      </c>
      <c r="D2169">
        <v>80.400000000000006</v>
      </c>
      <c r="E2169">
        <v>160.80000000000001</v>
      </c>
      <c r="F2169" s="1">
        <v>45737</v>
      </c>
      <c r="G2169" s="1">
        <v>45738</v>
      </c>
      <c r="H2169" t="s">
        <v>27</v>
      </c>
      <c r="I2169" t="s">
        <v>40</v>
      </c>
      <c r="J2169">
        <v>4</v>
      </c>
      <c r="K2169" t="s">
        <v>19</v>
      </c>
      <c r="L2169" t="s">
        <v>82</v>
      </c>
      <c r="M2169">
        <f>orders[[#This Row],[Ship Date]]-orders[[#This Row],[Order Date]]</f>
        <v>1</v>
      </c>
      <c r="N2169">
        <f>WEEKNUM(orders[[#This Row],[Order Date]])</f>
        <v>12</v>
      </c>
      <c r="O2169" t="str">
        <f>_xlfn.IFS(orders[[#This Row],[Customer Gender]]="M","Male", orders[[#This Row],[Customer Gender]]="F","Female", orders[[#This Row],[Customer Gender]]="O","Other", TRUE,"Unknown")</f>
        <v>Female</v>
      </c>
    </row>
    <row r="2170" spans="1:15">
      <c r="A2170" t="s">
        <v>2271</v>
      </c>
      <c r="B2170" t="s">
        <v>39</v>
      </c>
      <c r="C2170">
        <v>4</v>
      </c>
      <c r="D2170">
        <v>69.099999999999994</v>
      </c>
      <c r="E2170">
        <v>276.39999999999998</v>
      </c>
      <c r="F2170" s="1">
        <v>45737</v>
      </c>
      <c r="G2170" s="1">
        <v>45738</v>
      </c>
      <c r="H2170" t="s">
        <v>23</v>
      </c>
      <c r="I2170" t="s">
        <v>35</v>
      </c>
      <c r="J2170">
        <v>5</v>
      </c>
      <c r="K2170" t="s">
        <v>19</v>
      </c>
      <c r="L2170" t="s">
        <v>115</v>
      </c>
      <c r="M2170">
        <f>orders[[#This Row],[Ship Date]]-orders[[#This Row],[Order Date]]</f>
        <v>1</v>
      </c>
      <c r="N2170">
        <f>WEEKNUM(orders[[#This Row],[Order Date]])</f>
        <v>12</v>
      </c>
      <c r="O2170" t="str">
        <f>_xlfn.IFS(orders[[#This Row],[Customer Gender]]="M","Male", orders[[#This Row],[Customer Gender]]="F","Female", orders[[#This Row],[Customer Gender]]="O","Other", TRUE,"Unknown")</f>
        <v>Male</v>
      </c>
    </row>
    <row r="2171" spans="1:15">
      <c r="A2171" t="s">
        <v>2272</v>
      </c>
      <c r="B2171" t="s">
        <v>146</v>
      </c>
      <c r="C2171">
        <v>2</v>
      </c>
      <c r="D2171">
        <v>76.400000000000006</v>
      </c>
      <c r="E2171">
        <v>152.80000000000001</v>
      </c>
      <c r="F2171" s="1">
        <v>45737</v>
      </c>
      <c r="G2171" s="1">
        <v>45737</v>
      </c>
      <c r="H2171" t="s">
        <v>23</v>
      </c>
      <c r="I2171" t="s">
        <v>51</v>
      </c>
      <c r="J2171">
        <v>4</v>
      </c>
      <c r="K2171" t="s">
        <v>19</v>
      </c>
      <c r="L2171" t="s">
        <v>115</v>
      </c>
      <c r="M2171">
        <f>orders[[#This Row],[Ship Date]]-orders[[#This Row],[Order Date]]</f>
        <v>0</v>
      </c>
      <c r="N2171">
        <f>WEEKNUM(orders[[#This Row],[Order Date]])</f>
        <v>12</v>
      </c>
      <c r="O2171" t="str">
        <f>_xlfn.IFS(orders[[#This Row],[Customer Gender]]="M","Male", orders[[#This Row],[Customer Gender]]="F","Female", orders[[#This Row],[Customer Gender]]="O","Other", TRUE,"Unknown")</f>
        <v>Male</v>
      </c>
    </row>
    <row r="2172" spans="1:15">
      <c r="A2172" t="s">
        <v>2273</v>
      </c>
      <c r="B2172" t="s">
        <v>26</v>
      </c>
      <c r="C2172">
        <v>2</v>
      </c>
      <c r="D2172">
        <v>61.3</v>
      </c>
      <c r="E2172">
        <v>122.6</v>
      </c>
      <c r="F2172" s="1">
        <v>45737</v>
      </c>
      <c r="G2172" s="1">
        <v>45738</v>
      </c>
      <c r="H2172" t="s">
        <v>27</v>
      </c>
      <c r="I2172" t="s">
        <v>35</v>
      </c>
      <c r="J2172">
        <v>3</v>
      </c>
      <c r="K2172" t="s">
        <v>19</v>
      </c>
      <c r="L2172" t="s">
        <v>115</v>
      </c>
      <c r="M2172">
        <f>orders[[#This Row],[Ship Date]]-orders[[#This Row],[Order Date]]</f>
        <v>1</v>
      </c>
      <c r="N2172">
        <f>WEEKNUM(orders[[#This Row],[Order Date]])</f>
        <v>12</v>
      </c>
      <c r="O2172" t="str">
        <f>_xlfn.IFS(orders[[#This Row],[Customer Gender]]="M","Male", orders[[#This Row],[Customer Gender]]="F","Female", orders[[#This Row],[Customer Gender]]="O","Other", TRUE,"Unknown")</f>
        <v>Female</v>
      </c>
    </row>
    <row r="2173" spans="1:15">
      <c r="A2173" t="s">
        <v>2274</v>
      </c>
      <c r="B2173" t="s">
        <v>42</v>
      </c>
      <c r="C2173">
        <v>1</v>
      </c>
      <c r="D2173">
        <v>58</v>
      </c>
      <c r="E2173">
        <v>58</v>
      </c>
      <c r="F2173" s="1">
        <v>45737</v>
      </c>
      <c r="G2173" s="1">
        <v>45738</v>
      </c>
      <c r="H2173" t="s">
        <v>23</v>
      </c>
      <c r="I2173" t="s">
        <v>51</v>
      </c>
      <c r="J2173">
        <v>3</v>
      </c>
      <c r="K2173" t="s">
        <v>19</v>
      </c>
      <c r="L2173" t="s">
        <v>24</v>
      </c>
      <c r="M2173">
        <f>orders[[#This Row],[Ship Date]]-orders[[#This Row],[Order Date]]</f>
        <v>1</v>
      </c>
      <c r="N2173">
        <f>WEEKNUM(orders[[#This Row],[Order Date]])</f>
        <v>12</v>
      </c>
      <c r="O2173" t="str">
        <f>_xlfn.IFS(orders[[#This Row],[Customer Gender]]="M","Male", orders[[#This Row],[Customer Gender]]="F","Female", orders[[#This Row],[Customer Gender]]="O","Other", TRUE,"Unknown")</f>
        <v>Male</v>
      </c>
    </row>
    <row r="2174" spans="1:15">
      <c r="A2174" t="s">
        <v>2275</v>
      </c>
      <c r="B2174" t="s">
        <v>26</v>
      </c>
      <c r="C2174">
        <v>8</v>
      </c>
      <c r="D2174">
        <v>102.3</v>
      </c>
      <c r="E2174">
        <v>818.4</v>
      </c>
      <c r="F2174" s="1">
        <v>45737</v>
      </c>
      <c r="G2174" s="1">
        <v>45739</v>
      </c>
      <c r="H2174" t="s">
        <v>23</v>
      </c>
      <c r="I2174" t="s">
        <v>40</v>
      </c>
      <c r="J2174">
        <v>4</v>
      </c>
      <c r="K2174" t="s">
        <v>19</v>
      </c>
      <c r="L2174" t="s">
        <v>437</v>
      </c>
      <c r="M2174">
        <f>orders[[#This Row],[Ship Date]]-orders[[#This Row],[Order Date]]</f>
        <v>2</v>
      </c>
      <c r="N2174">
        <f>WEEKNUM(orders[[#This Row],[Order Date]])</f>
        <v>12</v>
      </c>
      <c r="O2174" t="str">
        <f>_xlfn.IFS(orders[[#This Row],[Customer Gender]]="M","Male", orders[[#This Row],[Customer Gender]]="F","Female", orders[[#This Row],[Customer Gender]]="O","Other", TRUE,"Unknown")</f>
        <v>Male</v>
      </c>
    </row>
    <row r="2175" spans="1:15">
      <c r="A2175" t="s">
        <v>2276</v>
      </c>
      <c r="B2175" t="s">
        <v>171</v>
      </c>
      <c r="C2175">
        <v>2</v>
      </c>
      <c r="D2175">
        <v>13.8</v>
      </c>
      <c r="E2175">
        <v>27.6</v>
      </c>
      <c r="F2175" s="1">
        <v>45737</v>
      </c>
      <c r="G2175" s="1">
        <v>45738</v>
      </c>
      <c r="H2175" t="s">
        <v>27</v>
      </c>
      <c r="I2175" t="s">
        <v>70</v>
      </c>
      <c r="J2175">
        <v>5</v>
      </c>
      <c r="K2175" t="s">
        <v>19</v>
      </c>
      <c r="L2175" t="s">
        <v>28</v>
      </c>
      <c r="M2175">
        <f>orders[[#This Row],[Ship Date]]-orders[[#This Row],[Order Date]]</f>
        <v>1</v>
      </c>
      <c r="N2175">
        <f>WEEKNUM(orders[[#This Row],[Order Date]])</f>
        <v>12</v>
      </c>
      <c r="O2175" t="str">
        <f>_xlfn.IFS(orders[[#This Row],[Customer Gender]]="M","Male", orders[[#This Row],[Customer Gender]]="F","Female", orders[[#This Row],[Customer Gender]]="O","Other", TRUE,"Unknown")</f>
        <v>Female</v>
      </c>
    </row>
    <row r="2176" spans="1:15">
      <c r="A2176" t="s">
        <v>2277</v>
      </c>
      <c r="B2176" t="s">
        <v>44</v>
      </c>
      <c r="C2176">
        <v>3</v>
      </c>
      <c r="D2176">
        <v>33.299999999999997</v>
      </c>
      <c r="E2176">
        <v>99.899999999999991</v>
      </c>
      <c r="F2176" s="1">
        <v>45737</v>
      </c>
      <c r="G2176" s="1">
        <v>45740</v>
      </c>
      <c r="H2176" t="s">
        <v>27</v>
      </c>
      <c r="I2176" t="s">
        <v>40</v>
      </c>
      <c r="J2176">
        <v>4</v>
      </c>
      <c r="K2176" t="s">
        <v>19</v>
      </c>
      <c r="L2176" t="s">
        <v>147</v>
      </c>
      <c r="M2176">
        <f>orders[[#This Row],[Ship Date]]-orders[[#This Row],[Order Date]]</f>
        <v>3</v>
      </c>
      <c r="N2176">
        <f>WEEKNUM(orders[[#This Row],[Order Date]])</f>
        <v>12</v>
      </c>
      <c r="O2176" t="str">
        <f>_xlfn.IFS(orders[[#This Row],[Customer Gender]]="M","Male", orders[[#This Row],[Customer Gender]]="F","Female", orders[[#This Row],[Customer Gender]]="O","Other", TRUE,"Unknown")</f>
        <v>Female</v>
      </c>
    </row>
    <row r="2177" spans="1:15">
      <c r="A2177" t="s">
        <v>2278</v>
      </c>
      <c r="B2177" t="s">
        <v>54</v>
      </c>
      <c r="C2177">
        <v>1</v>
      </c>
      <c r="D2177">
        <v>27.4</v>
      </c>
      <c r="E2177">
        <v>27.4</v>
      </c>
      <c r="F2177" s="1">
        <v>45737</v>
      </c>
      <c r="G2177" s="1">
        <v>45740</v>
      </c>
      <c r="H2177" t="s">
        <v>23</v>
      </c>
      <c r="I2177" t="s">
        <v>18</v>
      </c>
      <c r="J2177">
        <v>5</v>
      </c>
      <c r="K2177" t="s">
        <v>19</v>
      </c>
      <c r="L2177" t="s">
        <v>147</v>
      </c>
      <c r="M2177">
        <f>orders[[#This Row],[Ship Date]]-orders[[#This Row],[Order Date]]</f>
        <v>3</v>
      </c>
      <c r="N2177">
        <f>WEEKNUM(orders[[#This Row],[Order Date]])</f>
        <v>12</v>
      </c>
      <c r="O2177" t="str">
        <f>_xlfn.IFS(orders[[#This Row],[Customer Gender]]="M","Male", orders[[#This Row],[Customer Gender]]="F","Female", orders[[#This Row],[Customer Gender]]="O","Other", TRUE,"Unknown")</f>
        <v>Male</v>
      </c>
    </row>
    <row r="2178" spans="1:15">
      <c r="A2178" t="s">
        <v>2279</v>
      </c>
      <c r="B2178" t="s">
        <v>81</v>
      </c>
      <c r="C2178">
        <v>2</v>
      </c>
      <c r="D2178">
        <v>25.6</v>
      </c>
      <c r="E2178">
        <v>51.2</v>
      </c>
      <c r="F2178" s="1">
        <v>45737</v>
      </c>
      <c r="G2178" s="1">
        <v>45738</v>
      </c>
      <c r="H2178" t="s">
        <v>27</v>
      </c>
      <c r="I2178" t="s">
        <v>35</v>
      </c>
      <c r="J2178">
        <v>3</v>
      </c>
      <c r="K2178" t="s">
        <v>19</v>
      </c>
      <c r="L2178" t="s">
        <v>33</v>
      </c>
      <c r="M2178">
        <f>orders[[#This Row],[Ship Date]]-orders[[#This Row],[Order Date]]</f>
        <v>1</v>
      </c>
      <c r="N2178">
        <f>WEEKNUM(orders[[#This Row],[Order Date]])</f>
        <v>12</v>
      </c>
      <c r="O2178" t="str">
        <f>_xlfn.IFS(orders[[#This Row],[Customer Gender]]="M","Male", orders[[#This Row],[Customer Gender]]="F","Female", orders[[#This Row],[Customer Gender]]="O","Other", TRUE,"Unknown")</f>
        <v>Female</v>
      </c>
    </row>
    <row r="2179" spans="1:15">
      <c r="A2179" t="s">
        <v>2280</v>
      </c>
      <c r="B2179" t="s">
        <v>76</v>
      </c>
      <c r="C2179">
        <v>1</v>
      </c>
      <c r="D2179">
        <v>58.4</v>
      </c>
      <c r="E2179">
        <v>58.4</v>
      </c>
      <c r="F2179" s="1">
        <v>45737</v>
      </c>
      <c r="G2179" s="1">
        <v>45738</v>
      </c>
      <c r="H2179" t="s">
        <v>27</v>
      </c>
      <c r="I2179" t="s">
        <v>40</v>
      </c>
      <c r="J2179">
        <v>5</v>
      </c>
      <c r="K2179" t="s">
        <v>19</v>
      </c>
      <c r="L2179" t="s">
        <v>33</v>
      </c>
      <c r="M2179">
        <f>orders[[#This Row],[Ship Date]]-orders[[#This Row],[Order Date]]</f>
        <v>1</v>
      </c>
      <c r="N2179">
        <f>WEEKNUM(orders[[#This Row],[Order Date]])</f>
        <v>12</v>
      </c>
      <c r="O2179" t="str">
        <f>_xlfn.IFS(orders[[#This Row],[Customer Gender]]="M","Male", orders[[#This Row],[Customer Gender]]="F","Female", orders[[#This Row],[Customer Gender]]="O","Other", TRUE,"Unknown")</f>
        <v>Female</v>
      </c>
    </row>
    <row r="2180" spans="1:15">
      <c r="A2180" t="s">
        <v>2281</v>
      </c>
      <c r="B2180" t="s">
        <v>67</v>
      </c>
      <c r="C2180">
        <v>30</v>
      </c>
      <c r="D2180">
        <v>27</v>
      </c>
      <c r="E2180">
        <v>810</v>
      </c>
      <c r="F2180" s="1">
        <v>45737</v>
      </c>
      <c r="G2180" s="1">
        <v>45738</v>
      </c>
      <c r="H2180" t="s">
        <v>27</v>
      </c>
      <c r="I2180" t="s">
        <v>70</v>
      </c>
      <c r="J2180">
        <v>4</v>
      </c>
      <c r="K2180" t="s">
        <v>19</v>
      </c>
      <c r="L2180" t="s">
        <v>33</v>
      </c>
      <c r="M2180">
        <f>orders[[#This Row],[Ship Date]]-orders[[#This Row],[Order Date]]</f>
        <v>1</v>
      </c>
      <c r="N2180">
        <f>WEEKNUM(orders[[#This Row],[Order Date]])</f>
        <v>12</v>
      </c>
      <c r="O2180" t="str">
        <f>_xlfn.IFS(orders[[#This Row],[Customer Gender]]="M","Male", orders[[#This Row],[Customer Gender]]="F","Female", orders[[#This Row],[Customer Gender]]="O","Other", TRUE,"Unknown")</f>
        <v>Female</v>
      </c>
    </row>
    <row r="2181" spans="1:15">
      <c r="A2181" t="s">
        <v>2282</v>
      </c>
      <c r="B2181" t="s">
        <v>16</v>
      </c>
      <c r="C2181">
        <v>4</v>
      </c>
      <c r="D2181">
        <v>14.2</v>
      </c>
      <c r="E2181">
        <v>56.8</v>
      </c>
      <c r="F2181" s="1">
        <v>45737</v>
      </c>
      <c r="G2181" s="1">
        <v>45738</v>
      </c>
      <c r="H2181" t="s">
        <v>23</v>
      </c>
      <c r="I2181" t="s">
        <v>18</v>
      </c>
      <c r="J2181">
        <v>5</v>
      </c>
      <c r="K2181" t="s">
        <v>19</v>
      </c>
      <c r="L2181" t="s">
        <v>33</v>
      </c>
      <c r="M2181">
        <f>orders[[#This Row],[Ship Date]]-orders[[#This Row],[Order Date]]</f>
        <v>1</v>
      </c>
      <c r="N2181">
        <f>WEEKNUM(orders[[#This Row],[Order Date]])</f>
        <v>12</v>
      </c>
      <c r="O2181" t="str">
        <f>_xlfn.IFS(orders[[#This Row],[Customer Gender]]="M","Male", orders[[#This Row],[Customer Gender]]="F","Female", orders[[#This Row],[Customer Gender]]="O","Other", TRUE,"Unknown")</f>
        <v>Male</v>
      </c>
    </row>
    <row r="2182" spans="1:15">
      <c r="A2182" t="s">
        <v>2283</v>
      </c>
      <c r="B2182" t="s">
        <v>42</v>
      </c>
      <c r="C2182">
        <v>2</v>
      </c>
      <c r="D2182">
        <v>68</v>
      </c>
      <c r="E2182">
        <v>136</v>
      </c>
      <c r="F2182" s="1">
        <v>45737</v>
      </c>
      <c r="G2182" s="1">
        <v>45747</v>
      </c>
      <c r="H2182" t="s">
        <v>23</v>
      </c>
      <c r="I2182" t="s">
        <v>40</v>
      </c>
      <c r="J2182">
        <v>3</v>
      </c>
      <c r="K2182" t="s">
        <v>19</v>
      </c>
      <c r="L2182" t="s">
        <v>33</v>
      </c>
      <c r="M2182">
        <f>orders[[#This Row],[Ship Date]]-orders[[#This Row],[Order Date]]</f>
        <v>10</v>
      </c>
      <c r="N2182">
        <f>WEEKNUM(orders[[#This Row],[Order Date]])</f>
        <v>12</v>
      </c>
      <c r="O2182" t="str">
        <f>_xlfn.IFS(orders[[#This Row],[Customer Gender]]="M","Male", orders[[#This Row],[Customer Gender]]="F","Female", orders[[#This Row],[Customer Gender]]="O","Other", TRUE,"Unknown")</f>
        <v>Male</v>
      </c>
    </row>
    <row r="2183" spans="1:15">
      <c r="A2183" t="s">
        <v>2284</v>
      </c>
      <c r="B2183" t="s">
        <v>44</v>
      </c>
      <c r="C2183">
        <v>1</v>
      </c>
      <c r="D2183">
        <v>30.7</v>
      </c>
      <c r="E2183">
        <v>30.7</v>
      </c>
      <c r="F2183" s="1">
        <v>45737</v>
      </c>
      <c r="G2183" s="1">
        <v>45738</v>
      </c>
      <c r="H2183" t="s">
        <v>23</v>
      </c>
      <c r="I2183" t="s">
        <v>18</v>
      </c>
      <c r="J2183">
        <v>4</v>
      </c>
      <c r="K2183" t="s">
        <v>19</v>
      </c>
      <c r="L2183" t="s">
        <v>33</v>
      </c>
      <c r="M2183">
        <f>orders[[#This Row],[Ship Date]]-orders[[#This Row],[Order Date]]</f>
        <v>1</v>
      </c>
      <c r="N2183">
        <f>WEEKNUM(orders[[#This Row],[Order Date]])</f>
        <v>12</v>
      </c>
      <c r="O2183" t="str">
        <f>_xlfn.IFS(orders[[#This Row],[Customer Gender]]="M","Male", orders[[#This Row],[Customer Gender]]="F","Female", orders[[#This Row],[Customer Gender]]="O","Other", TRUE,"Unknown")</f>
        <v>Male</v>
      </c>
    </row>
    <row r="2184" spans="1:15">
      <c r="A2184" t="s">
        <v>2285</v>
      </c>
      <c r="B2184" t="s">
        <v>135</v>
      </c>
      <c r="C2184">
        <v>13</v>
      </c>
      <c r="D2184">
        <v>51.6</v>
      </c>
      <c r="E2184">
        <v>670.80000000000007</v>
      </c>
      <c r="F2184" s="1">
        <v>45737</v>
      </c>
      <c r="G2184" s="1">
        <v>45740</v>
      </c>
      <c r="H2184" t="s">
        <v>89</v>
      </c>
      <c r="I2184" t="s">
        <v>35</v>
      </c>
      <c r="J2184">
        <v>5</v>
      </c>
      <c r="K2184" t="s">
        <v>19</v>
      </c>
      <c r="L2184" t="s">
        <v>33</v>
      </c>
      <c r="M2184">
        <f>orders[[#This Row],[Ship Date]]-orders[[#This Row],[Order Date]]</f>
        <v>3</v>
      </c>
      <c r="N2184">
        <f>WEEKNUM(orders[[#This Row],[Order Date]])</f>
        <v>12</v>
      </c>
      <c r="O2184" t="str">
        <f>_xlfn.IFS(orders[[#This Row],[Customer Gender]]="M","Male", orders[[#This Row],[Customer Gender]]="F","Female", orders[[#This Row],[Customer Gender]]="O","Other", TRUE,"Unknown")</f>
        <v>Other</v>
      </c>
    </row>
    <row r="2185" spans="1:15">
      <c r="A2185" t="s">
        <v>2286</v>
      </c>
      <c r="B2185" t="s">
        <v>44</v>
      </c>
      <c r="C2185">
        <v>3</v>
      </c>
      <c r="D2185">
        <v>20.6</v>
      </c>
      <c r="E2185">
        <v>61.800000000000004</v>
      </c>
      <c r="F2185" s="1">
        <v>45737</v>
      </c>
      <c r="G2185" s="1">
        <v>45741</v>
      </c>
      <c r="H2185" t="s">
        <v>27</v>
      </c>
      <c r="I2185" t="s">
        <v>70</v>
      </c>
      <c r="J2185">
        <v>5</v>
      </c>
      <c r="K2185" t="s">
        <v>19</v>
      </c>
      <c r="L2185" t="s">
        <v>33</v>
      </c>
      <c r="M2185">
        <f>orders[[#This Row],[Ship Date]]-orders[[#This Row],[Order Date]]</f>
        <v>4</v>
      </c>
      <c r="N2185">
        <f>WEEKNUM(orders[[#This Row],[Order Date]])</f>
        <v>12</v>
      </c>
      <c r="O2185" t="str">
        <f>_xlfn.IFS(orders[[#This Row],[Customer Gender]]="M","Male", orders[[#This Row],[Customer Gender]]="F","Female", orders[[#This Row],[Customer Gender]]="O","Other", TRUE,"Unknown")</f>
        <v>Female</v>
      </c>
    </row>
    <row r="2186" spans="1:15">
      <c r="A2186" t="s">
        <v>2287</v>
      </c>
      <c r="B2186" t="s">
        <v>44</v>
      </c>
      <c r="C2186">
        <v>1</v>
      </c>
      <c r="D2186">
        <v>24.8</v>
      </c>
      <c r="E2186">
        <v>24.8</v>
      </c>
      <c r="F2186" s="1">
        <v>45737</v>
      </c>
      <c r="G2186" s="1">
        <v>45738</v>
      </c>
      <c r="H2186" t="s">
        <v>23</v>
      </c>
      <c r="I2186" t="s">
        <v>70</v>
      </c>
      <c r="J2186">
        <v>4</v>
      </c>
      <c r="K2186" t="s">
        <v>19</v>
      </c>
      <c r="L2186" t="s">
        <v>33</v>
      </c>
      <c r="M2186">
        <f>orders[[#This Row],[Ship Date]]-orders[[#This Row],[Order Date]]</f>
        <v>1</v>
      </c>
      <c r="N2186">
        <f>WEEKNUM(orders[[#This Row],[Order Date]])</f>
        <v>12</v>
      </c>
      <c r="O2186" t="str">
        <f>_xlfn.IFS(orders[[#This Row],[Customer Gender]]="M","Male", orders[[#This Row],[Customer Gender]]="F","Female", orders[[#This Row],[Customer Gender]]="O","Other", TRUE,"Unknown")</f>
        <v>Male</v>
      </c>
    </row>
    <row r="2187" spans="1:15">
      <c r="A2187" t="s">
        <v>2288</v>
      </c>
      <c r="B2187" t="s">
        <v>16</v>
      </c>
      <c r="C2187">
        <v>7</v>
      </c>
      <c r="D2187">
        <v>11.2</v>
      </c>
      <c r="E2187">
        <v>78.399999999999991</v>
      </c>
      <c r="F2187" s="1">
        <v>45737</v>
      </c>
      <c r="G2187" s="1">
        <v>45740</v>
      </c>
      <c r="H2187" t="s">
        <v>23</v>
      </c>
      <c r="I2187" t="s">
        <v>35</v>
      </c>
      <c r="J2187">
        <v>4</v>
      </c>
      <c r="K2187" t="s">
        <v>19</v>
      </c>
      <c r="L2187" t="s">
        <v>33</v>
      </c>
      <c r="M2187">
        <f>orders[[#This Row],[Ship Date]]-orders[[#This Row],[Order Date]]</f>
        <v>3</v>
      </c>
      <c r="N2187">
        <f>WEEKNUM(orders[[#This Row],[Order Date]])</f>
        <v>12</v>
      </c>
      <c r="O2187" t="str">
        <f>_xlfn.IFS(orders[[#This Row],[Customer Gender]]="M","Male", orders[[#This Row],[Customer Gender]]="F","Female", orders[[#This Row],[Customer Gender]]="O","Other", TRUE,"Unknown")</f>
        <v>Male</v>
      </c>
    </row>
    <row r="2188" spans="1:15">
      <c r="A2188" t="s">
        <v>2289</v>
      </c>
      <c r="B2188" t="s">
        <v>67</v>
      </c>
      <c r="C2188">
        <v>2</v>
      </c>
      <c r="D2188">
        <v>51.2</v>
      </c>
      <c r="E2188">
        <v>102.4</v>
      </c>
      <c r="F2188" s="1">
        <v>45737</v>
      </c>
      <c r="G2188" s="1">
        <v>45738</v>
      </c>
      <c r="H2188" t="s">
        <v>27</v>
      </c>
      <c r="I2188" t="s">
        <v>35</v>
      </c>
      <c r="J2188">
        <v>5</v>
      </c>
      <c r="K2188" t="s">
        <v>19</v>
      </c>
      <c r="L2188" t="s">
        <v>33</v>
      </c>
      <c r="M2188">
        <f>orders[[#This Row],[Ship Date]]-orders[[#This Row],[Order Date]]</f>
        <v>1</v>
      </c>
      <c r="N2188">
        <f>WEEKNUM(orders[[#This Row],[Order Date]])</f>
        <v>12</v>
      </c>
      <c r="O2188" t="str">
        <f>_xlfn.IFS(orders[[#This Row],[Customer Gender]]="M","Male", orders[[#This Row],[Customer Gender]]="F","Female", orders[[#This Row],[Customer Gender]]="O","Other", TRUE,"Unknown")</f>
        <v>Female</v>
      </c>
    </row>
    <row r="2189" spans="1:15">
      <c r="A2189" t="s">
        <v>2290</v>
      </c>
      <c r="B2189" t="s">
        <v>42</v>
      </c>
      <c r="C2189">
        <v>6</v>
      </c>
      <c r="D2189">
        <v>90.5</v>
      </c>
      <c r="E2189">
        <v>543</v>
      </c>
      <c r="F2189" s="1">
        <v>45737</v>
      </c>
      <c r="G2189" s="1">
        <v>45738</v>
      </c>
      <c r="H2189" t="s">
        <v>27</v>
      </c>
      <c r="I2189" t="s">
        <v>35</v>
      </c>
      <c r="J2189">
        <v>2</v>
      </c>
      <c r="K2189" t="s">
        <v>19</v>
      </c>
      <c r="L2189" t="s">
        <v>33</v>
      </c>
      <c r="M2189">
        <f>orders[[#This Row],[Ship Date]]-orders[[#This Row],[Order Date]]</f>
        <v>1</v>
      </c>
      <c r="N2189">
        <f>WEEKNUM(orders[[#This Row],[Order Date]])</f>
        <v>12</v>
      </c>
      <c r="O2189" t="str">
        <f>_xlfn.IFS(orders[[#This Row],[Customer Gender]]="M","Male", orders[[#This Row],[Customer Gender]]="F","Female", orders[[#This Row],[Customer Gender]]="O","Other", TRUE,"Unknown")</f>
        <v>Female</v>
      </c>
    </row>
    <row r="2190" spans="1:15">
      <c r="A2190" t="s">
        <v>2291</v>
      </c>
      <c r="B2190" t="s">
        <v>22</v>
      </c>
      <c r="C2190">
        <v>2</v>
      </c>
      <c r="D2190">
        <v>42.4</v>
      </c>
      <c r="E2190">
        <v>84.8</v>
      </c>
      <c r="F2190" s="1">
        <v>45737</v>
      </c>
      <c r="G2190" s="1">
        <v>45738</v>
      </c>
      <c r="H2190" t="s">
        <v>23</v>
      </c>
      <c r="I2190" t="s">
        <v>35</v>
      </c>
      <c r="J2190">
        <v>5</v>
      </c>
      <c r="K2190" t="s">
        <v>19</v>
      </c>
      <c r="L2190" t="s">
        <v>49</v>
      </c>
      <c r="M2190">
        <f>orders[[#This Row],[Ship Date]]-orders[[#This Row],[Order Date]]</f>
        <v>1</v>
      </c>
      <c r="N2190">
        <f>WEEKNUM(orders[[#This Row],[Order Date]])</f>
        <v>12</v>
      </c>
      <c r="O2190" t="str">
        <f>_xlfn.IFS(orders[[#This Row],[Customer Gender]]="M","Male", orders[[#This Row],[Customer Gender]]="F","Female", orders[[#This Row],[Customer Gender]]="O","Other", TRUE,"Unknown")</f>
        <v>Male</v>
      </c>
    </row>
    <row r="2191" spans="1:15">
      <c r="A2191" t="s">
        <v>2292</v>
      </c>
      <c r="B2191" t="s">
        <v>22</v>
      </c>
      <c r="C2191">
        <v>2</v>
      </c>
      <c r="D2191">
        <v>38.200000000000003</v>
      </c>
      <c r="E2191">
        <v>76.400000000000006</v>
      </c>
      <c r="F2191" s="1">
        <v>45737</v>
      </c>
      <c r="G2191" s="1">
        <v>45738</v>
      </c>
      <c r="H2191" t="s">
        <v>23</v>
      </c>
      <c r="I2191" t="s">
        <v>18</v>
      </c>
      <c r="J2191">
        <v>4</v>
      </c>
      <c r="K2191" t="s">
        <v>19</v>
      </c>
      <c r="L2191" t="s">
        <v>52</v>
      </c>
      <c r="M2191">
        <f>orders[[#This Row],[Ship Date]]-orders[[#This Row],[Order Date]]</f>
        <v>1</v>
      </c>
      <c r="N2191">
        <f>WEEKNUM(orders[[#This Row],[Order Date]])</f>
        <v>12</v>
      </c>
      <c r="O2191" t="str">
        <f>_xlfn.IFS(orders[[#This Row],[Customer Gender]]="M","Male", orders[[#This Row],[Customer Gender]]="F","Female", orders[[#This Row],[Customer Gender]]="O","Other", TRUE,"Unknown")</f>
        <v>Male</v>
      </c>
    </row>
    <row r="2192" spans="1:15">
      <c r="A2192" t="s">
        <v>2293</v>
      </c>
      <c r="B2192" t="s">
        <v>26</v>
      </c>
      <c r="C2192">
        <v>9</v>
      </c>
      <c r="D2192">
        <v>121.3</v>
      </c>
      <c r="E2192">
        <v>1091.7</v>
      </c>
      <c r="F2192" s="1">
        <v>45737</v>
      </c>
      <c r="G2192" s="1">
        <v>45742</v>
      </c>
      <c r="H2192" t="s">
        <v>23</v>
      </c>
      <c r="I2192" t="s">
        <v>18</v>
      </c>
      <c r="J2192">
        <v>4</v>
      </c>
      <c r="K2192" t="s">
        <v>19</v>
      </c>
      <c r="L2192" t="s">
        <v>55</v>
      </c>
      <c r="M2192">
        <f>orders[[#This Row],[Ship Date]]-orders[[#This Row],[Order Date]]</f>
        <v>5</v>
      </c>
      <c r="N2192">
        <f>WEEKNUM(orders[[#This Row],[Order Date]])</f>
        <v>12</v>
      </c>
      <c r="O2192" t="str">
        <f>_xlfn.IFS(orders[[#This Row],[Customer Gender]]="M","Male", orders[[#This Row],[Customer Gender]]="F","Female", orders[[#This Row],[Customer Gender]]="O","Other", TRUE,"Unknown")</f>
        <v>Male</v>
      </c>
    </row>
    <row r="2193" spans="1:15">
      <c r="A2193" t="s">
        <v>2294</v>
      </c>
      <c r="B2193" t="s">
        <v>39</v>
      </c>
      <c r="C2193">
        <v>2</v>
      </c>
      <c r="D2193">
        <v>46.9</v>
      </c>
      <c r="E2193">
        <v>93.8</v>
      </c>
      <c r="F2193" s="1">
        <v>45737</v>
      </c>
      <c r="G2193" s="1">
        <v>45744</v>
      </c>
      <c r="H2193" t="s">
        <v>23</v>
      </c>
      <c r="I2193" t="s">
        <v>18</v>
      </c>
      <c r="J2193">
        <v>4</v>
      </c>
      <c r="K2193" t="s">
        <v>19</v>
      </c>
      <c r="L2193" t="s">
        <v>62</v>
      </c>
      <c r="M2193">
        <f>orders[[#This Row],[Ship Date]]-orders[[#This Row],[Order Date]]</f>
        <v>7</v>
      </c>
      <c r="N2193">
        <f>WEEKNUM(orders[[#This Row],[Order Date]])</f>
        <v>12</v>
      </c>
      <c r="O2193" t="str">
        <f>_xlfn.IFS(orders[[#This Row],[Customer Gender]]="M","Male", orders[[#This Row],[Customer Gender]]="F","Female", orders[[#This Row],[Customer Gender]]="O","Other", TRUE,"Unknown")</f>
        <v>Male</v>
      </c>
    </row>
    <row r="2194" spans="1:15">
      <c r="A2194" t="s">
        <v>2295</v>
      </c>
      <c r="B2194" t="s">
        <v>54</v>
      </c>
      <c r="C2194">
        <v>1</v>
      </c>
      <c r="D2194">
        <v>55.3</v>
      </c>
      <c r="E2194">
        <v>55.3</v>
      </c>
      <c r="F2194" s="1">
        <v>45737</v>
      </c>
      <c r="G2194" s="1">
        <v>45739</v>
      </c>
      <c r="H2194" t="s">
        <v>23</v>
      </c>
      <c r="I2194" t="s">
        <v>18</v>
      </c>
      <c r="J2194">
        <v>4</v>
      </c>
      <c r="K2194" t="s">
        <v>19</v>
      </c>
      <c r="L2194" t="s">
        <v>62</v>
      </c>
      <c r="M2194">
        <f>orders[[#This Row],[Ship Date]]-orders[[#This Row],[Order Date]]</f>
        <v>2</v>
      </c>
      <c r="N2194">
        <f>WEEKNUM(orders[[#This Row],[Order Date]])</f>
        <v>12</v>
      </c>
      <c r="O2194" t="str">
        <f>_xlfn.IFS(orders[[#This Row],[Customer Gender]]="M","Male", orders[[#This Row],[Customer Gender]]="F","Female", orders[[#This Row],[Customer Gender]]="O","Other", TRUE,"Unknown")</f>
        <v>Male</v>
      </c>
    </row>
    <row r="2195" spans="1:15">
      <c r="A2195" t="s">
        <v>2144</v>
      </c>
      <c r="B2195" t="s">
        <v>39</v>
      </c>
      <c r="C2195">
        <v>1</v>
      </c>
      <c r="D2195">
        <v>53.2</v>
      </c>
      <c r="E2195">
        <v>53.2</v>
      </c>
      <c r="F2195" s="1">
        <v>45732</v>
      </c>
      <c r="G2195" s="1">
        <v>45733</v>
      </c>
      <c r="H2195" t="s">
        <v>27</v>
      </c>
      <c r="I2195" t="s">
        <v>18</v>
      </c>
      <c r="J2195">
        <v>3</v>
      </c>
      <c r="K2195" t="s">
        <v>19</v>
      </c>
      <c r="L2195" t="s">
        <v>147</v>
      </c>
      <c r="M2195">
        <f>orders[[#This Row],[Ship Date]]-orders[[#This Row],[Order Date]]</f>
        <v>1</v>
      </c>
      <c r="N2195">
        <f>WEEKNUM(orders[[#This Row],[Order Date]])</f>
        <v>12</v>
      </c>
      <c r="O2195" t="str">
        <f>_xlfn.IFS(orders[[#This Row],[Customer Gender]]="M","Male", orders[[#This Row],[Customer Gender]]="F","Female", orders[[#This Row],[Customer Gender]]="O","Other", TRUE,"Unknown")</f>
        <v>Female</v>
      </c>
    </row>
    <row r="2196" spans="1:15">
      <c r="A2196" t="s">
        <v>2297</v>
      </c>
      <c r="B2196" t="s">
        <v>81</v>
      </c>
      <c r="C2196">
        <v>4</v>
      </c>
      <c r="D2196">
        <v>26.1</v>
      </c>
      <c r="E2196">
        <v>104.4</v>
      </c>
      <c r="F2196" s="1">
        <v>45738</v>
      </c>
      <c r="G2196" s="1">
        <v>45740</v>
      </c>
      <c r="H2196" t="s">
        <v>23</v>
      </c>
      <c r="I2196" t="s">
        <v>18</v>
      </c>
      <c r="J2196">
        <v>4</v>
      </c>
      <c r="K2196" t="s">
        <v>19</v>
      </c>
      <c r="L2196" t="s">
        <v>62</v>
      </c>
      <c r="M2196">
        <f>orders[[#This Row],[Ship Date]]-orders[[#This Row],[Order Date]]</f>
        <v>2</v>
      </c>
      <c r="N2196">
        <f>WEEKNUM(orders[[#This Row],[Order Date]])</f>
        <v>12</v>
      </c>
      <c r="O2196" t="str">
        <f>_xlfn.IFS(orders[[#This Row],[Customer Gender]]="M","Male", orders[[#This Row],[Customer Gender]]="F","Female", orders[[#This Row],[Customer Gender]]="O","Other", TRUE,"Unknown")</f>
        <v>Male</v>
      </c>
    </row>
    <row r="2197" spans="1:15">
      <c r="A2197" t="s">
        <v>2298</v>
      </c>
      <c r="B2197" t="s">
        <v>46</v>
      </c>
      <c r="C2197">
        <v>11</v>
      </c>
      <c r="D2197">
        <v>34.5</v>
      </c>
      <c r="E2197">
        <v>379.5</v>
      </c>
      <c r="F2197" s="1">
        <v>45738</v>
      </c>
      <c r="G2197" s="1">
        <v>45742</v>
      </c>
      <c r="H2197" t="s">
        <v>23</v>
      </c>
      <c r="I2197" t="s">
        <v>40</v>
      </c>
      <c r="J2197">
        <v>4</v>
      </c>
      <c r="K2197" t="s">
        <v>19</v>
      </c>
      <c r="L2197" t="s">
        <v>103</v>
      </c>
      <c r="M2197">
        <f>orders[[#This Row],[Ship Date]]-orders[[#This Row],[Order Date]]</f>
        <v>4</v>
      </c>
      <c r="N2197">
        <f>WEEKNUM(orders[[#This Row],[Order Date]])</f>
        <v>12</v>
      </c>
      <c r="O2197" t="str">
        <f>_xlfn.IFS(orders[[#This Row],[Customer Gender]]="M","Male", orders[[#This Row],[Customer Gender]]="F","Female", orders[[#This Row],[Customer Gender]]="O","Other", TRUE,"Unknown")</f>
        <v>Male</v>
      </c>
    </row>
    <row r="2198" spans="1:15">
      <c r="A2198" t="s">
        <v>2206</v>
      </c>
      <c r="B2198" t="s">
        <v>42</v>
      </c>
      <c r="C2198">
        <v>1</v>
      </c>
      <c r="D2198">
        <v>47.1</v>
      </c>
      <c r="E2198">
        <v>47.1</v>
      </c>
      <c r="F2198" s="1">
        <v>45735</v>
      </c>
      <c r="G2198" s="1">
        <v>45737</v>
      </c>
      <c r="H2198" t="s">
        <v>27</v>
      </c>
      <c r="I2198" t="s">
        <v>18</v>
      </c>
      <c r="J2198">
        <v>4</v>
      </c>
      <c r="K2198" t="s">
        <v>19</v>
      </c>
      <c r="L2198" t="s">
        <v>28</v>
      </c>
      <c r="M2198">
        <f>orders[[#This Row],[Ship Date]]-orders[[#This Row],[Order Date]]</f>
        <v>2</v>
      </c>
      <c r="N2198">
        <f>WEEKNUM(orders[[#This Row],[Order Date]])</f>
        <v>12</v>
      </c>
      <c r="O2198" t="str">
        <f>_xlfn.IFS(orders[[#This Row],[Customer Gender]]="M","Male", orders[[#This Row],[Customer Gender]]="F","Female", orders[[#This Row],[Customer Gender]]="O","Other", TRUE,"Unknown")</f>
        <v>Female</v>
      </c>
    </row>
    <row r="2199" spans="1:15">
      <c r="A2199" t="s">
        <v>2129</v>
      </c>
      <c r="B2199" t="s">
        <v>46</v>
      </c>
      <c r="C2199">
        <v>1</v>
      </c>
      <c r="D2199">
        <v>43.3</v>
      </c>
      <c r="E2199">
        <v>43.3</v>
      </c>
      <c r="F2199" s="1">
        <v>45732</v>
      </c>
      <c r="G2199" s="1">
        <v>45735</v>
      </c>
      <c r="H2199" t="s">
        <v>27</v>
      </c>
      <c r="I2199" t="s">
        <v>18</v>
      </c>
      <c r="J2199">
        <v>5</v>
      </c>
      <c r="K2199" t="s">
        <v>19</v>
      </c>
      <c r="L2199" t="s">
        <v>77</v>
      </c>
      <c r="M2199">
        <f>orders[[#This Row],[Ship Date]]-orders[[#This Row],[Order Date]]</f>
        <v>3</v>
      </c>
      <c r="N2199">
        <f>WEEKNUM(orders[[#This Row],[Order Date]])</f>
        <v>12</v>
      </c>
      <c r="O2199" t="str">
        <f>_xlfn.IFS(orders[[#This Row],[Customer Gender]]="M","Male", orders[[#This Row],[Customer Gender]]="F","Female", orders[[#This Row],[Customer Gender]]="O","Other", TRUE,"Unknown")</f>
        <v>Female</v>
      </c>
    </row>
    <row r="2200" spans="1:15">
      <c r="A2200" t="s">
        <v>2301</v>
      </c>
      <c r="B2200" t="s">
        <v>69</v>
      </c>
      <c r="C2200">
        <v>2</v>
      </c>
      <c r="D2200">
        <v>78.5</v>
      </c>
      <c r="E2200">
        <v>157</v>
      </c>
      <c r="F2200" s="1">
        <v>45738</v>
      </c>
      <c r="G2200" s="1">
        <v>45739</v>
      </c>
      <c r="H2200" t="s">
        <v>23</v>
      </c>
      <c r="I2200" t="s">
        <v>40</v>
      </c>
      <c r="J2200">
        <v>4</v>
      </c>
      <c r="K2200" t="s">
        <v>19</v>
      </c>
      <c r="L2200" t="s">
        <v>201</v>
      </c>
      <c r="M2200">
        <f>orders[[#This Row],[Ship Date]]-orders[[#This Row],[Order Date]]</f>
        <v>1</v>
      </c>
      <c r="N2200">
        <f>WEEKNUM(orders[[#This Row],[Order Date]])</f>
        <v>12</v>
      </c>
      <c r="O2200" t="str">
        <f>_xlfn.IFS(orders[[#This Row],[Customer Gender]]="M","Male", orders[[#This Row],[Customer Gender]]="F","Female", orders[[#This Row],[Customer Gender]]="O","Other", TRUE,"Unknown")</f>
        <v>Male</v>
      </c>
    </row>
    <row r="2201" spans="1:15">
      <c r="A2201" t="s">
        <v>2302</v>
      </c>
      <c r="B2201" t="s">
        <v>22</v>
      </c>
      <c r="C2201">
        <v>1</v>
      </c>
      <c r="D2201">
        <v>34.200000000000003</v>
      </c>
      <c r="E2201">
        <v>34.200000000000003</v>
      </c>
      <c r="F2201" s="1">
        <v>45738</v>
      </c>
      <c r="G2201" s="1">
        <v>45740</v>
      </c>
      <c r="H2201" t="s">
        <v>23</v>
      </c>
      <c r="I2201" t="s">
        <v>18</v>
      </c>
      <c r="J2201">
        <v>4</v>
      </c>
      <c r="K2201" t="s">
        <v>19</v>
      </c>
      <c r="L2201" t="s">
        <v>72</v>
      </c>
      <c r="M2201">
        <f>orders[[#This Row],[Ship Date]]-orders[[#This Row],[Order Date]]</f>
        <v>2</v>
      </c>
      <c r="N2201">
        <f>WEEKNUM(orders[[#This Row],[Order Date]])</f>
        <v>12</v>
      </c>
      <c r="O2201" t="str">
        <f>_xlfn.IFS(orders[[#This Row],[Customer Gender]]="M","Male", orders[[#This Row],[Customer Gender]]="F","Female", orders[[#This Row],[Customer Gender]]="O","Other", TRUE,"Unknown")</f>
        <v>Male</v>
      </c>
    </row>
    <row r="2202" spans="1:15">
      <c r="A2202" t="s">
        <v>2303</v>
      </c>
      <c r="B2202" t="s">
        <v>171</v>
      </c>
      <c r="C2202">
        <v>1</v>
      </c>
      <c r="D2202">
        <v>26.2</v>
      </c>
      <c r="E2202">
        <v>26.2</v>
      </c>
      <c r="F2202" s="1">
        <v>45738</v>
      </c>
      <c r="G2202" s="1">
        <v>45739</v>
      </c>
      <c r="H2202" t="s">
        <v>23</v>
      </c>
      <c r="I2202" t="s">
        <v>40</v>
      </c>
      <c r="J2202">
        <v>4</v>
      </c>
      <c r="K2202" t="s">
        <v>19</v>
      </c>
      <c r="L2202" t="s">
        <v>72</v>
      </c>
      <c r="M2202">
        <f>orders[[#This Row],[Ship Date]]-orders[[#This Row],[Order Date]]</f>
        <v>1</v>
      </c>
      <c r="N2202">
        <f>WEEKNUM(orders[[#This Row],[Order Date]])</f>
        <v>12</v>
      </c>
      <c r="O2202" t="str">
        <f>_xlfn.IFS(orders[[#This Row],[Customer Gender]]="M","Male", orders[[#This Row],[Customer Gender]]="F","Female", orders[[#This Row],[Customer Gender]]="O","Other", TRUE,"Unknown")</f>
        <v>Male</v>
      </c>
    </row>
    <row r="2203" spans="1:15">
      <c r="A2203" t="s">
        <v>2304</v>
      </c>
      <c r="B2203" t="s">
        <v>39</v>
      </c>
      <c r="C2203">
        <v>4</v>
      </c>
      <c r="D2203">
        <v>53.2</v>
      </c>
      <c r="E2203">
        <v>212.8</v>
      </c>
      <c r="F2203" s="1">
        <v>45738</v>
      </c>
      <c r="G2203" s="1">
        <v>45739</v>
      </c>
      <c r="H2203" t="s">
        <v>23</v>
      </c>
      <c r="I2203" t="s">
        <v>35</v>
      </c>
      <c r="J2203">
        <v>3</v>
      </c>
      <c r="K2203" t="s">
        <v>19</v>
      </c>
      <c r="L2203" t="s">
        <v>77</v>
      </c>
      <c r="M2203">
        <f>orders[[#This Row],[Ship Date]]-orders[[#This Row],[Order Date]]</f>
        <v>1</v>
      </c>
      <c r="N2203">
        <f>WEEKNUM(orders[[#This Row],[Order Date]])</f>
        <v>12</v>
      </c>
      <c r="O2203" t="str">
        <f>_xlfn.IFS(orders[[#This Row],[Customer Gender]]="M","Male", orders[[#This Row],[Customer Gender]]="F","Female", orders[[#This Row],[Customer Gender]]="O","Other", TRUE,"Unknown")</f>
        <v>Male</v>
      </c>
    </row>
    <row r="2204" spans="1:15">
      <c r="A2204" t="s">
        <v>2305</v>
      </c>
      <c r="B2204" t="s">
        <v>22</v>
      </c>
      <c r="C2204">
        <v>1</v>
      </c>
      <c r="D2204">
        <v>35.4</v>
      </c>
      <c r="E2204">
        <v>35.4</v>
      </c>
      <c r="F2204" s="1">
        <v>45738</v>
      </c>
      <c r="G2204" s="1">
        <v>45742</v>
      </c>
      <c r="H2204" t="s">
        <v>23</v>
      </c>
      <c r="I2204" t="s">
        <v>35</v>
      </c>
      <c r="J2204">
        <v>2</v>
      </c>
      <c r="K2204" t="s">
        <v>19</v>
      </c>
      <c r="L2204" t="s">
        <v>108</v>
      </c>
      <c r="M2204">
        <f>orders[[#This Row],[Ship Date]]-orders[[#This Row],[Order Date]]</f>
        <v>4</v>
      </c>
      <c r="N2204">
        <f>WEEKNUM(orders[[#This Row],[Order Date]])</f>
        <v>12</v>
      </c>
      <c r="O2204" t="str">
        <f>_xlfn.IFS(orders[[#This Row],[Customer Gender]]="M","Male", orders[[#This Row],[Customer Gender]]="F","Female", orders[[#This Row],[Customer Gender]]="O","Other", TRUE,"Unknown")</f>
        <v>Male</v>
      </c>
    </row>
    <row r="2205" spans="1:15">
      <c r="A2205" t="s">
        <v>2306</v>
      </c>
      <c r="B2205" t="s">
        <v>81</v>
      </c>
      <c r="C2205">
        <v>2</v>
      </c>
      <c r="D2205">
        <v>21.3</v>
      </c>
      <c r="E2205">
        <v>42.6</v>
      </c>
      <c r="F2205" s="1">
        <v>45738</v>
      </c>
      <c r="G2205" s="1">
        <v>45739</v>
      </c>
      <c r="H2205" t="s">
        <v>23</v>
      </c>
      <c r="I2205" t="s">
        <v>40</v>
      </c>
      <c r="J2205">
        <v>4</v>
      </c>
      <c r="K2205" t="s">
        <v>19</v>
      </c>
      <c r="L2205" t="s">
        <v>113</v>
      </c>
      <c r="M2205">
        <f>orders[[#This Row],[Ship Date]]-orders[[#This Row],[Order Date]]</f>
        <v>1</v>
      </c>
      <c r="N2205">
        <f>WEEKNUM(orders[[#This Row],[Order Date]])</f>
        <v>12</v>
      </c>
      <c r="O2205" t="str">
        <f>_xlfn.IFS(orders[[#This Row],[Customer Gender]]="M","Male", orders[[#This Row],[Customer Gender]]="F","Female", orders[[#This Row],[Customer Gender]]="O","Other", TRUE,"Unknown")</f>
        <v>Male</v>
      </c>
    </row>
    <row r="2206" spans="1:15">
      <c r="A2206" t="s">
        <v>2307</v>
      </c>
      <c r="B2206" t="s">
        <v>44</v>
      </c>
      <c r="C2206">
        <v>4</v>
      </c>
      <c r="D2206">
        <v>32.9</v>
      </c>
      <c r="E2206">
        <v>131.6</v>
      </c>
      <c r="F2206" s="1">
        <v>45738</v>
      </c>
      <c r="G2206" s="1">
        <v>45741</v>
      </c>
      <c r="H2206" t="s">
        <v>27</v>
      </c>
      <c r="I2206" t="s">
        <v>70</v>
      </c>
      <c r="J2206">
        <v>5</v>
      </c>
      <c r="K2206" t="s">
        <v>19</v>
      </c>
      <c r="L2206" t="s">
        <v>115</v>
      </c>
      <c r="M2206">
        <f>orders[[#This Row],[Ship Date]]-orders[[#This Row],[Order Date]]</f>
        <v>3</v>
      </c>
      <c r="N2206">
        <f>WEEKNUM(orders[[#This Row],[Order Date]])</f>
        <v>12</v>
      </c>
      <c r="O2206" t="str">
        <f>_xlfn.IFS(orders[[#This Row],[Customer Gender]]="M","Male", orders[[#This Row],[Customer Gender]]="F","Female", orders[[#This Row],[Customer Gender]]="O","Other", TRUE,"Unknown")</f>
        <v>Female</v>
      </c>
    </row>
    <row r="2207" spans="1:15">
      <c r="A2207" t="s">
        <v>2308</v>
      </c>
      <c r="B2207" t="s">
        <v>37</v>
      </c>
      <c r="C2207">
        <v>15</v>
      </c>
      <c r="D2207">
        <v>85.5</v>
      </c>
      <c r="E2207">
        <v>1282.5</v>
      </c>
      <c r="F2207" s="1">
        <v>45738</v>
      </c>
      <c r="G2207" s="1">
        <v>45740</v>
      </c>
      <c r="H2207" t="s">
        <v>27</v>
      </c>
      <c r="I2207" t="s">
        <v>51</v>
      </c>
      <c r="J2207">
        <v>3</v>
      </c>
      <c r="K2207" t="s">
        <v>19</v>
      </c>
      <c r="L2207" t="s">
        <v>115</v>
      </c>
      <c r="M2207">
        <f>orders[[#This Row],[Ship Date]]-orders[[#This Row],[Order Date]]</f>
        <v>2</v>
      </c>
      <c r="N2207">
        <f>WEEKNUM(orders[[#This Row],[Order Date]])</f>
        <v>12</v>
      </c>
      <c r="O2207" t="str">
        <f>_xlfn.IFS(orders[[#This Row],[Customer Gender]]="M","Male", orders[[#This Row],[Customer Gender]]="F","Female", orders[[#This Row],[Customer Gender]]="O","Other", TRUE,"Unknown")</f>
        <v>Female</v>
      </c>
    </row>
    <row r="2208" spans="1:15">
      <c r="A2208" t="s">
        <v>2135</v>
      </c>
      <c r="B2208" t="s">
        <v>44</v>
      </c>
      <c r="C2208">
        <v>2</v>
      </c>
      <c r="D2208">
        <v>17.5</v>
      </c>
      <c r="E2208">
        <v>35</v>
      </c>
      <c r="F2208" s="1">
        <v>45732</v>
      </c>
      <c r="G2208" s="1">
        <v>45735</v>
      </c>
      <c r="H2208" t="s">
        <v>27</v>
      </c>
      <c r="I2208" t="s">
        <v>18</v>
      </c>
      <c r="J2208">
        <v>4</v>
      </c>
      <c r="K2208" t="s">
        <v>19</v>
      </c>
      <c r="L2208" t="s">
        <v>115</v>
      </c>
      <c r="M2208">
        <f>orders[[#This Row],[Ship Date]]-orders[[#This Row],[Order Date]]</f>
        <v>3</v>
      </c>
      <c r="N2208">
        <f>WEEKNUM(orders[[#This Row],[Order Date]])</f>
        <v>12</v>
      </c>
      <c r="O2208" t="str">
        <f>_xlfn.IFS(orders[[#This Row],[Customer Gender]]="M","Male", orders[[#This Row],[Customer Gender]]="F","Female", orders[[#This Row],[Customer Gender]]="O","Other", TRUE,"Unknown")</f>
        <v>Female</v>
      </c>
    </row>
    <row r="2209" spans="1:15">
      <c r="A2209" t="s">
        <v>2310</v>
      </c>
      <c r="B2209" t="s">
        <v>46</v>
      </c>
      <c r="C2209">
        <v>26</v>
      </c>
      <c r="D2209">
        <v>31.7</v>
      </c>
      <c r="E2209">
        <v>824.19999999999993</v>
      </c>
      <c r="F2209" s="1">
        <v>45738</v>
      </c>
      <c r="G2209" s="1">
        <v>45738</v>
      </c>
      <c r="H2209" t="s">
        <v>27</v>
      </c>
      <c r="I2209" t="s">
        <v>51</v>
      </c>
      <c r="J2209">
        <v>4</v>
      </c>
      <c r="K2209" t="s">
        <v>19</v>
      </c>
      <c r="L2209" t="s">
        <v>28</v>
      </c>
      <c r="M2209">
        <f>orders[[#This Row],[Ship Date]]-orders[[#This Row],[Order Date]]</f>
        <v>0</v>
      </c>
      <c r="N2209">
        <f>WEEKNUM(orders[[#This Row],[Order Date]])</f>
        <v>12</v>
      </c>
      <c r="O2209" t="str">
        <f>_xlfn.IFS(orders[[#This Row],[Customer Gender]]="M","Male", orders[[#This Row],[Customer Gender]]="F","Female", orders[[#This Row],[Customer Gender]]="O","Other", TRUE,"Unknown")</f>
        <v>Female</v>
      </c>
    </row>
    <row r="2210" spans="1:15">
      <c r="A2210" t="s">
        <v>2311</v>
      </c>
      <c r="B2210" t="s">
        <v>22</v>
      </c>
      <c r="C2210">
        <v>2</v>
      </c>
      <c r="D2210">
        <v>78.3</v>
      </c>
      <c r="E2210">
        <v>156.6</v>
      </c>
      <c r="F2210" s="1">
        <v>45738</v>
      </c>
      <c r="G2210" s="1">
        <v>45740</v>
      </c>
      <c r="H2210" t="s">
        <v>27</v>
      </c>
      <c r="I2210" t="s">
        <v>35</v>
      </c>
      <c r="J2210">
        <v>3</v>
      </c>
      <c r="K2210" t="s">
        <v>19</v>
      </c>
      <c r="L2210" t="s">
        <v>33</v>
      </c>
      <c r="M2210">
        <f>orders[[#This Row],[Ship Date]]-orders[[#This Row],[Order Date]]</f>
        <v>2</v>
      </c>
      <c r="N2210">
        <f>WEEKNUM(orders[[#This Row],[Order Date]])</f>
        <v>12</v>
      </c>
      <c r="O2210" t="str">
        <f>_xlfn.IFS(orders[[#This Row],[Customer Gender]]="M","Male", orders[[#This Row],[Customer Gender]]="F","Female", orders[[#This Row],[Customer Gender]]="O","Other", TRUE,"Unknown")</f>
        <v>Female</v>
      </c>
    </row>
    <row r="2211" spans="1:15">
      <c r="A2211" t="s">
        <v>2312</v>
      </c>
      <c r="B2211" t="s">
        <v>39</v>
      </c>
      <c r="C2211">
        <v>1</v>
      </c>
      <c r="D2211">
        <v>43.9</v>
      </c>
      <c r="E2211">
        <v>43.9</v>
      </c>
      <c r="F2211" s="1">
        <v>45738</v>
      </c>
      <c r="G2211" s="1">
        <v>45739</v>
      </c>
      <c r="H2211" t="s">
        <v>23</v>
      </c>
      <c r="I2211" t="s">
        <v>18</v>
      </c>
      <c r="J2211">
        <v>4</v>
      </c>
      <c r="K2211" t="s">
        <v>19</v>
      </c>
      <c r="L2211" t="s">
        <v>33</v>
      </c>
      <c r="M2211">
        <f>orders[[#This Row],[Ship Date]]-orders[[#This Row],[Order Date]]</f>
        <v>1</v>
      </c>
      <c r="N2211">
        <f>WEEKNUM(orders[[#This Row],[Order Date]])</f>
        <v>12</v>
      </c>
      <c r="O2211" t="str">
        <f>_xlfn.IFS(orders[[#This Row],[Customer Gender]]="M","Male", orders[[#This Row],[Customer Gender]]="F","Female", orders[[#This Row],[Customer Gender]]="O","Other", TRUE,"Unknown")</f>
        <v>Male</v>
      </c>
    </row>
    <row r="2212" spans="1:15">
      <c r="A2212" t="s">
        <v>2313</v>
      </c>
      <c r="B2212" t="s">
        <v>146</v>
      </c>
      <c r="C2212">
        <v>3</v>
      </c>
      <c r="D2212">
        <v>84</v>
      </c>
      <c r="E2212">
        <v>252</v>
      </c>
      <c r="F2212" s="1">
        <v>45738</v>
      </c>
      <c r="G2212" s="1">
        <v>45740</v>
      </c>
      <c r="H2212" t="s">
        <v>17</v>
      </c>
      <c r="I2212" t="s">
        <v>51</v>
      </c>
      <c r="J2212">
        <v>5</v>
      </c>
      <c r="K2212" t="s">
        <v>19</v>
      </c>
      <c r="L2212" t="s">
        <v>33</v>
      </c>
      <c r="M2212">
        <f>orders[[#This Row],[Ship Date]]-orders[[#This Row],[Order Date]]</f>
        <v>2</v>
      </c>
      <c r="N2212">
        <f>WEEKNUM(orders[[#This Row],[Order Date]])</f>
        <v>12</v>
      </c>
      <c r="O2212" t="str">
        <f>_xlfn.IFS(orders[[#This Row],[Customer Gender]]="M","Male", orders[[#This Row],[Customer Gender]]="F","Female", orders[[#This Row],[Customer Gender]]="O","Other", TRUE,"Unknown")</f>
        <v>Unknown</v>
      </c>
    </row>
    <row r="2213" spans="1:15">
      <c r="A2213" t="s">
        <v>2314</v>
      </c>
      <c r="B2213" t="s">
        <v>16</v>
      </c>
      <c r="C2213">
        <v>3</v>
      </c>
      <c r="D2213">
        <v>11.4</v>
      </c>
      <c r="E2213">
        <v>34.200000000000003</v>
      </c>
      <c r="F2213" s="1">
        <v>45738</v>
      </c>
      <c r="G2213" s="1">
        <v>45739</v>
      </c>
      <c r="H2213" t="s">
        <v>23</v>
      </c>
      <c r="I2213" t="s">
        <v>70</v>
      </c>
      <c r="J2213">
        <v>4</v>
      </c>
      <c r="K2213" t="s">
        <v>19</v>
      </c>
      <c r="L2213" t="s">
        <v>33</v>
      </c>
      <c r="M2213">
        <f>orders[[#This Row],[Ship Date]]-orders[[#This Row],[Order Date]]</f>
        <v>1</v>
      </c>
      <c r="N2213">
        <f>WEEKNUM(orders[[#This Row],[Order Date]])</f>
        <v>12</v>
      </c>
      <c r="O2213" t="str">
        <f>_xlfn.IFS(orders[[#This Row],[Customer Gender]]="M","Male", orders[[#This Row],[Customer Gender]]="F","Female", orders[[#This Row],[Customer Gender]]="O","Other", TRUE,"Unknown")</f>
        <v>Male</v>
      </c>
    </row>
    <row r="2214" spans="1:15">
      <c r="A2214" t="s">
        <v>2309</v>
      </c>
      <c r="B2214" t="s">
        <v>32</v>
      </c>
      <c r="C2214">
        <v>1</v>
      </c>
      <c r="D2214">
        <v>26.8</v>
      </c>
      <c r="E2214">
        <v>26.8</v>
      </c>
      <c r="F2214" s="1">
        <v>45738</v>
      </c>
      <c r="G2214" s="1">
        <v>45739</v>
      </c>
      <c r="H2214" t="s">
        <v>27</v>
      </c>
      <c r="I2214" t="s">
        <v>18</v>
      </c>
      <c r="J2214">
        <v>3</v>
      </c>
      <c r="K2214" t="s">
        <v>19</v>
      </c>
      <c r="L2214" t="s">
        <v>28</v>
      </c>
      <c r="M2214">
        <f>orders[[#This Row],[Ship Date]]-orders[[#This Row],[Order Date]]</f>
        <v>1</v>
      </c>
      <c r="N2214">
        <f>WEEKNUM(orders[[#This Row],[Order Date]])</f>
        <v>12</v>
      </c>
      <c r="O2214" t="str">
        <f>_xlfn.IFS(orders[[#This Row],[Customer Gender]]="M","Male", orders[[#This Row],[Customer Gender]]="F","Female", orders[[#This Row],[Customer Gender]]="O","Other", TRUE,"Unknown")</f>
        <v>Female</v>
      </c>
    </row>
    <row r="2215" spans="1:15">
      <c r="A2215" t="s">
        <v>2316</v>
      </c>
      <c r="B2215" t="s">
        <v>46</v>
      </c>
      <c r="C2215">
        <v>11</v>
      </c>
      <c r="D2215">
        <v>50.5</v>
      </c>
      <c r="E2215">
        <v>555.5</v>
      </c>
      <c r="F2215" s="1">
        <v>45738</v>
      </c>
      <c r="G2215" s="1">
        <v>45740</v>
      </c>
      <c r="H2215" t="s">
        <v>23</v>
      </c>
      <c r="I2215" t="s">
        <v>40</v>
      </c>
      <c r="J2215">
        <v>4</v>
      </c>
      <c r="K2215" t="s">
        <v>19</v>
      </c>
      <c r="L2215" t="s">
        <v>33</v>
      </c>
      <c r="M2215">
        <f>orders[[#This Row],[Ship Date]]-orders[[#This Row],[Order Date]]</f>
        <v>2</v>
      </c>
      <c r="N2215">
        <f>WEEKNUM(orders[[#This Row],[Order Date]])</f>
        <v>12</v>
      </c>
      <c r="O2215" t="str">
        <f>_xlfn.IFS(orders[[#This Row],[Customer Gender]]="M","Male", orders[[#This Row],[Customer Gender]]="F","Female", orders[[#This Row],[Customer Gender]]="O","Other", TRUE,"Unknown")</f>
        <v>Male</v>
      </c>
    </row>
    <row r="2216" spans="1:15">
      <c r="A2216" t="s">
        <v>2317</v>
      </c>
      <c r="B2216" t="s">
        <v>123</v>
      </c>
      <c r="C2216">
        <v>1</v>
      </c>
      <c r="D2216">
        <v>36.299999999999997</v>
      </c>
      <c r="E2216">
        <v>36.299999999999997</v>
      </c>
      <c r="F2216" s="1">
        <v>45738</v>
      </c>
      <c r="G2216" s="1">
        <v>45741</v>
      </c>
      <c r="H2216" t="s">
        <v>89</v>
      </c>
      <c r="I2216" t="s">
        <v>18</v>
      </c>
      <c r="J2216">
        <v>3</v>
      </c>
      <c r="K2216" t="s">
        <v>19</v>
      </c>
      <c r="L2216" t="s">
        <v>62</v>
      </c>
      <c r="M2216">
        <f>orders[[#This Row],[Ship Date]]-orders[[#This Row],[Order Date]]</f>
        <v>3</v>
      </c>
      <c r="N2216">
        <f>WEEKNUM(orders[[#This Row],[Order Date]])</f>
        <v>12</v>
      </c>
      <c r="O2216" t="str">
        <f>_xlfn.IFS(orders[[#This Row],[Customer Gender]]="M","Male", orders[[#This Row],[Customer Gender]]="F","Female", orders[[#This Row],[Customer Gender]]="O","Other", TRUE,"Unknown")</f>
        <v>Other</v>
      </c>
    </row>
    <row r="2217" spans="1:15">
      <c r="A2217" t="s">
        <v>2218</v>
      </c>
      <c r="B2217" t="s">
        <v>44</v>
      </c>
      <c r="C2217">
        <v>1</v>
      </c>
      <c r="D2217">
        <v>18.3</v>
      </c>
      <c r="E2217">
        <v>18.3</v>
      </c>
      <c r="F2217" s="1">
        <v>45735</v>
      </c>
      <c r="G2217" s="1">
        <v>45736</v>
      </c>
      <c r="H2217" t="s">
        <v>27</v>
      </c>
      <c r="I2217" t="s">
        <v>18</v>
      </c>
      <c r="J2217">
        <v>4</v>
      </c>
      <c r="K2217" t="s">
        <v>19</v>
      </c>
      <c r="L2217" t="s">
        <v>33</v>
      </c>
      <c r="M2217">
        <f>orders[[#This Row],[Ship Date]]-orders[[#This Row],[Order Date]]</f>
        <v>1</v>
      </c>
      <c r="N2217">
        <f>WEEKNUM(orders[[#This Row],[Order Date]])</f>
        <v>12</v>
      </c>
      <c r="O2217" t="str">
        <f>_xlfn.IFS(orders[[#This Row],[Customer Gender]]="M","Male", orders[[#This Row],[Customer Gender]]="F","Female", orders[[#This Row],[Customer Gender]]="O","Other", TRUE,"Unknown")</f>
        <v>Female</v>
      </c>
    </row>
    <row r="2218" spans="1:15">
      <c r="A2218" t="s">
        <v>2319</v>
      </c>
      <c r="B2218" t="s">
        <v>22</v>
      </c>
      <c r="C2218">
        <v>3</v>
      </c>
      <c r="D2218">
        <v>45.9</v>
      </c>
      <c r="E2218">
        <v>137.69999999999999</v>
      </c>
      <c r="F2218" s="1">
        <v>45739</v>
      </c>
      <c r="G2218" s="1">
        <v>45740</v>
      </c>
      <c r="H2218" t="s">
        <v>23</v>
      </c>
      <c r="I2218" t="s">
        <v>51</v>
      </c>
      <c r="J2218">
        <v>4</v>
      </c>
      <c r="K2218" t="s">
        <v>19</v>
      </c>
      <c r="L2218" t="s">
        <v>72</v>
      </c>
      <c r="M2218">
        <f>orders[[#This Row],[Ship Date]]-orders[[#This Row],[Order Date]]</f>
        <v>1</v>
      </c>
      <c r="N2218">
        <f>WEEKNUM(orders[[#This Row],[Order Date]])</f>
        <v>13</v>
      </c>
      <c r="O2218" t="str">
        <f>_xlfn.IFS(orders[[#This Row],[Customer Gender]]="M","Male", orders[[#This Row],[Customer Gender]]="F","Female", orders[[#This Row],[Customer Gender]]="O","Other", TRUE,"Unknown")</f>
        <v>Male</v>
      </c>
    </row>
    <row r="2219" spans="1:15">
      <c r="A2219" t="s">
        <v>2320</v>
      </c>
      <c r="B2219" t="s">
        <v>39</v>
      </c>
      <c r="C2219">
        <v>10</v>
      </c>
      <c r="D2219">
        <v>41.2</v>
      </c>
      <c r="E2219">
        <v>412</v>
      </c>
      <c r="F2219" s="1">
        <v>45739</v>
      </c>
      <c r="G2219" s="1">
        <v>45743</v>
      </c>
      <c r="H2219" t="s">
        <v>23</v>
      </c>
      <c r="I2219" t="s">
        <v>18</v>
      </c>
      <c r="J2219">
        <v>4</v>
      </c>
      <c r="K2219" t="s">
        <v>19</v>
      </c>
      <c r="L2219" t="s">
        <v>77</v>
      </c>
      <c r="M2219">
        <f>orders[[#This Row],[Ship Date]]-orders[[#This Row],[Order Date]]</f>
        <v>4</v>
      </c>
      <c r="N2219">
        <f>WEEKNUM(orders[[#This Row],[Order Date]])</f>
        <v>13</v>
      </c>
      <c r="O2219" t="str">
        <f>_xlfn.IFS(orders[[#This Row],[Customer Gender]]="M","Male", orders[[#This Row],[Customer Gender]]="F","Female", orders[[#This Row],[Customer Gender]]="O","Other", TRUE,"Unknown")</f>
        <v>Male</v>
      </c>
    </row>
    <row r="2220" spans="1:15">
      <c r="A2220" t="s">
        <v>2321</v>
      </c>
      <c r="B2220" t="s">
        <v>135</v>
      </c>
      <c r="C2220">
        <v>2</v>
      </c>
      <c r="D2220">
        <v>45.1</v>
      </c>
      <c r="E2220">
        <v>90.2</v>
      </c>
      <c r="F2220" s="1">
        <v>45739</v>
      </c>
      <c r="G2220" s="1">
        <v>45740</v>
      </c>
      <c r="H2220" t="s">
        <v>23</v>
      </c>
      <c r="I2220" t="s">
        <v>35</v>
      </c>
      <c r="J2220">
        <v>3</v>
      </c>
      <c r="K2220" t="s">
        <v>19</v>
      </c>
      <c r="L2220" t="s">
        <v>115</v>
      </c>
      <c r="M2220">
        <f>orders[[#This Row],[Ship Date]]-orders[[#This Row],[Order Date]]</f>
        <v>1</v>
      </c>
      <c r="N2220">
        <f>WEEKNUM(orders[[#This Row],[Order Date]])</f>
        <v>13</v>
      </c>
      <c r="O2220" t="str">
        <f>_xlfn.IFS(orders[[#This Row],[Customer Gender]]="M","Male", orders[[#This Row],[Customer Gender]]="F","Female", orders[[#This Row],[Customer Gender]]="O","Other", TRUE,"Unknown")</f>
        <v>Male</v>
      </c>
    </row>
    <row r="2221" spans="1:15">
      <c r="A2221" t="s">
        <v>2322</v>
      </c>
      <c r="B2221" t="s">
        <v>39</v>
      </c>
      <c r="C2221">
        <v>10</v>
      </c>
      <c r="D2221">
        <v>63.6</v>
      </c>
      <c r="E2221">
        <v>636</v>
      </c>
      <c r="F2221" s="1">
        <v>45739</v>
      </c>
      <c r="G2221" s="1">
        <v>45739</v>
      </c>
      <c r="H2221" t="s">
        <v>23</v>
      </c>
      <c r="I2221" t="s">
        <v>40</v>
      </c>
      <c r="J2221">
        <v>4</v>
      </c>
      <c r="K2221" t="s">
        <v>19</v>
      </c>
      <c r="L2221" t="s">
        <v>24</v>
      </c>
      <c r="M2221">
        <f>orders[[#This Row],[Ship Date]]-orders[[#This Row],[Order Date]]</f>
        <v>0</v>
      </c>
      <c r="N2221">
        <f>WEEKNUM(orders[[#This Row],[Order Date]])</f>
        <v>13</v>
      </c>
      <c r="O2221" t="str">
        <f>_xlfn.IFS(orders[[#This Row],[Customer Gender]]="M","Male", orders[[#This Row],[Customer Gender]]="F","Female", orders[[#This Row],[Customer Gender]]="O","Other", TRUE,"Unknown")</f>
        <v>Male</v>
      </c>
    </row>
    <row r="2222" spans="1:15">
      <c r="A2222" t="s">
        <v>2323</v>
      </c>
      <c r="B2222" t="s">
        <v>44</v>
      </c>
      <c r="C2222">
        <v>1</v>
      </c>
      <c r="D2222">
        <v>70.5</v>
      </c>
      <c r="E2222">
        <v>70.5</v>
      </c>
      <c r="F2222" s="1">
        <v>45739</v>
      </c>
      <c r="G2222" s="1">
        <v>45740</v>
      </c>
      <c r="H2222" t="s">
        <v>23</v>
      </c>
      <c r="I2222" t="s">
        <v>18</v>
      </c>
      <c r="J2222">
        <v>4</v>
      </c>
      <c r="K2222" t="s">
        <v>19</v>
      </c>
      <c r="L2222" t="s">
        <v>33</v>
      </c>
      <c r="M2222">
        <f>orders[[#This Row],[Ship Date]]-orders[[#This Row],[Order Date]]</f>
        <v>1</v>
      </c>
      <c r="N2222">
        <f>WEEKNUM(orders[[#This Row],[Order Date]])</f>
        <v>13</v>
      </c>
      <c r="O2222" t="str">
        <f>_xlfn.IFS(orders[[#This Row],[Customer Gender]]="M","Male", orders[[#This Row],[Customer Gender]]="F","Female", orders[[#This Row],[Customer Gender]]="O","Other", TRUE,"Unknown")</f>
        <v>Male</v>
      </c>
    </row>
    <row r="2223" spans="1:15">
      <c r="A2223" t="s">
        <v>2324</v>
      </c>
      <c r="B2223" t="s">
        <v>39</v>
      </c>
      <c r="C2223">
        <v>1</v>
      </c>
      <c r="D2223">
        <v>41.3</v>
      </c>
      <c r="E2223">
        <v>41.3</v>
      </c>
      <c r="F2223" s="1">
        <v>45739</v>
      </c>
      <c r="G2223" s="1">
        <v>45739</v>
      </c>
      <c r="H2223" t="s">
        <v>23</v>
      </c>
      <c r="I2223" t="s">
        <v>70</v>
      </c>
      <c r="J2223">
        <v>4</v>
      </c>
      <c r="K2223" t="s">
        <v>19</v>
      </c>
      <c r="L2223" t="s">
        <v>33</v>
      </c>
      <c r="M2223">
        <f>orders[[#This Row],[Ship Date]]-orders[[#This Row],[Order Date]]</f>
        <v>0</v>
      </c>
      <c r="N2223">
        <f>WEEKNUM(orders[[#This Row],[Order Date]])</f>
        <v>13</v>
      </c>
      <c r="O2223" t="str">
        <f>_xlfn.IFS(orders[[#This Row],[Customer Gender]]="M","Male", orders[[#This Row],[Customer Gender]]="F","Female", orders[[#This Row],[Customer Gender]]="O","Other", TRUE,"Unknown")</f>
        <v>Male</v>
      </c>
    </row>
    <row r="2224" spans="1:15">
      <c r="A2224" t="s">
        <v>2325</v>
      </c>
      <c r="B2224" t="s">
        <v>32</v>
      </c>
      <c r="C2224">
        <v>1</v>
      </c>
      <c r="D2224">
        <v>35.299999999999997</v>
      </c>
      <c r="E2224">
        <v>35.299999999999997</v>
      </c>
      <c r="F2224" s="1">
        <v>45739</v>
      </c>
      <c r="G2224" s="1">
        <v>45742</v>
      </c>
      <c r="H2224" t="s">
        <v>27</v>
      </c>
      <c r="I2224" t="s">
        <v>70</v>
      </c>
      <c r="J2224">
        <v>5</v>
      </c>
      <c r="K2224" t="s">
        <v>19</v>
      </c>
      <c r="L2224" t="s">
        <v>33</v>
      </c>
      <c r="M2224">
        <f>orders[[#This Row],[Ship Date]]-orders[[#This Row],[Order Date]]</f>
        <v>3</v>
      </c>
      <c r="N2224">
        <f>WEEKNUM(orders[[#This Row],[Order Date]])</f>
        <v>13</v>
      </c>
      <c r="O2224" t="str">
        <f>_xlfn.IFS(orders[[#This Row],[Customer Gender]]="M","Male", orders[[#This Row],[Customer Gender]]="F","Female", orders[[#This Row],[Customer Gender]]="O","Other", TRUE,"Unknown")</f>
        <v>Female</v>
      </c>
    </row>
    <row r="2225" spans="1:15">
      <c r="A2225" t="s">
        <v>2326</v>
      </c>
      <c r="B2225" t="s">
        <v>44</v>
      </c>
      <c r="C2225">
        <v>5</v>
      </c>
      <c r="D2225">
        <v>34.700000000000003</v>
      </c>
      <c r="E2225">
        <v>173.5</v>
      </c>
      <c r="F2225" s="1">
        <v>45739</v>
      </c>
      <c r="G2225" s="1">
        <v>45740</v>
      </c>
      <c r="H2225" t="s">
        <v>27</v>
      </c>
      <c r="I2225" t="s">
        <v>18</v>
      </c>
      <c r="J2225">
        <v>5</v>
      </c>
      <c r="K2225" t="s">
        <v>19</v>
      </c>
      <c r="L2225" t="s">
        <v>33</v>
      </c>
      <c r="M2225">
        <f>orders[[#This Row],[Ship Date]]-orders[[#This Row],[Order Date]]</f>
        <v>1</v>
      </c>
      <c r="N2225">
        <f>WEEKNUM(orders[[#This Row],[Order Date]])</f>
        <v>13</v>
      </c>
      <c r="O2225" t="str">
        <f>_xlfn.IFS(orders[[#This Row],[Customer Gender]]="M","Male", orders[[#This Row],[Customer Gender]]="F","Female", orders[[#This Row],[Customer Gender]]="O","Other", TRUE,"Unknown")</f>
        <v>Female</v>
      </c>
    </row>
    <row r="2226" spans="1:15">
      <c r="A2226" t="s">
        <v>2327</v>
      </c>
      <c r="B2226" t="s">
        <v>44</v>
      </c>
      <c r="C2226">
        <v>3</v>
      </c>
      <c r="D2226">
        <v>26.1</v>
      </c>
      <c r="E2226">
        <v>78.300000000000011</v>
      </c>
      <c r="F2226" s="1">
        <v>45739</v>
      </c>
      <c r="G2226" s="1">
        <v>45740</v>
      </c>
      <c r="H2226" t="s">
        <v>27</v>
      </c>
      <c r="I2226" t="s">
        <v>18</v>
      </c>
      <c r="J2226">
        <v>4</v>
      </c>
      <c r="K2226" t="s">
        <v>19</v>
      </c>
      <c r="L2226" t="s">
        <v>33</v>
      </c>
      <c r="M2226">
        <f>orders[[#This Row],[Ship Date]]-orders[[#This Row],[Order Date]]</f>
        <v>1</v>
      </c>
      <c r="N2226">
        <f>WEEKNUM(orders[[#This Row],[Order Date]])</f>
        <v>13</v>
      </c>
      <c r="O2226" t="str">
        <f>_xlfn.IFS(orders[[#This Row],[Customer Gender]]="M","Male", orders[[#This Row],[Customer Gender]]="F","Female", orders[[#This Row],[Customer Gender]]="O","Other", TRUE,"Unknown")</f>
        <v>Female</v>
      </c>
    </row>
    <row r="2227" spans="1:15">
      <c r="A2227" t="s">
        <v>2328</v>
      </c>
      <c r="B2227" t="s">
        <v>46</v>
      </c>
      <c r="C2227">
        <v>5</v>
      </c>
      <c r="D2227">
        <v>22.6</v>
      </c>
      <c r="E2227">
        <v>113</v>
      </c>
      <c r="F2227" s="1">
        <v>45739</v>
      </c>
      <c r="G2227" s="1">
        <v>45739</v>
      </c>
      <c r="H2227" t="s">
        <v>27</v>
      </c>
      <c r="I2227" t="s">
        <v>35</v>
      </c>
      <c r="J2227">
        <v>5</v>
      </c>
      <c r="K2227" t="s">
        <v>19</v>
      </c>
      <c r="L2227" t="s">
        <v>33</v>
      </c>
      <c r="M2227">
        <f>orders[[#This Row],[Ship Date]]-orders[[#This Row],[Order Date]]</f>
        <v>0</v>
      </c>
      <c r="N2227">
        <f>WEEKNUM(orders[[#This Row],[Order Date]])</f>
        <v>13</v>
      </c>
      <c r="O2227" t="str">
        <f>_xlfn.IFS(orders[[#This Row],[Customer Gender]]="M","Male", orders[[#This Row],[Customer Gender]]="F","Female", orders[[#This Row],[Customer Gender]]="O","Other", TRUE,"Unknown")</f>
        <v>Female</v>
      </c>
    </row>
    <row r="2228" spans="1:15">
      <c r="A2228" t="s">
        <v>2329</v>
      </c>
      <c r="B2228" t="s">
        <v>26</v>
      </c>
      <c r="C2228">
        <v>2</v>
      </c>
      <c r="D2228">
        <v>154.4</v>
      </c>
      <c r="E2228">
        <v>308.8</v>
      </c>
      <c r="F2228" s="1">
        <v>45739</v>
      </c>
      <c r="G2228" s="1">
        <v>45742</v>
      </c>
      <c r="H2228" t="s">
        <v>23</v>
      </c>
      <c r="I2228" t="s">
        <v>35</v>
      </c>
      <c r="J2228">
        <v>3</v>
      </c>
      <c r="K2228" t="s">
        <v>19</v>
      </c>
      <c r="L2228" t="s">
        <v>33</v>
      </c>
      <c r="M2228">
        <f>orders[[#This Row],[Ship Date]]-orders[[#This Row],[Order Date]]</f>
        <v>3</v>
      </c>
      <c r="N2228">
        <f>WEEKNUM(orders[[#This Row],[Order Date]])</f>
        <v>13</v>
      </c>
      <c r="O2228" t="str">
        <f>_xlfn.IFS(orders[[#This Row],[Customer Gender]]="M","Male", orders[[#This Row],[Customer Gender]]="F","Female", orders[[#This Row],[Customer Gender]]="O","Other", TRUE,"Unknown")</f>
        <v>Male</v>
      </c>
    </row>
    <row r="2229" spans="1:15">
      <c r="A2229" t="s">
        <v>2330</v>
      </c>
      <c r="B2229" t="s">
        <v>44</v>
      </c>
      <c r="C2229">
        <v>2</v>
      </c>
      <c r="D2229">
        <v>18.399999999999999</v>
      </c>
      <c r="E2229">
        <v>36.799999999999997</v>
      </c>
      <c r="F2229" s="1">
        <v>45739</v>
      </c>
      <c r="G2229" s="1">
        <v>45740</v>
      </c>
      <c r="H2229" t="s">
        <v>23</v>
      </c>
      <c r="I2229" t="s">
        <v>18</v>
      </c>
      <c r="J2229">
        <v>4</v>
      </c>
      <c r="K2229" t="s">
        <v>19</v>
      </c>
      <c r="L2229" t="s">
        <v>33</v>
      </c>
      <c r="M2229">
        <f>orders[[#This Row],[Ship Date]]-orders[[#This Row],[Order Date]]</f>
        <v>1</v>
      </c>
      <c r="N2229">
        <f>WEEKNUM(orders[[#This Row],[Order Date]])</f>
        <v>13</v>
      </c>
      <c r="O2229" t="str">
        <f>_xlfn.IFS(orders[[#This Row],[Customer Gender]]="M","Male", orders[[#This Row],[Customer Gender]]="F","Female", orders[[#This Row],[Customer Gender]]="O","Other", TRUE,"Unknown")</f>
        <v>Male</v>
      </c>
    </row>
    <row r="2230" spans="1:15">
      <c r="A2230" t="s">
        <v>2331</v>
      </c>
      <c r="B2230" t="s">
        <v>81</v>
      </c>
      <c r="C2230">
        <v>1</v>
      </c>
      <c r="D2230">
        <v>25</v>
      </c>
      <c r="E2230">
        <v>25</v>
      </c>
      <c r="F2230" s="1">
        <v>45739</v>
      </c>
      <c r="G2230" s="1">
        <v>45742</v>
      </c>
      <c r="H2230" t="s">
        <v>27</v>
      </c>
      <c r="I2230" t="s">
        <v>18</v>
      </c>
      <c r="J2230">
        <v>4</v>
      </c>
      <c r="K2230" t="s">
        <v>19</v>
      </c>
      <c r="L2230" t="s">
        <v>33</v>
      </c>
      <c r="M2230">
        <f>orders[[#This Row],[Ship Date]]-orders[[#This Row],[Order Date]]</f>
        <v>3</v>
      </c>
      <c r="N2230">
        <f>WEEKNUM(orders[[#This Row],[Order Date]])</f>
        <v>13</v>
      </c>
      <c r="O2230" t="str">
        <f>_xlfn.IFS(orders[[#This Row],[Customer Gender]]="M","Male", orders[[#This Row],[Customer Gender]]="F","Female", orders[[#This Row],[Customer Gender]]="O","Other", TRUE,"Unknown")</f>
        <v>Female</v>
      </c>
    </row>
    <row r="2231" spans="1:15">
      <c r="A2231" t="s">
        <v>2332</v>
      </c>
      <c r="B2231" t="s">
        <v>26</v>
      </c>
      <c r="C2231">
        <v>6</v>
      </c>
      <c r="D2231">
        <v>105.6</v>
      </c>
      <c r="E2231">
        <v>633.59999999999991</v>
      </c>
      <c r="F2231" s="1">
        <v>45739</v>
      </c>
      <c r="G2231" s="1">
        <v>45739</v>
      </c>
      <c r="H2231" t="s">
        <v>27</v>
      </c>
      <c r="I2231" t="s">
        <v>18</v>
      </c>
      <c r="J2231">
        <v>4</v>
      </c>
      <c r="K2231" t="s">
        <v>19</v>
      </c>
      <c r="L2231" t="s">
        <v>33</v>
      </c>
      <c r="M2231">
        <f>orders[[#This Row],[Ship Date]]-orders[[#This Row],[Order Date]]</f>
        <v>0</v>
      </c>
      <c r="N2231">
        <f>WEEKNUM(orders[[#This Row],[Order Date]])</f>
        <v>13</v>
      </c>
      <c r="O2231" t="str">
        <f>_xlfn.IFS(orders[[#This Row],[Customer Gender]]="M","Male", orders[[#This Row],[Customer Gender]]="F","Female", orders[[#This Row],[Customer Gender]]="O","Other", TRUE,"Unknown")</f>
        <v>Female</v>
      </c>
    </row>
    <row r="2232" spans="1:15">
      <c r="A2232" t="s">
        <v>2333</v>
      </c>
      <c r="B2232" t="s">
        <v>146</v>
      </c>
      <c r="C2232">
        <v>8</v>
      </c>
      <c r="D2232">
        <v>59.6</v>
      </c>
      <c r="E2232">
        <v>476.8</v>
      </c>
      <c r="F2232" s="1">
        <v>45739</v>
      </c>
      <c r="G2232" s="1">
        <v>45739</v>
      </c>
      <c r="H2232" t="s">
        <v>27</v>
      </c>
      <c r="I2232" t="s">
        <v>18</v>
      </c>
      <c r="J2232">
        <v>5</v>
      </c>
      <c r="K2232" t="s">
        <v>19</v>
      </c>
      <c r="L2232" t="s">
        <v>158</v>
      </c>
      <c r="M2232">
        <f>orders[[#This Row],[Ship Date]]-orders[[#This Row],[Order Date]]</f>
        <v>0</v>
      </c>
      <c r="N2232">
        <f>WEEKNUM(orders[[#This Row],[Order Date]])</f>
        <v>13</v>
      </c>
      <c r="O2232" t="str">
        <f>_xlfn.IFS(orders[[#This Row],[Customer Gender]]="M","Male", orders[[#This Row],[Customer Gender]]="F","Female", orders[[#This Row],[Customer Gender]]="O","Other", TRUE,"Unknown")</f>
        <v>Female</v>
      </c>
    </row>
    <row r="2233" spans="1:15">
      <c r="A2233" t="s">
        <v>2334</v>
      </c>
      <c r="B2233" t="s">
        <v>123</v>
      </c>
      <c r="C2233">
        <v>3</v>
      </c>
      <c r="D2233">
        <v>75.400000000000006</v>
      </c>
      <c r="E2233">
        <v>226.20000000000002</v>
      </c>
      <c r="F2233" s="1">
        <v>45739</v>
      </c>
      <c r="G2233" s="1">
        <v>45744</v>
      </c>
      <c r="H2233" t="s">
        <v>23</v>
      </c>
      <c r="I2233" t="s">
        <v>18</v>
      </c>
      <c r="J2233">
        <v>3</v>
      </c>
      <c r="K2233" t="s">
        <v>19</v>
      </c>
      <c r="L2233" t="s">
        <v>59</v>
      </c>
      <c r="M2233">
        <f>orders[[#This Row],[Ship Date]]-orders[[#This Row],[Order Date]]</f>
        <v>5</v>
      </c>
      <c r="N2233">
        <f>WEEKNUM(orders[[#This Row],[Order Date]])</f>
        <v>13</v>
      </c>
      <c r="O2233" t="str">
        <f>_xlfn.IFS(orders[[#This Row],[Customer Gender]]="M","Male", orders[[#This Row],[Customer Gender]]="F","Female", orders[[#This Row],[Customer Gender]]="O","Other", TRUE,"Unknown")</f>
        <v>Male</v>
      </c>
    </row>
    <row r="2234" spans="1:15">
      <c r="A2234" t="s">
        <v>2335</v>
      </c>
      <c r="B2234" t="s">
        <v>42</v>
      </c>
      <c r="C2234">
        <v>1</v>
      </c>
      <c r="D2234">
        <v>104.4</v>
      </c>
      <c r="E2234">
        <v>104.4</v>
      </c>
      <c r="F2234" s="1">
        <v>45739</v>
      </c>
      <c r="G2234" s="1">
        <v>45740</v>
      </c>
      <c r="H2234" t="s">
        <v>27</v>
      </c>
      <c r="I2234" t="s">
        <v>18</v>
      </c>
      <c r="J2234">
        <v>4</v>
      </c>
      <c r="K2234" t="s">
        <v>19</v>
      </c>
      <c r="L2234" t="s">
        <v>62</v>
      </c>
      <c r="M2234">
        <f>orders[[#This Row],[Ship Date]]-orders[[#This Row],[Order Date]]</f>
        <v>1</v>
      </c>
      <c r="N2234">
        <f>WEEKNUM(orders[[#This Row],[Order Date]])</f>
        <v>13</v>
      </c>
      <c r="O2234" t="str">
        <f>_xlfn.IFS(orders[[#This Row],[Customer Gender]]="M","Male", orders[[#This Row],[Customer Gender]]="F","Female", orders[[#This Row],[Customer Gender]]="O","Other", TRUE,"Unknown")</f>
        <v>Female</v>
      </c>
    </row>
    <row r="2235" spans="1:15">
      <c r="A2235" t="s">
        <v>2336</v>
      </c>
      <c r="B2235" t="s">
        <v>26</v>
      </c>
      <c r="C2235">
        <v>10</v>
      </c>
      <c r="D2235">
        <v>208.2</v>
      </c>
      <c r="E2235">
        <v>2082</v>
      </c>
      <c r="F2235" s="1">
        <v>45739</v>
      </c>
      <c r="G2235" s="1">
        <v>45740</v>
      </c>
      <c r="H2235" t="s">
        <v>23</v>
      </c>
      <c r="I2235" t="s">
        <v>18</v>
      </c>
      <c r="J2235">
        <v>5</v>
      </c>
      <c r="K2235" t="s">
        <v>19</v>
      </c>
      <c r="L2235" t="s">
        <v>62</v>
      </c>
      <c r="M2235">
        <f>orders[[#This Row],[Ship Date]]-orders[[#This Row],[Order Date]]</f>
        <v>1</v>
      </c>
      <c r="N2235">
        <f>WEEKNUM(orders[[#This Row],[Order Date]])</f>
        <v>13</v>
      </c>
      <c r="O2235" t="str">
        <f>_xlfn.IFS(orders[[#This Row],[Customer Gender]]="M","Male", orders[[#This Row],[Customer Gender]]="F","Female", orders[[#This Row],[Customer Gender]]="O","Other", TRUE,"Unknown")</f>
        <v>Male</v>
      </c>
    </row>
    <row r="2236" spans="1:15">
      <c r="A2236" t="s">
        <v>2337</v>
      </c>
      <c r="B2236" t="s">
        <v>39</v>
      </c>
      <c r="C2236">
        <v>2</v>
      </c>
      <c r="D2236">
        <v>45</v>
      </c>
      <c r="E2236">
        <v>90</v>
      </c>
      <c r="F2236" s="1">
        <v>45739</v>
      </c>
      <c r="G2236" s="1">
        <v>45742</v>
      </c>
      <c r="H2236" t="s">
        <v>27</v>
      </c>
      <c r="I2236" t="s">
        <v>18</v>
      </c>
      <c r="J2236">
        <v>4</v>
      </c>
      <c r="K2236" t="s">
        <v>19</v>
      </c>
      <c r="L2236" t="s">
        <v>74</v>
      </c>
      <c r="M2236">
        <f>orders[[#This Row],[Ship Date]]-orders[[#This Row],[Order Date]]</f>
        <v>3</v>
      </c>
      <c r="N2236">
        <f>WEEKNUM(orders[[#This Row],[Order Date]])</f>
        <v>13</v>
      </c>
      <c r="O2236" t="str">
        <f>_xlfn.IFS(orders[[#This Row],[Customer Gender]]="M","Male", orders[[#This Row],[Customer Gender]]="F","Female", orders[[#This Row],[Customer Gender]]="O","Other", TRUE,"Unknown")</f>
        <v>Female</v>
      </c>
    </row>
    <row r="2237" spans="1:15">
      <c r="A2237" t="s">
        <v>2338</v>
      </c>
      <c r="B2237" t="s">
        <v>123</v>
      </c>
      <c r="C2237">
        <v>2</v>
      </c>
      <c r="D2237">
        <v>20.3</v>
      </c>
      <c r="E2237">
        <v>40.6</v>
      </c>
      <c r="F2237" s="1">
        <v>45740</v>
      </c>
      <c r="G2237" s="1">
        <v>45742</v>
      </c>
      <c r="H2237" t="s">
        <v>17</v>
      </c>
      <c r="I2237" t="s">
        <v>35</v>
      </c>
      <c r="J2237">
        <v>4</v>
      </c>
      <c r="K2237" t="s">
        <v>19</v>
      </c>
      <c r="L2237" t="s">
        <v>77</v>
      </c>
      <c r="M2237">
        <f>orders[[#This Row],[Ship Date]]-orders[[#This Row],[Order Date]]</f>
        <v>2</v>
      </c>
      <c r="N2237">
        <f>WEEKNUM(orders[[#This Row],[Order Date]])</f>
        <v>13</v>
      </c>
      <c r="O2237" t="str">
        <f>_xlfn.IFS(orders[[#This Row],[Customer Gender]]="M","Male", orders[[#This Row],[Customer Gender]]="F","Female", orders[[#This Row],[Customer Gender]]="O","Other", TRUE,"Unknown")</f>
        <v>Unknown</v>
      </c>
    </row>
    <row r="2238" spans="1:15">
      <c r="A2238" t="s">
        <v>2339</v>
      </c>
      <c r="B2238" t="s">
        <v>26</v>
      </c>
      <c r="C2238">
        <v>3</v>
      </c>
      <c r="D2238">
        <v>94.4</v>
      </c>
      <c r="E2238">
        <v>283.20000000000005</v>
      </c>
      <c r="F2238" s="1">
        <v>45740</v>
      </c>
      <c r="G2238" s="1">
        <v>45741</v>
      </c>
      <c r="H2238" t="s">
        <v>27</v>
      </c>
      <c r="I2238" t="s">
        <v>18</v>
      </c>
      <c r="J2238">
        <v>5</v>
      </c>
      <c r="K2238" t="s">
        <v>19</v>
      </c>
      <c r="L2238" t="s">
        <v>77</v>
      </c>
      <c r="M2238">
        <f>orders[[#This Row],[Ship Date]]-orders[[#This Row],[Order Date]]</f>
        <v>1</v>
      </c>
      <c r="N2238">
        <f>WEEKNUM(orders[[#This Row],[Order Date]])</f>
        <v>13</v>
      </c>
      <c r="O2238" t="str">
        <f>_xlfn.IFS(orders[[#This Row],[Customer Gender]]="M","Male", orders[[#This Row],[Customer Gender]]="F","Female", orders[[#This Row],[Customer Gender]]="O","Other", TRUE,"Unknown")</f>
        <v>Female</v>
      </c>
    </row>
    <row r="2239" spans="1:15">
      <c r="A2239" t="s">
        <v>2340</v>
      </c>
      <c r="B2239" t="s">
        <v>46</v>
      </c>
      <c r="C2239">
        <v>1</v>
      </c>
      <c r="D2239">
        <v>49</v>
      </c>
      <c r="E2239">
        <v>49</v>
      </c>
      <c r="F2239" s="1">
        <v>45740</v>
      </c>
      <c r="G2239" s="1">
        <v>45742</v>
      </c>
      <c r="H2239" t="s">
        <v>27</v>
      </c>
      <c r="I2239" t="s">
        <v>18</v>
      </c>
      <c r="J2239">
        <v>5</v>
      </c>
      <c r="K2239" t="s">
        <v>19</v>
      </c>
      <c r="L2239" t="s">
        <v>113</v>
      </c>
      <c r="M2239">
        <f>orders[[#This Row],[Ship Date]]-orders[[#This Row],[Order Date]]</f>
        <v>2</v>
      </c>
      <c r="N2239">
        <f>WEEKNUM(orders[[#This Row],[Order Date]])</f>
        <v>13</v>
      </c>
      <c r="O2239" t="str">
        <f>_xlfn.IFS(orders[[#This Row],[Customer Gender]]="M","Male", orders[[#This Row],[Customer Gender]]="F","Female", orders[[#This Row],[Customer Gender]]="O","Other", TRUE,"Unknown")</f>
        <v>Female</v>
      </c>
    </row>
    <row r="2240" spans="1:15">
      <c r="A2240" t="s">
        <v>2341</v>
      </c>
      <c r="B2240" t="s">
        <v>32</v>
      </c>
      <c r="C2240">
        <v>2</v>
      </c>
      <c r="D2240">
        <v>27.2</v>
      </c>
      <c r="E2240">
        <v>54.4</v>
      </c>
      <c r="F2240" s="1">
        <v>45740</v>
      </c>
      <c r="G2240" s="1">
        <v>45742</v>
      </c>
      <c r="H2240" t="s">
        <v>23</v>
      </c>
      <c r="I2240" t="s">
        <v>18</v>
      </c>
      <c r="J2240">
        <v>5</v>
      </c>
      <c r="K2240" t="s">
        <v>19</v>
      </c>
      <c r="L2240" t="s">
        <v>24</v>
      </c>
      <c r="M2240">
        <f>orders[[#This Row],[Ship Date]]-orders[[#This Row],[Order Date]]</f>
        <v>2</v>
      </c>
      <c r="N2240">
        <f>WEEKNUM(orders[[#This Row],[Order Date]])</f>
        <v>13</v>
      </c>
      <c r="O2240" t="str">
        <f>_xlfn.IFS(orders[[#This Row],[Customer Gender]]="M","Male", orders[[#This Row],[Customer Gender]]="F","Female", orders[[#This Row],[Customer Gender]]="O","Other", TRUE,"Unknown")</f>
        <v>Male</v>
      </c>
    </row>
    <row r="2241" spans="1:15">
      <c r="A2241" t="s">
        <v>2342</v>
      </c>
      <c r="B2241" t="s">
        <v>26</v>
      </c>
      <c r="C2241">
        <v>6</v>
      </c>
      <c r="D2241">
        <v>72.599999999999994</v>
      </c>
      <c r="E2241">
        <v>435.59999999999997</v>
      </c>
      <c r="F2241" s="1">
        <v>45740</v>
      </c>
      <c r="G2241" s="1">
        <v>45741</v>
      </c>
      <c r="H2241" t="s">
        <v>27</v>
      </c>
      <c r="I2241" t="s">
        <v>18</v>
      </c>
      <c r="J2241">
        <v>5</v>
      </c>
      <c r="K2241" t="s">
        <v>19</v>
      </c>
      <c r="L2241" t="s">
        <v>28</v>
      </c>
      <c r="M2241">
        <f>orders[[#This Row],[Ship Date]]-orders[[#This Row],[Order Date]]</f>
        <v>1</v>
      </c>
      <c r="N2241">
        <f>WEEKNUM(orders[[#This Row],[Order Date]])</f>
        <v>13</v>
      </c>
      <c r="O2241" t="str">
        <f>_xlfn.IFS(orders[[#This Row],[Customer Gender]]="M","Male", orders[[#This Row],[Customer Gender]]="F","Female", orders[[#This Row],[Customer Gender]]="O","Other", TRUE,"Unknown")</f>
        <v>Female</v>
      </c>
    </row>
    <row r="2242" spans="1:15">
      <c r="A2242" t="s">
        <v>2343</v>
      </c>
      <c r="B2242" t="s">
        <v>123</v>
      </c>
      <c r="C2242">
        <v>4</v>
      </c>
      <c r="D2242">
        <v>62.4</v>
      </c>
      <c r="E2242">
        <v>249.6</v>
      </c>
      <c r="F2242" s="1">
        <v>45740</v>
      </c>
      <c r="G2242" s="1">
        <v>45741</v>
      </c>
      <c r="H2242" t="s">
        <v>27</v>
      </c>
      <c r="I2242" t="s">
        <v>18</v>
      </c>
      <c r="J2242">
        <v>4</v>
      </c>
      <c r="K2242" t="s">
        <v>19</v>
      </c>
      <c r="L2242" t="s">
        <v>33</v>
      </c>
      <c r="M2242">
        <f>orders[[#This Row],[Ship Date]]-orders[[#This Row],[Order Date]]</f>
        <v>1</v>
      </c>
      <c r="N2242">
        <f>WEEKNUM(orders[[#This Row],[Order Date]])</f>
        <v>13</v>
      </c>
      <c r="O2242" t="str">
        <f>_xlfn.IFS(orders[[#This Row],[Customer Gender]]="M","Male", orders[[#This Row],[Customer Gender]]="F","Female", orders[[#This Row],[Customer Gender]]="O","Other", TRUE,"Unknown")</f>
        <v>Female</v>
      </c>
    </row>
    <row r="2243" spans="1:15">
      <c r="A2243" t="s">
        <v>2344</v>
      </c>
      <c r="B2243" t="s">
        <v>44</v>
      </c>
      <c r="C2243">
        <v>3</v>
      </c>
      <c r="D2243">
        <v>19.100000000000001</v>
      </c>
      <c r="E2243">
        <v>57.300000000000004</v>
      </c>
      <c r="F2243" s="1">
        <v>45740</v>
      </c>
      <c r="G2243" s="1">
        <v>45742</v>
      </c>
      <c r="H2243" t="s">
        <v>23</v>
      </c>
      <c r="I2243" t="s">
        <v>18</v>
      </c>
      <c r="J2243">
        <v>3</v>
      </c>
      <c r="K2243" t="s">
        <v>19</v>
      </c>
      <c r="L2243" t="s">
        <v>33</v>
      </c>
      <c r="M2243">
        <f>orders[[#This Row],[Ship Date]]-orders[[#This Row],[Order Date]]</f>
        <v>2</v>
      </c>
      <c r="N2243">
        <f>WEEKNUM(orders[[#This Row],[Order Date]])</f>
        <v>13</v>
      </c>
      <c r="O2243" t="str">
        <f>_xlfn.IFS(orders[[#This Row],[Customer Gender]]="M","Male", orders[[#This Row],[Customer Gender]]="F","Female", orders[[#This Row],[Customer Gender]]="O","Other", TRUE,"Unknown")</f>
        <v>Male</v>
      </c>
    </row>
    <row r="2244" spans="1:15">
      <c r="A2244" t="s">
        <v>2345</v>
      </c>
      <c r="B2244" t="s">
        <v>54</v>
      </c>
      <c r="C2244">
        <v>1</v>
      </c>
      <c r="D2244">
        <v>29.6</v>
      </c>
      <c r="E2244">
        <v>29.6</v>
      </c>
      <c r="F2244" s="1">
        <v>45740</v>
      </c>
      <c r="G2244" s="1">
        <v>45744</v>
      </c>
      <c r="H2244" t="s">
        <v>23</v>
      </c>
      <c r="I2244" t="s">
        <v>18</v>
      </c>
      <c r="J2244">
        <v>2</v>
      </c>
      <c r="K2244" t="s">
        <v>19</v>
      </c>
      <c r="L2244" t="s">
        <v>33</v>
      </c>
      <c r="M2244">
        <f>orders[[#This Row],[Ship Date]]-orders[[#This Row],[Order Date]]</f>
        <v>4</v>
      </c>
      <c r="N2244">
        <f>WEEKNUM(orders[[#This Row],[Order Date]])</f>
        <v>13</v>
      </c>
      <c r="O2244" t="str">
        <f>_xlfn.IFS(orders[[#This Row],[Customer Gender]]="M","Male", orders[[#This Row],[Customer Gender]]="F","Female", orders[[#This Row],[Customer Gender]]="O","Other", TRUE,"Unknown")</f>
        <v>Male</v>
      </c>
    </row>
    <row r="2245" spans="1:15">
      <c r="A2245" t="s">
        <v>2346</v>
      </c>
      <c r="B2245" t="s">
        <v>44</v>
      </c>
      <c r="C2245">
        <v>2</v>
      </c>
      <c r="D2245">
        <v>18.899999999999999</v>
      </c>
      <c r="E2245">
        <v>37.799999999999997</v>
      </c>
      <c r="F2245" s="1">
        <v>45740</v>
      </c>
      <c r="G2245" s="1">
        <v>45742</v>
      </c>
      <c r="H2245" t="s">
        <v>27</v>
      </c>
      <c r="I2245" t="s">
        <v>70</v>
      </c>
      <c r="J2245">
        <v>5</v>
      </c>
      <c r="K2245" t="s">
        <v>19</v>
      </c>
      <c r="L2245" t="s">
        <v>33</v>
      </c>
      <c r="M2245">
        <f>orders[[#This Row],[Ship Date]]-orders[[#This Row],[Order Date]]</f>
        <v>2</v>
      </c>
      <c r="N2245">
        <f>WEEKNUM(orders[[#This Row],[Order Date]])</f>
        <v>13</v>
      </c>
      <c r="O2245" t="str">
        <f>_xlfn.IFS(orders[[#This Row],[Customer Gender]]="M","Male", orders[[#This Row],[Customer Gender]]="F","Female", orders[[#This Row],[Customer Gender]]="O","Other", TRUE,"Unknown")</f>
        <v>Female</v>
      </c>
    </row>
    <row r="2246" spans="1:15">
      <c r="A2246" t="s">
        <v>2347</v>
      </c>
      <c r="B2246" t="s">
        <v>54</v>
      </c>
      <c r="C2246">
        <v>5</v>
      </c>
      <c r="D2246">
        <v>41.4</v>
      </c>
      <c r="E2246">
        <v>207</v>
      </c>
      <c r="F2246" s="1">
        <v>45740</v>
      </c>
      <c r="G2246" s="1">
        <v>45741</v>
      </c>
      <c r="H2246" t="s">
        <v>23</v>
      </c>
      <c r="I2246" t="s">
        <v>51</v>
      </c>
      <c r="J2246">
        <v>4</v>
      </c>
      <c r="K2246" t="s">
        <v>19</v>
      </c>
      <c r="L2246" t="s">
        <v>33</v>
      </c>
      <c r="M2246">
        <f>orders[[#This Row],[Ship Date]]-orders[[#This Row],[Order Date]]</f>
        <v>1</v>
      </c>
      <c r="N2246">
        <f>WEEKNUM(orders[[#This Row],[Order Date]])</f>
        <v>13</v>
      </c>
      <c r="O2246" t="str">
        <f>_xlfn.IFS(orders[[#This Row],[Customer Gender]]="M","Male", orders[[#This Row],[Customer Gender]]="F","Female", orders[[#This Row],[Customer Gender]]="O","Other", TRUE,"Unknown")</f>
        <v>Male</v>
      </c>
    </row>
    <row r="2247" spans="1:15">
      <c r="A2247" t="s">
        <v>2348</v>
      </c>
      <c r="B2247" t="s">
        <v>26</v>
      </c>
      <c r="C2247">
        <v>1</v>
      </c>
      <c r="D2247">
        <v>118.4</v>
      </c>
      <c r="E2247">
        <v>118.4</v>
      </c>
      <c r="F2247" s="1">
        <v>45740</v>
      </c>
      <c r="G2247" s="1">
        <v>45741</v>
      </c>
      <c r="H2247" t="s">
        <v>27</v>
      </c>
      <c r="I2247" t="s">
        <v>18</v>
      </c>
      <c r="J2247">
        <v>5</v>
      </c>
      <c r="K2247" t="s">
        <v>19</v>
      </c>
      <c r="L2247" t="s">
        <v>33</v>
      </c>
      <c r="M2247">
        <f>orders[[#This Row],[Ship Date]]-orders[[#This Row],[Order Date]]</f>
        <v>1</v>
      </c>
      <c r="N2247">
        <f>WEEKNUM(orders[[#This Row],[Order Date]])</f>
        <v>13</v>
      </c>
      <c r="O2247" t="str">
        <f>_xlfn.IFS(orders[[#This Row],[Customer Gender]]="M","Male", orders[[#This Row],[Customer Gender]]="F","Female", orders[[#This Row],[Customer Gender]]="O","Other", TRUE,"Unknown")</f>
        <v>Female</v>
      </c>
    </row>
    <row r="2248" spans="1:15">
      <c r="A2248" t="s">
        <v>2349</v>
      </c>
      <c r="B2248" t="s">
        <v>26</v>
      </c>
      <c r="C2248">
        <v>2</v>
      </c>
      <c r="D2248">
        <v>125.3</v>
      </c>
      <c r="E2248">
        <v>250.6</v>
      </c>
      <c r="F2248" s="1">
        <v>45740</v>
      </c>
      <c r="G2248" s="1">
        <v>45743</v>
      </c>
      <c r="H2248" t="s">
        <v>27</v>
      </c>
      <c r="I2248" t="s">
        <v>18</v>
      </c>
      <c r="J2248">
        <v>5</v>
      </c>
      <c r="K2248" t="s">
        <v>19</v>
      </c>
      <c r="L2248" t="s">
        <v>33</v>
      </c>
      <c r="M2248">
        <f>orders[[#This Row],[Ship Date]]-orders[[#This Row],[Order Date]]</f>
        <v>3</v>
      </c>
      <c r="N2248">
        <f>WEEKNUM(orders[[#This Row],[Order Date]])</f>
        <v>13</v>
      </c>
      <c r="O2248" t="str">
        <f>_xlfn.IFS(orders[[#This Row],[Customer Gender]]="M","Male", orders[[#This Row],[Customer Gender]]="F","Female", orders[[#This Row],[Customer Gender]]="O","Other", TRUE,"Unknown")</f>
        <v>Female</v>
      </c>
    </row>
    <row r="2249" spans="1:15">
      <c r="A2249" t="s">
        <v>2350</v>
      </c>
      <c r="B2249" t="s">
        <v>30</v>
      </c>
      <c r="C2249">
        <v>2</v>
      </c>
      <c r="D2249">
        <v>85.8</v>
      </c>
      <c r="E2249">
        <v>171.6</v>
      </c>
      <c r="F2249" s="1">
        <v>45740</v>
      </c>
      <c r="G2249" s="1">
        <v>45741</v>
      </c>
      <c r="H2249" t="s">
        <v>27</v>
      </c>
      <c r="I2249" t="s">
        <v>35</v>
      </c>
      <c r="J2249">
        <v>2</v>
      </c>
      <c r="K2249" t="s">
        <v>19</v>
      </c>
      <c r="L2249" t="s">
        <v>33</v>
      </c>
      <c r="M2249">
        <f>orders[[#This Row],[Ship Date]]-orders[[#This Row],[Order Date]]</f>
        <v>1</v>
      </c>
      <c r="N2249">
        <f>WEEKNUM(orders[[#This Row],[Order Date]])</f>
        <v>13</v>
      </c>
      <c r="O2249" t="str">
        <f>_xlfn.IFS(orders[[#This Row],[Customer Gender]]="M","Male", orders[[#This Row],[Customer Gender]]="F","Female", orders[[#This Row],[Customer Gender]]="O","Other", TRUE,"Unknown")</f>
        <v>Female</v>
      </c>
    </row>
    <row r="2250" spans="1:15">
      <c r="A2250" t="s">
        <v>2351</v>
      </c>
      <c r="B2250" t="s">
        <v>39</v>
      </c>
      <c r="C2250">
        <v>1</v>
      </c>
      <c r="D2250">
        <v>44.2</v>
      </c>
      <c r="E2250">
        <v>44.2</v>
      </c>
      <c r="F2250" s="1">
        <v>45740</v>
      </c>
      <c r="G2250" s="1">
        <v>45743</v>
      </c>
      <c r="H2250" t="s">
        <v>23</v>
      </c>
      <c r="I2250" t="s">
        <v>35</v>
      </c>
      <c r="J2250">
        <v>4</v>
      </c>
      <c r="K2250" t="s">
        <v>19</v>
      </c>
      <c r="L2250" t="s">
        <v>33</v>
      </c>
      <c r="M2250">
        <f>orders[[#This Row],[Ship Date]]-orders[[#This Row],[Order Date]]</f>
        <v>3</v>
      </c>
      <c r="N2250">
        <f>WEEKNUM(orders[[#This Row],[Order Date]])</f>
        <v>13</v>
      </c>
      <c r="O2250" t="str">
        <f>_xlfn.IFS(orders[[#This Row],[Customer Gender]]="M","Male", orders[[#This Row],[Customer Gender]]="F","Female", orders[[#This Row],[Customer Gender]]="O","Other", TRUE,"Unknown")</f>
        <v>Male</v>
      </c>
    </row>
    <row r="2251" spans="1:15">
      <c r="A2251" t="s">
        <v>2352</v>
      </c>
      <c r="B2251" t="s">
        <v>37</v>
      </c>
      <c r="C2251">
        <v>4</v>
      </c>
      <c r="D2251">
        <v>74.099999999999994</v>
      </c>
      <c r="E2251">
        <v>296.39999999999998</v>
      </c>
      <c r="F2251" s="1">
        <v>45740</v>
      </c>
      <c r="G2251" s="1">
        <v>45742</v>
      </c>
      <c r="H2251" t="s">
        <v>27</v>
      </c>
      <c r="I2251" t="s">
        <v>18</v>
      </c>
      <c r="J2251">
        <v>4</v>
      </c>
      <c r="K2251" t="s">
        <v>19</v>
      </c>
      <c r="L2251" t="s">
        <v>33</v>
      </c>
      <c r="M2251">
        <f>orders[[#This Row],[Ship Date]]-orders[[#This Row],[Order Date]]</f>
        <v>2</v>
      </c>
      <c r="N2251">
        <f>WEEKNUM(orders[[#This Row],[Order Date]])</f>
        <v>13</v>
      </c>
      <c r="O2251" t="str">
        <f>_xlfn.IFS(orders[[#This Row],[Customer Gender]]="M","Male", orders[[#This Row],[Customer Gender]]="F","Female", orders[[#This Row],[Customer Gender]]="O","Other", TRUE,"Unknown")</f>
        <v>Female</v>
      </c>
    </row>
    <row r="2252" spans="1:15">
      <c r="A2252" t="s">
        <v>2353</v>
      </c>
      <c r="B2252" t="s">
        <v>44</v>
      </c>
      <c r="C2252">
        <v>1</v>
      </c>
      <c r="D2252">
        <v>33.799999999999997</v>
      </c>
      <c r="E2252">
        <v>33.799999999999997</v>
      </c>
      <c r="F2252" s="1">
        <v>45740</v>
      </c>
      <c r="G2252" s="1">
        <v>45741</v>
      </c>
      <c r="H2252" t="s">
        <v>27</v>
      </c>
      <c r="I2252" t="s">
        <v>40</v>
      </c>
      <c r="J2252">
        <v>5</v>
      </c>
      <c r="K2252" t="s">
        <v>19</v>
      </c>
      <c r="L2252" t="s">
        <v>186</v>
      </c>
      <c r="M2252">
        <f>orders[[#This Row],[Ship Date]]-orders[[#This Row],[Order Date]]</f>
        <v>1</v>
      </c>
      <c r="N2252">
        <f>WEEKNUM(orders[[#This Row],[Order Date]])</f>
        <v>13</v>
      </c>
      <c r="O2252" t="str">
        <f>_xlfn.IFS(orders[[#This Row],[Customer Gender]]="M","Male", orders[[#This Row],[Customer Gender]]="F","Female", orders[[#This Row],[Customer Gender]]="O","Other", TRUE,"Unknown")</f>
        <v>Female</v>
      </c>
    </row>
    <row r="2253" spans="1:15">
      <c r="A2253" t="s">
        <v>2354</v>
      </c>
      <c r="B2253" t="s">
        <v>22</v>
      </c>
      <c r="C2253">
        <v>2</v>
      </c>
      <c r="D2253">
        <v>39.1</v>
      </c>
      <c r="E2253">
        <v>78.2</v>
      </c>
      <c r="F2253" s="1">
        <v>45740</v>
      </c>
      <c r="G2253" s="1">
        <v>45741</v>
      </c>
      <c r="H2253" t="s">
        <v>23</v>
      </c>
      <c r="I2253" t="s">
        <v>18</v>
      </c>
      <c r="J2253">
        <v>3</v>
      </c>
      <c r="K2253" t="s">
        <v>19</v>
      </c>
      <c r="L2253" t="s">
        <v>186</v>
      </c>
      <c r="M2253">
        <f>orders[[#This Row],[Ship Date]]-orders[[#This Row],[Order Date]]</f>
        <v>1</v>
      </c>
      <c r="N2253">
        <f>WEEKNUM(orders[[#This Row],[Order Date]])</f>
        <v>13</v>
      </c>
      <c r="O2253" t="str">
        <f>_xlfn.IFS(orders[[#This Row],[Customer Gender]]="M","Male", orders[[#This Row],[Customer Gender]]="F","Female", orders[[#This Row],[Customer Gender]]="O","Other", TRUE,"Unknown")</f>
        <v>Male</v>
      </c>
    </row>
    <row r="2254" spans="1:15">
      <c r="A2254" t="s">
        <v>2355</v>
      </c>
      <c r="B2254" t="s">
        <v>16</v>
      </c>
      <c r="C2254">
        <v>1</v>
      </c>
      <c r="D2254">
        <v>37.200000000000003</v>
      </c>
      <c r="E2254">
        <v>37.200000000000003</v>
      </c>
      <c r="F2254" s="1">
        <v>45740</v>
      </c>
      <c r="G2254" s="1">
        <v>45741</v>
      </c>
      <c r="H2254" t="s">
        <v>23</v>
      </c>
      <c r="I2254" t="s">
        <v>18</v>
      </c>
      <c r="J2254">
        <v>3</v>
      </c>
      <c r="K2254" t="s">
        <v>19</v>
      </c>
      <c r="L2254" t="s">
        <v>98</v>
      </c>
      <c r="M2254">
        <f>orders[[#This Row],[Ship Date]]-orders[[#This Row],[Order Date]]</f>
        <v>1</v>
      </c>
      <c r="N2254">
        <f>WEEKNUM(orders[[#This Row],[Order Date]])</f>
        <v>13</v>
      </c>
      <c r="O2254" t="str">
        <f>_xlfn.IFS(orders[[#This Row],[Customer Gender]]="M","Male", orders[[#This Row],[Customer Gender]]="F","Female", orders[[#This Row],[Customer Gender]]="O","Other", TRUE,"Unknown")</f>
        <v>Male</v>
      </c>
    </row>
    <row r="2255" spans="1:15">
      <c r="A2255" t="s">
        <v>2356</v>
      </c>
      <c r="B2255" t="s">
        <v>123</v>
      </c>
      <c r="C2255">
        <v>3</v>
      </c>
      <c r="D2255">
        <v>33.9</v>
      </c>
      <c r="E2255">
        <v>101.69999999999999</v>
      </c>
      <c r="F2255" s="1">
        <v>45740</v>
      </c>
      <c r="G2255" s="1">
        <v>45742</v>
      </c>
      <c r="H2255" t="s">
        <v>23</v>
      </c>
      <c r="I2255" t="s">
        <v>40</v>
      </c>
      <c r="J2255">
        <v>4</v>
      </c>
      <c r="K2255" t="s">
        <v>19</v>
      </c>
      <c r="L2255" t="s">
        <v>55</v>
      </c>
      <c r="M2255">
        <f>orders[[#This Row],[Ship Date]]-orders[[#This Row],[Order Date]]</f>
        <v>2</v>
      </c>
      <c r="N2255">
        <f>WEEKNUM(orders[[#This Row],[Order Date]])</f>
        <v>13</v>
      </c>
      <c r="O2255" t="str">
        <f>_xlfn.IFS(orders[[#This Row],[Customer Gender]]="M","Male", orders[[#This Row],[Customer Gender]]="F","Female", orders[[#This Row],[Customer Gender]]="O","Other", TRUE,"Unknown")</f>
        <v>Male</v>
      </c>
    </row>
    <row r="2256" spans="1:15">
      <c r="A2256" t="s">
        <v>2357</v>
      </c>
      <c r="B2256" t="s">
        <v>42</v>
      </c>
      <c r="C2256">
        <v>15</v>
      </c>
      <c r="D2256">
        <v>73.3</v>
      </c>
      <c r="E2256">
        <v>1099.5</v>
      </c>
      <c r="F2256" s="1">
        <v>45740</v>
      </c>
      <c r="G2256" s="1">
        <v>45743</v>
      </c>
      <c r="H2256" t="s">
        <v>27</v>
      </c>
      <c r="I2256" t="s">
        <v>40</v>
      </c>
      <c r="J2256">
        <v>3</v>
      </c>
      <c r="K2256" t="s">
        <v>19</v>
      </c>
      <c r="L2256" t="s">
        <v>62</v>
      </c>
      <c r="M2256">
        <f>orders[[#This Row],[Ship Date]]-orders[[#This Row],[Order Date]]</f>
        <v>3</v>
      </c>
      <c r="N2256">
        <f>WEEKNUM(orders[[#This Row],[Order Date]])</f>
        <v>13</v>
      </c>
      <c r="O2256" t="str">
        <f>_xlfn.IFS(orders[[#This Row],[Customer Gender]]="M","Male", orders[[#This Row],[Customer Gender]]="F","Female", orders[[#This Row],[Customer Gender]]="O","Other", TRUE,"Unknown")</f>
        <v>Female</v>
      </c>
    </row>
    <row r="2257" spans="1:15">
      <c r="A2257" t="s">
        <v>2358</v>
      </c>
      <c r="B2257" t="s">
        <v>44</v>
      </c>
      <c r="C2257">
        <v>4</v>
      </c>
      <c r="D2257">
        <v>35</v>
      </c>
      <c r="E2257">
        <v>140</v>
      </c>
      <c r="F2257" s="1">
        <v>45740</v>
      </c>
      <c r="G2257" s="1">
        <v>45742</v>
      </c>
      <c r="H2257" t="s">
        <v>27</v>
      </c>
      <c r="I2257" t="s">
        <v>35</v>
      </c>
      <c r="J2257">
        <v>4</v>
      </c>
      <c r="K2257" t="s">
        <v>19</v>
      </c>
      <c r="L2257" t="s">
        <v>62</v>
      </c>
      <c r="M2257">
        <f>orders[[#This Row],[Ship Date]]-orders[[#This Row],[Order Date]]</f>
        <v>2</v>
      </c>
      <c r="N2257">
        <f>WEEKNUM(orders[[#This Row],[Order Date]])</f>
        <v>13</v>
      </c>
      <c r="O2257" t="str">
        <f>_xlfn.IFS(orders[[#This Row],[Customer Gender]]="M","Male", orders[[#This Row],[Customer Gender]]="F","Female", orders[[#This Row],[Customer Gender]]="O","Other", TRUE,"Unknown")</f>
        <v>Female</v>
      </c>
    </row>
    <row r="2258" spans="1:15">
      <c r="A2258" t="s">
        <v>2359</v>
      </c>
      <c r="B2258" t="s">
        <v>16</v>
      </c>
      <c r="C2258">
        <v>3</v>
      </c>
      <c r="D2258">
        <v>22.2</v>
      </c>
      <c r="E2258">
        <v>66.599999999999994</v>
      </c>
      <c r="F2258" s="1">
        <v>45740</v>
      </c>
      <c r="G2258" s="1">
        <v>45741</v>
      </c>
      <c r="H2258" t="s">
        <v>23</v>
      </c>
      <c r="I2258" t="s">
        <v>35</v>
      </c>
      <c r="J2258">
        <v>4</v>
      </c>
      <c r="K2258" t="s">
        <v>19</v>
      </c>
      <c r="L2258" t="s">
        <v>103</v>
      </c>
      <c r="M2258">
        <f>orders[[#This Row],[Ship Date]]-orders[[#This Row],[Order Date]]</f>
        <v>1</v>
      </c>
      <c r="N2258">
        <f>WEEKNUM(orders[[#This Row],[Order Date]])</f>
        <v>13</v>
      </c>
      <c r="O2258" t="str">
        <f>_xlfn.IFS(orders[[#This Row],[Customer Gender]]="M","Male", orders[[#This Row],[Customer Gender]]="F","Female", orders[[#This Row],[Customer Gender]]="O","Other", TRUE,"Unknown")</f>
        <v>Male</v>
      </c>
    </row>
    <row r="2259" spans="1:15">
      <c r="A2259" t="s">
        <v>2360</v>
      </c>
      <c r="B2259" t="s">
        <v>54</v>
      </c>
      <c r="C2259">
        <v>1</v>
      </c>
      <c r="D2259">
        <v>32.4</v>
      </c>
      <c r="E2259">
        <v>32.4</v>
      </c>
      <c r="F2259" s="1">
        <v>45740</v>
      </c>
      <c r="G2259" s="1">
        <v>45741</v>
      </c>
      <c r="H2259" t="s">
        <v>27</v>
      </c>
      <c r="I2259" t="s">
        <v>18</v>
      </c>
      <c r="J2259">
        <v>4</v>
      </c>
      <c r="K2259" t="s">
        <v>19</v>
      </c>
      <c r="L2259" t="s">
        <v>77</v>
      </c>
      <c r="M2259">
        <f>orders[[#This Row],[Ship Date]]-orders[[#This Row],[Order Date]]</f>
        <v>1</v>
      </c>
      <c r="N2259">
        <f>WEEKNUM(orders[[#This Row],[Order Date]])</f>
        <v>13</v>
      </c>
      <c r="O2259" t="str">
        <f>_xlfn.IFS(orders[[#This Row],[Customer Gender]]="M","Male", orders[[#This Row],[Customer Gender]]="F","Female", orders[[#This Row],[Customer Gender]]="O","Other", TRUE,"Unknown")</f>
        <v>Female</v>
      </c>
    </row>
    <row r="2260" spans="1:15">
      <c r="A2260" t="s">
        <v>2361</v>
      </c>
      <c r="B2260" t="s">
        <v>37</v>
      </c>
      <c r="C2260">
        <v>3</v>
      </c>
      <c r="D2260">
        <v>88.4</v>
      </c>
      <c r="E2260">
        <v>265.20000000000005</v>
      </c>
      <c r="F2260" s="1">
        <v>45741</v>
      </c>
      <c r="G2260" s="1">
        <v>45743</v>
      </c>
      <c r="H2260" t="s">
        <v>27</v>
      </c>
      <c r="I2260" t="s">
        <v>35</v>
      </c>
      <c r="J2260">
        <v>3</v>
      </c>
      <c r="K2260" t="s">
        <v>19</v>
      </c>
      <c r="L2260" t="s">
        <v>77</v>
      </c>
      <c r="M2260">
        <f>orders[[#This Row],[Ship Date]]-orders[[#This Row],[Order Date]]</f>
        <v>2</v>
      </c>
      <c r="N2260">
        <f>WEEKNUM(orders[[#This Row],[Order Date]])</f>
        <v>13</v>
      </c>
      <c r="O2260" t="str">
        <f>_xlfn.IFS(orders[[#This Row],[Customer Gender]]="M","Male", orders[[#This Row],[Customer Gender]]="F","Female", orders[[#This Row],[Customer Gender]]="O","Other", TRUE,"Unknown")</f>
        <v>Female</v>
      </c>
    </row>
    <row r="2261" spans="1:15">
      <c r="A2261" t="s">
        <v>2362</v>
      </c>
      <c r="B2261" t="s">
        <v>37</v>
      </c>
      <c r="C2261">
        <v>16</v>
      </c>
      <c r="D2261">
        <v>30.5</v>
      </c>
      <c r="E2261">
        <v>488</v>
      </c>
      <c r="F2261" s="1">
        <v>45741</v>
      </c>
      <c r="G2261" s="1">
        <v>45742</v>
      </c>
      <c r="H2261" t="s">
        <v>27</v>
      </c>
      <c r="I2261" t="s">
        <v>40</v>
      </c>
      <c r="J2261">
        <v>4</v>
      </c>
      <c r="K2261" t="s">
        <v>19</v>
      </c>
      <c r="L2261" t="s">
        <v>77</v>
      </c>
      <c r="M2261">
        <f>orders[[#This Row],[Ship Date]]-orders[[#This Row],[Order Date]]</f>
        <v>1</v>
      </c>
      <c r="N2261">
        <f>WEEKNUM(orders[[#This Row],[Order Date]])</f>
        <v>13</v>
      </c>
      <c r="O2261" t="str">
        <f>_xlfn.IFS(orders[[#This Row],[Customer Gender]]="M","Male", orders[[#This Row],[Customer Gender]]="F","Female", orders[[#This Row],[Customer Gender]]="O","Other", TRUE,"Unknown")</f>
        <v>Female</v>
      </c>
    </row>
    <row r="2262" spans="1:15">
      <c r="A2262" t="s">
        <v>2363</v>
      </c>
      <c r="B2262" t="s">
        <v>22</v>
      </c>
      <c r="C2262">
        <v>6</v>
      </c>
      <c r="D2262">
        <v>38.1</v>
      </c>
      <c r="E2262">
        <v>228.60000000000002</v>
      </c>
      <c r="F2262" s="1">
        <v>45741</v>
      </c>
      <c r="G2262" s="1">
        <v>45743</v>
      </c>
      <c r="H2262" t="s">
        <v>27</v>
      </c>
      <c r="I2262" t="s">
        <v>18</v>
      </c>
      <c r="J2262">
        <v>3</v>
      </c>
      <c r="K2262" t="s">
        <v>19</v>
      </c>
      <c r="L2262" t="s">
        <v>77</v>
      </c>
      <c r="M2262">
        <f>orders[[#This Row],[Ship Date]]-orders[[#This Row],[Order Date]]</f>
        <v>2</v>
      </c>
      <c r="N2262">
        <f>WEEKNUM(orders[[#This Row],[Order Date]])</f>
        <v>13</v>
      </c>
      <c r="O2262" t="str">
        <f>_xlfn.IFS(orders[[#This Row],[Customer Gender]]="M","Male", orders[[#This Row],[Customer Gender]]="F","Female", orders[[#This Row],[Customer Gender]]="O","Other", TRUE,"Unknown")</f>
        <v>Female</v>
      </c>
    </row>
    <row r="2263" spans="1:15">
      <c r="A2263" t="s">
        <v>2364</v>
      </c>
      <c r="B2263" t="s">
        <v>54</v>
      </c>
      <c r="C2263">
        <v>5</v>
      </c>
      <c r="D2263">
        <v>37.6</v>
      </c>
      <c r="E2263">
        <v>188</v>
      </c>
      <c r="F2263" s="1">
        <v>45741</v>
      </c>
      <c r="G2263" s="1">
        <v>45745</v>
      </c>
      <c r="H2263" t="s">
        <v>23</v>
      </c>
      <c r="I2263" t="s">
        <v>18</v>
      </c>
      <c r="J2263">
        <v>4</v>
      </c>
      <c r="K2263" t="s">
        <v>19</v>
      </c>
      <c r="L2263" t="s">
        <v>77</v>
      </c>
      <c r="M2263">
        <f>orders[[#This Row],[Ship Date]]-orders[[#This Row],[Order Date]]</f>
        <v>4</v>
      </c>
      <c r="N2263">
        <f>WEEKNUM(orders[[#This Row],[Order Date]])</f>
        <v>13</v>
      </c>
      <c r="O2263" t="str">
        <f>_xlfn.IFS(orders[[#This Row],[Customer Gender]]="M","Male", orders[[#This Row],[Customer Gender]]="F","Female", orders[[#This Row],[Customer Gender]]="O","Other", TRUE,"Unknown")</f>
        <v>Male</v>
      </c>
    </row>
    <row r="2264" spans="1:15">
      <c r="A2264" t="s">
        <v>2365</v>
      </c>
      <c r="B2264" t="s">
        <v>123</v>
      </c>
      <c r="C2264">
        <v>2</v>
      </c>
      <c r="D2264">
        <v>31.4</v>
      </c>
      <c r="E2264">
        <v>62.8</v>
      </c>
      <c r="F2264" s="1">
        <v>45741</v>
      </c>
      <c r="G2264" s="1">
        <v>45742</v>
      </c>
      <c r="H2264" t="s">
        <v>23</v>
      </c>
      <c r="I2264" t="s">
        <v>18</v>
      </c>
      <c r="J2264">
        <v>5</v>
      </c>
      <c r="K2264" t="s">
        <v>19</v>
      </c>
      <c r="L2264" t="s">
        <v>77</v>
      </c>
      <c r="M2264">
        <f>orders[[#This Row],[Ship Date]]-orders[[#This Row],[Order Date]]</f>
        <v>1</v>
      </c>
      <c r="N2264">
        <f>WEEKNUM(orders[[#This Row],[Order Date]])</f>
        <v>13</v>
      </c>
      <c r="O2264" t="str">
        <f>_xlfn.IFS(orders[[#This Row],[Customer Gender]]="M","Male", orders[[#This Row],[Customer Gender]]="F","Female", orders[[#This Row],[Customer Gender]]="O","Other", TRUE,"Unknown")</f>
        <v>Male</v>
      </c>
    </row>
    <row r="2265" spans="1:15">
      <c r="A2265" t="s">
        <v>2366</v>
      </c>
      <c r="B2265" t="s">
        <v>39</v>
      </c>
      <c r="C2265">
        <v>2</v>
      </c>
      <c r="D2265">
        <v>61.5</v>
      </c>
      <c r="E2265">
        <v>123</v>
      </c>
      <c r="F2265" s="1">
        <v>45741</v>
      </c>
      <c r="G2265" s="1">
        <v>45742</v>
      </c>
      <c r="H2265" t="s">
        <v>23</v>
      </c>
      <c r="I2265" t="s">
        <v>51</v>
      </c>
      <c r="J2265">
        <v>4</v>
      </c>
      <c r="K2265" t="s">
        <v>19</v>
      </c>
      <c r="L2265" t="s">
        <v>292</v>
      </c>
      <c r="M2265">
        <f>orders[[#This Row],[Ship Date]]-orders[[#This Row],[Order Date]]</f>
        <v>1</v>
      </c>
      <c r="N2265">
        <f>WEEKNUM(orders[[#This Row],[Order Date]])</f>
        <v>13</v>
      </c>
      <c r="O2265" t="str">
        <f>_xlfn.IFS(orders[[#This Row],[Customer Gender]]="M","Male", orders[[#This Row],[Customer Gender]]="F","Female", orders[[#This Row],[Customer Gender]]="O","Other", TRUE,"Unknown")</f>
        <v>Male</v>
      </c>
    </row>
    <row r="2266" spans="1:15">
      <c r="A2266" t="s">
        <v>2367</v>
      </c>
      <c r="B2266" t="s">
        <v>39</v>
      </c>
      <c r="C2266">
        <v>1</v>
      </c>
      <c r="D2266">
        <v>72.599999999999994</v>
      </c>
      <c r="E2266">
        <v>72.599999999999994</v>
      </c>
      <c r="F2266" s="1">
        <v>45741</v>
      </c>
      <c r="G2266" s="1">
        <v>45742</v>
      </c>
      <c r="H2266" t="s">
        <v>23</v>
      </c>
      <c r="I2266" t="s">
        <v>18</v>
      </c>
      <c r="J2266">
        <v>3</v>
      </c>
      <c r="K2266" t="s">
        <v>19</v>
      </c>
      <c r="L2266" t="s">
        <v>115</v>
      </c>
      <c r="M2266">
        <f>orders[[#This Row],[Ship Date]]-orders[[#This Row],[Order Date]]</f>
        <v>1</v>
      </c>
      <c r="N2266">
        <f>WEEKNUM(orders[[#This Row],[Order Date]])</f>
        <v>13</v>
      </c>
      <c r="O2266" t="str">
        <f>_xlfn.IFS(orders[[#This Row],[Customer Gender]]="M","Male", orders[[#This Row],[Customer Gender]]="F","Female", orders[[#This Row],[Customer Gender]]="O","Other", TRUE,"Unknown")</f>
        <v>Male</v>
      </c>
    </row>
    <row r="2267" spans="1:15">
      <c r="A2267" t="s">
        <v>2368</v>
      </c>
      <c r="B2267" t="s">
        <v>46</v>
      </c>
      <c r="C2267">
        <v>3</v>
      </c>
      <c r="D2267">
        <v>26.9</v>
      </c>
      <c r="E2267">
        <v>80.699999999999989</v>
      </c>
      <c r="F2267" s="1">
        <v>45741</v>
      </c>
      <c r="G2267" s="1">
        <v>45746</v>
      </c>
      <c r="H2267" t="s">
        <v>89</v>
      </c>
      <c r="I2267" t="s">
        <v>70</v>
      </c>
      <c r="J2267">
        <v>3</v>
      </c>
      <c r="K2267" t="s">
        <v>19</v>
      </c>
      <c r="L2267" t="s">
        <v>641</v>
      </c>
      <c r="M2267">
        <f>orders[[#This Row],[Ship Date]]-orders[[#This Row],[Order Date]]</f>
        <v>5</v>
      </c>
      <c r="N2267">
        <f>WEEKNUM(orders[[#This Row],[Order Date]])</f>
        <v>13</v>
      </c>
      <c r="O2267" t="str">
        <f>_xlfn.IFS(orders[[#This Row],[Customer Gender]]="M","Male", orders[[#This Row],[Customer Gender]]="F","Female", orders[[#This Row],[Customer Gender]]="O","Other", TRUE,"Unknown")</f>
        <v>Other</v>
      </c>
    </row>
    <row r="2268" spans="1:15">
      <c r="A2268" t="s">
        <v>2369</v>
      </c>
      <c r="B2268" t="s">
        <v>135</v>
      </c>
      <c r="C2268">
        <v>12</v>
      </c>
      <c r="D2268">
        <v>29.4</v>
      </c>
      <c r="E2268">
        <v>352.79999999999995</v>
      </c>
      <c r="F2268" s="1">
        <v>45741</v>
      </c>
      <c r="G2268" s="1">
        <v>45742</v>
      </c>
      <c r="H2268" t="s">
        <v>27</v>
      </c>
      <c r="I2268" t="s">
        <v>35</v>
      </c>
      <c r="J2268">
        <v>4</v>
      </c>
      <c r="K2268" t="s">
        <v>19</v>
      </c>
      <c r="L2268" t="s">
        <v>967</v>
      </c>
      <c r="M2268">
        <f>orders[[#This Row],[Ship Date]]-orders[[#This Row],[Order Date]]</f>
        <v>1</v>
      </c>
      <c r="N2268">
        <f>WEEKNUM(orders[[#This Row],[Order Date]])</f>
        <v>13</v>
      </c>
      <c r="O2268" t="str">
        <f>_xlfn.IFS(orders[[#This Row],[Customer Gender]]="M","Male", orders[[#This Row],[Customer Gender]]="F","Female", orders[[#This Row],[Customer Gender]]="O","Other", TRUE,"Unknown")</f>
        <v>Female</v>
      </c>
    </row>
    <row r="2269" spans="1:15">
      <c r="A2269" t="s">
        <v>2370</v>
      </c>
      <c r="B2269" t="s">
        <v>135</v>
      </c>
      <c r="C2269">
        <v>2</v>
      </c>
      <c r="D2269">
        <v>42.1</v>
      </c>
      <c r="E2269">
        <v>84.2</v>
      </c>
      <c r="F2269" s="1">
        <v>45741</v>
      </c>
      <c r="G2269" s="1">
        <v>45742</v>
      </c>
      <c r="H2269" t="s">
        <v>27</v>
      </c>
      <c r="I2269" t="s">
        <v>51</v>
      </c>
      <c r="J2269">
        <v>3</v>
      </c>
      <c r="K2269" t="s">
        <v>19</v>
      </c>
      <c r="L2269" t="s">
        <v>24</v>
      </c>
      <c r="M2269">
        <f>orders[[#This Row],[Ship Date]]-orders[[#This Row],[Order Date]]</f>
        <v>1</v>
      </c>
      <c r="N2269">
        <f>WEEKNUM(orders[[#This Row],[Order Date]])</f>
        <v>13</v>
      </c>
      <c r="O2269" t="str">
        <f>_xlfn.IFS(orders[[#This Row],[Customer Gender]]="M","Male", orders[[#This Row],[Customer Gender]]="F","Female", orders[[#This Row],[Customer Gender]]="O","Other", TRUE,"Unknown")</f>
        <v>Female</v>
      </c>
    </row>
    <row r="2270" spans="1:15">
      <c r="A2270" t="s">
        <v>2371</v>
      </c>
      <c r="B2270" t="s">
        <v>37</v>
      </c>
      <c r="C2270">
        <v>1</v>
      </c>
      <c r="D2270">
        <v>40.5</v>
      </c>
      <c r="E2270">
        <v>40.5</v>
      </c>
      <c r="F2270" s="1">
        <v>45741</v>
      </c>
      <c r="G2270" s="1">
        <v>45742</v>
      </c>
      <c r="H2270" t="s">
        <v>27</v>
      </c>
      <c r="I2270" t="s">
        <v>40</v>
      </c>
      <c r="J2270">
        <v>3</v>
      </c>
      <c r="K2270" t="s">
        <v>19</v>
      </c>
      <c r="L2270" t="s">
        <v>24</v>
      </c>
      <c r="M2270">
        <f>orders[[#This Row],[Ship Date]]-orders[[#This Row],[Order Date]]</f>
        <v>1</v>
      </c>
      <c r="N2270">
        <f>WEEKNUM(orders[[#This Row],[Order Date]])</f>
        <v>13</v>
      </c>
      <c r="O2270" t="str">
        <f>_xlfn.IFS(orders[[#This Row],[Customer Gender]]="M","Male", orders[[#This Row],[Customer Gender]]="F","Female", orders[[#This Row],[Customer Gender]]="O","Other", TRUE,"Unknown")</f>
        <v>Female</v>
      </c>
    </row>
    <row r="2271" spans="1:15">
      <c r="A2271" t="s">
        <v>2372</v>
      </c>
      <c r="B2271" t="s">
        <v>26</v>
      </c>
      <c r="C2271">
        <v>4</v>
      </c>
      <c r="D2271">
        <v>182.3</v>
      </c>
      <c r="E2271">
        <v>729.2</v>
      </c>
      <c r="F2271" s="1">
        <v>45741</v>
      </c>
      <c r="G2271" s="1">
        <v>45742</v>
      </c>
      <c r="H2271" t="s">
        <v>27</v>
      </c>
      <c r="I2271" t="s">
        <v>35</v>
      </c>
      <c r="J2271">
        <v>4</v>
      </c>
      <c r="K2271" t="s">
        <v>19</v>
      </c>
      <c r="L2271" t="s">
        <v>24</v>
      </c>
      <c r="M2271">
        <f>orders[[#This Row],[Ship Date]]-orders[[#This Row],[Order Date]]</f>
        <v>1</v>
      </c>
      <c r="N2271">
        <f>WEEKNUM(orders[[#This Row],[Order Date]])</f>
        <v>13</v>
      </c>
      <c r="O2271" t="str">
        <f>_xlfn.IFS(orders[[#This Row],[Customer Gender]]="M","Male", orders[[#This Row],[Customer Gender]]="F","Female", orders[[#This Row],[Customer Gender]]="O","Other", TRUE,"Unknown")</f>
        <v>Female</v>
      </c>
    </row>
    <row r="2272" spans="1:15">
      <c r="A2272" t="s">
        <v>2373</v>
      </c>
      <c r="B2272" t="s">
        <v>26</v>
      </c>
      <c r="C2272">
        <v>5</v>
      </c>
      <c r="D2272">
        <v>157</v>
      </c>
      <c r="E2272">
        <v>785</v>
      </c>
      <c r="F2272" s="1">
        <v>45741</v>
      </c>
      <c r="G2272" s="1">
        <v>45744</v>
      </c>
      <c r="H2272" t="s">
        <v>27</v>
      </c>
      <c r="I2272" t="s">
        <v>35</v>
      </c>
      <c r="J2272">
        <v>5</v>
      </c>
      <c r="K2272" t="s">
        <v>19</v>
      </c>
      <c r="L2272" t="s">
        <v>28</v>
      </c>
      <c r="M2272">
        <f>orders[[#This Row],[Ship Date]]-orders[[#This Row],[Order Date]]</f>
        <v>3</v>
      </c>
      <c r="N2272">
        <f>WEEKNUM(orders[[#This Row],[Order Date]])</f>
        <v>13</v>
      </c>
      <c r="O2272" t="str">
        <f>_xlfn.IFS(orders[[#This Row],[Customer Gender]]="M","Male", orders[[#This Row],[Customer Gender]]="F","Female", orders[[#This Row],[Customer Gender]]="O","Other", TRUE,"Unknown")</f>
        <v>Female</v>
      </c>
    </row>
    <row r="2273" spans="1:15">
      <c r="A2273" t="s">
        <v>2374</v>
      </c>
      <c r="B2273" t="s">
        <v>135</v>
      </c>
      <c r="C2273">
        <v>5</v>
      </c>
      <c r="D2273">
        <v>45.2</v>
      </c>
      <c r="E2273">
        <v>226</v>
      </c>
      <c r="F2273" s="1">
        <v>45741</v>
      </c>
      <c r="G2273" s="1">
        <v>45744</v>
      </c>
      <c r="H2273" t="s">
        <v>27</v>
      </c>
      <c r="I2273" t="s">
        <v>35</v>
      </c>
      <c r="J2273">
        <v>4</v>
      </c>
      <c r="K2273" t="s">
        <v>19</v>
      </c>
      <c r="L2273" t="s">
        <v>147</v>
      </c>
      <c r="M2273">
        <f>orders[[#This Row],[Ship Date]]-orders[[#This Row],[Order Date]]</f>
        <v>3</v>
      </c>
      <c r="N2273">
        <f>WEEKNUM(orders[[#This Row],[Order Date]])</f>
        <v>13</v>
      </c>
      <c r="O2273" t="str">
        <f>_xlfn.IFS(orders[[#This Row],[Customer Gender]]="M","Male", orders[[#This Row],[Customer Gender]]="F","Female", orders[[#This Row],[Customer Gender]]="O","Other", TRUE,"Unknown")</f>
        <v>Female</v>
      </c>
    </row>
    <row r="2274" spans="1:15">
      <c r="A2274" t="s">
        <v>2375</v>
      </c>
      <c r="B2274" t="s">
        <v>123</v>
      </c>
      <c r="C2274">
        <v>4</v>
      </c>
      <c r="D2274">
        <v>27.4</v>
      </c>
      <c r="E2274">
        <v>109.6</v>
      </c>
      <c r="F2274" s="1">
        <v>45741</v>
      </c>
      <c r="G2274" s="1">
        <v>45743</v>
      </c>
      <c r="H2274" t="s">
        <v>27</v>
      </c>
      <c r="I2274" t="s">
        <v>18</v>
      </c>
      <c r="J2274">
        <v>4</v>
      </c>
      <c r="K2274" t="s">
        <v>19</v>
      </c>
      <c r="L2274" t="s">
        <v>33</v>
      </c>
      <c r="M2274">
        <f>orders[[#This Row],[Ship Date]]-orders[[#This Row],[Order Date]]</f>
        <v>2</v>
      </c>
      <c r="N2274">
        <f>WEEKNUM(orders[[#This Row],[Order Date]])</f>
        <v>13</v>
      </c>
      <c r="O2274" t="str">
        <f>_xlfn.IFS(orders[[#This Row],[Customer Gender]]="M","Male", orders[[#This Row],[Customer Gender]]="F","Female", orders[[#This Row],[Customer Gender]]="O","Other", TRUE,"Unknown")</f>
        <v>Female</v>
      </c>
    </row>
    <row r="2275" spans="1:15">
      <c r="A2275" t="s">
        <v>2376</v>
      </c>
      <c r="B2275" t="s">
        <v>37</v>
      </c>
      <c r="C2275">
        <v>5</v>
      </c>
      <c r="D2275">
        <v>34.1</v>
      </c>
      <c r="E2275">
        <v>170.5</v>
      </c>
      <c r="F2275" s="1">
        <v>45741</v>
      </c>
      <c r="G2275" s="1">
        <v>45743</v>
      </c>
      <c r="H2275" t="s">
        <v>23</v>
      </c>
      <c r="I2275" t="s">
        <v>18</v>
      </c>
      <c r="J2275">
        <v>5</v>
      </c>
      <c r="K2275" t="s">
        <v>19</v>
      </c>
      <c r="L2275" t="s">
        <v>33</v>
      </c>
      <c r="M2275">
        <f>orders[[#This Row],[Ship Date]]-orders[[#This Row],[Order Date]]</f>
        <v>2</v>
      </c>
      <c r="N2275">
        <f>WEEKNUM(orders[[#This Row],[Order Date]])</f>
        <v>13</v>
      </c>
      <c r="O2275" t="str">
        <f>_xlfn.IFS(orders[[#This Row],[Customer Gender]]="M","Male", orders[[#This Row],[Customer Gender]]="F","Female", orders[[#This Row],[Customer Gender]]="O","Other", TRUE,"Unknown")</f>
        <v>Male</v>
      </c>
    </row>
    <row r="2276" spans="1:15">
      <c r="A2276" t="s">
        <v>2377</v>
      </c>
      <c r="B2276" t="s">
        <v>16</v>
      </c>
      <c r="C2276">
        <v>2</v>
      </c>
      <c r="D2276">
        <v>26</v>
      </c>
      <c r="E2276">
        <v>52</v>
      </c>
      <c r="F2276" s="1">
        <v>45741</v>
      </c>
      <c r="G2276" s="1">
        <v>45743</v>
      </c>
      <c r="H2276" t="s">
        <v>23</v>
      </c>
      <c r="I2276" t="s">
        <v>40</v>
      </c>
      <c r="J2276">
        <v>3</v>
      </c>
      <c r="K2276" t="s">
        <v>19</v>
      </c>
      <c r="L2276" t="s">
        <v>33</v>
      </c>
      <c r="M2276">
        <f>orders[[#This Row],[Ship Date]]-orders[[#This Row],[Order Date]]</f>
        <v>2</v>
      </c>
      <c r="N2276">
        <f>WEEKNUM(orders[[#This Row],[Order Date]])</f>
        <v>13</v>
      </c>
      <c r="O2276" t="str">
        <f>_xlfn.IFS(orders[[#This Row],[Customer Gender]]="M","Male", orders[[#This Row],[Customer Gender]]="F","Female", orders[[#This Row],[Customer Gender]]="O","Other", TRUE,"Unknown")</f>
        <v>Male</v>
      </c>
    </row>
    <row r="2277" spans="1:15">
      <c r="A2277" t="s">
        <v>2378</v>
      </c>
      <c r="B2277" t="s">
        <v>44</v>
      </c>
      <c r="C2277">
        <v>7</v>
      </c>
      <c r="D2277">
        <v>19.399999999999999</v>
      </c>
      <c r="E2277">
        <v>135.79999999999998</v>
      </c>
      <c r="F2277" s="1">
        <v>45741</v>
      </c>
      <c r="G2277" s="1">
        <v>45743</v>
      </c>
      <c r="H2277" t="s">
        <v>17</v>
      </c>
      <c r="I2277" t="s">
        <v>35</v>
      </c>
      <c r="J2277">
        <v>3</v>
      </c>
      <c r="K2277" t="s">
        <v>19</v>
      </c>
      <c r="L2277" t="s">
        <v>33</v>
      </c>
      <c r="M2277">
        <f>orders[[#This Row],[Ship Date]]-orders[[#This Row],[Order Date]]</f>
        <v>2</v>
      </c>
      <c r="N2277">
        <f>WEEKNUM(orders[[#This Row],[Order Date]])</f>
        <v>13</v>
      </c>
      <c r="O2277" t="str">
        <f>_xlfn.IFS(orders[[#This Row],[Customer Gender]]="M","Male", orders[[#This Row],[Customer Gender]]="F","Female", orders[[#This Row],[Customer Gender]]="O","Other", TRUE,"Unknown")</f>
        <v>Unknown</v>
      </c>
    </row>
    <row r="2278" spans="1:15">
      <c r="A2278" t="s">
        <v>2379</v>
      </c>
      <c r="B2278" t="s">
        <v>128</v>
      </c>
      <c r="C2278">
        <v>3</v>
      </c>
      <c r="D2278">
        <v>30.3</v>
      </c>
      <c r="E2278">
        <v>90.9</v>
      </c>
      <c r="F2278" s="1">
        <v>45741</v>
      </c>
      <c r="G2278" s="1">
        <v>45744</v>
      </c>
      <c r="H2278" t="s">
        <v>27</v>
      </c>
      <c r="I2278" t="s">
        <v>35</v>
      </c>
      <c r="J2278">
        <v>5</v>
      </c>
      <c r="K2278" t="s">
        <v>19</v>
      </c>
      <c r="L2278" t="s">
        <v>33</v>
      </c>
      <c r="M2278">
        <f>orders[[#This Row],[Ship Date]]-orders[[#This Row],[Order Date]]</f>
        <v>3</v>
      </c>
      <c r="N2278">
        <f>WEEKNUM(orders[[#This Row],[Order Date]])</f>
        <v>13</v>
      </c>
      <c r="O2278" t="str">
        <f>_xlfn.IFS(orders[[#This Row],[Customer Gender]]="M","Male", orders[[#This Row],[Customer Gender]]="F","Female", orders[[#This Row],[Customer Gender]]="O","Other", TRUE,"Unknown")</f>
        <v>Female</v>
      </c>
    </row>
    <row r="2279" spans="1:15">
      <c r="A2279" t="s">
        <v>2380</v>
      </c>
      <c r="B2279" t="s">
        <v>26</v>
      </c>
      <c r="C2279">
        <v>3</v>
      </c>
      <c r="D2279">
        <v>101.4</v>
      </c>
      <c r="E2279">
        <v>304.20000000000005</v>
      </c>
      <c r="F2279" s="1">
        <v>45741</v>
      </c>
      <c r="G2279" s="1">
        <v>45742</v>
      </c>
      <c r="H2279" t="s">
        <v>23</v>
      </c>
      <c r="I2279" t="s">
        <v>18</v>
      </c>
      <c r="J2279">
        <v>4</v>
      </c>
      <c r="K2279" t="s">
        <v>19</v>
      </c>
      <c r="L2279" t="s">
        <v>33</v>
      </c>
      <c r="M2279">
        <f>orders[[#This Row],[Ship Date]]-orders[[#This Row],[Order Date]]</f>
        <v>1</v>
      </c>
      <c r="N2279">
        <f>WEEKNUM(orders[[#This Row],[Order Date]])</f>
        <v>13</v>
      </c>
      <c r="O2279" t="str">
        <f>_xlfn.IFS(orders[[#This Row],[Customer Gender]]="M","Male", orders[[#This Row],[Customer Gender]]="F","Female", orders[[#This Row],[Customer Gender]]="O","Other", TRUE,"Unknown")</f>
        <v>Male</v>
      </c>
    </row>
    <row r="2280" spans="1:15">
      <c r="A2280" t="s">
        <v>2381</v>
      </c>
      <c r="B2280" t="s">
        <v>30</v>
      </c>
      <c r="C2280">
        <v>5</v>
      </c>
      <c r="D2280">
        <v>55.5</v>
      </c>
      <c r="E2280">
        <v>277.5</v>
      </c>
      <c r="F2280" s="1">
        <v>45741</v>
      </c>
      <c r="G2280" s="1">
        <v>45744</v>
      </c>
      <c r="H2280" t="s">
        <v>23</v>
      </c>
      <c r="I2280" t="s">
        <v>35</v>
      </c>
      <c r="J2280">
        <v>4</v>
      </c>
      <c r="K2280" t="s">
        <v>19</v>
      </c>
      <c r="L2280" t="s">
        <v>186</v>
      </c>
      <c r="M2280">
        <f>orders[[#This Row],[Ship Date]]-orders[[#This Row],[Order Date]]</f>
        <v>3</v>
      </c>
      <c r="N2280">
        <f>WEEKNUM(orders[[#This Row],[Order Date]])</f>
        <v>13</v>
      </c>
      <c r="O2280" t="str">
        <f>_xlfn.IFS(orders[[#This Row],[Customer Gender]]="M","Male", orders[[#This Row],[Customer Gender]]="F","Female", orders[[#This Row],[Customer Gender]]="O","Other", TRUE,"Unknown")</f>
        <v>Male</v>
      </c>
    </row>
    <row r="2281" spans="1:15">
      <c r="A2281" t="s">
        <v>2382</v>
      </c>
      <c r="B2281" t="s">
        <v>44</v>
      </c>
      <c r="C2281">
        <v>1</v>
      </c>
      <c r="D2281">
        <v>23.1</v>
      </c>
      <c r="E2281">
        <v>23.1</v>
      </c>
      <c r="F2281" s="1">
        <v>45741</v>
      </c>
      <c r="G2281" s="1">
        <v>45742</v>
      </c>
      <c r="H2281" t="s">
        <v>23</v>
      </c>
      <c r="I2281" t="s">
        <v>18</v>
      </c>
      <c r="J2281">
        <v>4</v>
      </c>
      <c r="K2281" t="s">
        <v>19</v>
      </c>
      <c r="L2281" t="s">
        <v>188</v>
      </c>
      <c r="M2281">
        <f>orders[[#This Row],[Ship Date]]-orders[[#This Row],[Order Date]]</f>
        <v>1</v>
      </c>
      <c r="N2281">
        <f>WEEKNUM(orders[[#This Row],[Order Date]])</f>
        <v>13</v>
      </c>
      <c r="O2281" t="str">
        <f>_xlfn.IFS(orders[[#This Row],[Customer Gender]]="M","Male", orders[[#This Row],[Customer Gender]]="F","Female", orders[[#This Row],[Customer Gender]]="O","Other", TRUE,"Unknown")</f>
        <v>Male</v>
      </c>
    </row>
    <row r="2282" spans="1:15">
      <c r="A2282" t="s">
        <v>2383</v>
      </c>
      <c r="B2282" t="s">
        <v>146</v>
      </c>
      <c r="C2282">
        <v>2</v>
      </c>
      <c r="D2282">
        <v>38.9</v>
      </c>
      <c r="E2282">
        <v>77.8</v>
      </c>
      <c r="F2282" s="1">
        <v>45741</v>
      </c>
      <c r="G2282" s="1">
        <v>45742</v>
      </c>
      <c r="H2282" t="s">
        <v>23</v>
      </c>
      <c r="I2282" t="s">
        <v>40</v>
      </c>
      <c r="J2282">
        <v>4</v>
      </c>
      <c r="K2282" t="s">
        <v>19</v>
      </c>
      <c r="L2282" t="s">
        <v>188</v>
      </c>
      <c r="M2282">
        <f>orders[[#This Row],[Ship Date]]-orders[[#This Row],[Order Date]]</f>
        <v>1</v>
      </c>
      <c r="N2282">
        <f>WEEKNUM(orders[[#This Row],[Order Date]])</f>
        <v>13</v>
      </c>
      <c r="O2282" t="str">
        <f>_xlfn.IFS(orders[[#This Row],[Customer Gender]]="M","Male", orders[[#This Row],[Customer Gender]]="F","Female", orders[[#This Row],[Customer Gender]]="O","Other", TRUE,"Unknown")</f>
        <v>Male</v>
      </c>
    </row>
    <row r="2283" spans="1:15">
      <c r="A2283" t="s">
        <v>2384</v>
      </c>
      <c r="B2283" t="s">
        <v>39</v>
      </c>
      <c r="C2283">
        <v>9</v>
      </c>
      <c r="D2283">
        <v>116.3</v>
      </c>
      <c r="E2283">
        <v>1046.7</v>
      </c>
      <c r="F2283" s="1">
        <v>45741</v>
      </c>
      <c r="G2283" s="1">
        <v>45745</v>
      </c>
      <c r="H2283" t="s">
        <v>27</v>
      </c>
      <c r="I2283" t="s">
        <v>18</v>
      </c>
      <c r="J2283">
        <v>4</v>
      </c>
      <c r="K2283" t="s">
        <v>19</v>
      </c>
      <c r="L2283" t="s">
        <v>52</v>
      </c>
      <c r="M2283">
        <f>orders[[#This Row],[Ship Date]]-orders[[#This Row],[Order Date]]</f>
        <v>4</v>
      </c>
      <c r="N2283">
        <f>WEEKNUM(orders[[#This Row],[Order Date]])</f>
        <v>13</v>
      </c>
      <c r="O2283" t="str">
        <f>_xlfn.IFS(orders[[#This Row],[Customer Gender]]="M","Male", orders[[#This Row],[Customer Gender]]="F","Female", orders[[#This Row],[Customer Gender]]="O","Other", TRUE,"Unknown")</f>
        <v>Female</v>
      </c>
    </row>
    <row r="2284" spans="1:15">
      <c r="A2284" t="s">
        <v>2385</v>
      </c>
      <c r="B2284" t="s">
        <v>128</v>
      </c>
      <c r="C2284">
        <v>9</v>
      </c>
      <c r="D2284">
        <v>64.099999999999994</v>
      </c>
      <c r="E2284">
        <v>576.9</v>
      </c>
      <c r="F2284" s="1">
        <v>45741</v>
      </c>
      <c r="G2284" s="1">
        <v>45741</v>
      </c>
      <c r="H2284" t="s">
        <v>27</v>
      </c>
      <c r="I2284" t="s">
        <v>18</v>
      </c>
      <c r="J2284">
        <v>5</v>
      </c>
      <c r="K2284" t="s">
        <v>19</v>
      </c>
      <c r="L2284" t="s">
        <v>55</v>
      </c>
      <c r="M2284">
        <f>orders[[#This Row],[Ship Date]]-orders[[#This Row],[Order Date]]</f>
        <v>0</v>
      </c>
      <c r="N2284">
        <f>WEEKNUM(orders[[#This Row],[Order Date]])</f>
        <v>13</v>
      </c>
      <c r="O2284" t="str">
        <f>_xlfn.IFS(orders[[#This Row],[Customer Gender]]="M","Male", orders[[#This Row],[Customer Gender]]="F","Female", orders[[#This Row],[Customer Gender]]="O","Other", TRUE,"Unknown")</f>
        <v>Female</v>
      </c>
    </row>
    <row r="2285" spans="1:15">
      <c r="A2285" t="s">
        <v>2386</v>
      </c>
      <c r="B2285" t="s">
        <v>26</v>
      </c>
      <c r="C2285">
        <v>6</v>
      </c>
      <c r="D2285">
        <v>109.2</v>
      </c>
      <c r="E2285">
        <v>655.20000000000005</v>
      </c>
      <c r="F2285" s="1">
        <v>45741</v>
      </c>
      <c r="G2285" s="1">
        <v>45743</v>
      </c>
      <c r="H2285" t="s">
        <v>23</v>
      </c>
      <c r="I2285" t="s">
        <v>18</v>
      </c>
      <c r="J2285">
        <v>3</v>
      </c>
      <c r="K2285" t="s">
        <v>19</v>
      </c>
      <c r="L2285" t="s">
        <v>62</v>
      </c>
      <c r="M2285">
        <f>orders[[#This Row],[Ship Date]]-orders[[#This Row],[Order Date]]</f>
        <v>2</v>
      </c>
      <c r="N2285">
        <f>WEEKNUM(orders[[#This Row],[Order Date]])</f>
        <v>13</v>
      </c>
      <c r="O2285" t="str">
        <f>_xlfn.IFS(orders[[#This Row],[Customer Gender]]="M","Male", orders[[#This Row],[Customer Gender]]="F","Female", orders[[#This Row],[Customer Gender]]="O","Other", TRUE,"Unknown")</f>
        <v>Male</v>
      </c>
    </row>
    <row r="2286" spans="1:15">
      <c r="A2286" t="s">
        <v>2387</v>
      </c>
      <c r="B2286" t="s">
        <v>54</v>
      </c>
      <c r="C2286">
        <v>5</v>
      </c>
      <c r="D2286">
        <v>23.2</v>
      </c>
      <c r="E2286">
        <v>116</v>
      </c>
      <c r="F2286" s="1">
        <v>45742</v>
      </c>
      <c r="G2286" s="1">
        <v>45743</v>
      </c>
      <c r="H2286" t="s">
        <v>23</v>
      </c>
      <c r="I2286" t="s">
        <v>18</v>
      </c>
      <c r="J2286">
        <v>3</v>
      </c>
      <c r="K2286" t="s">
        <v>19</v>
      </c>
      <c r="L2286" t="s">
        <v>62</v>
      </c>
      <c r="M2286">
        <f>orders[[#This Row],[Ship Date]]-orders[[#This Row],[Order Date]]</f>
        <v>1</v>
      </c>
      <c r="N2286">
        <f>WEEKNUM(orders[[#This Row],[Order Date]])</f>
        <v>13</v>
      </c>
      <c r="O2286" t="str">
        <f>_xlfn.IFS(orders[[#This Row],[Customer Gender]]="M","Male", orders[[#This Row],[Customer Gender]]="F","Female", orders[[#This Row],[Customer Gender]]="O","Other", TRUE,"Unknown")</f>
        <v>Male</v>
      </c>
    </row>
    <row r="2287" spans="1:15">
      <c r="A2287" t="s">
        <v>2388</v>
      </c>
      <c r="B2287" t="s">
        <v>146</v>
      </c>
      <c r="C2287">
        <v>6</v>
      </c>
      <c r="D2287">
        <v>81.2</v>
      </c>
      <c r="E2287">
        <v>487.20000000000005</v>
      </c>
      <c r="F2287" s="1">
        <v>45742</v>
      </c>
      <c r="G2287" s="1">
        <v>45744</v>
      </c>
      <c r="H2287" t="s">
        <v>23</v>
      </c>
      <c r="I2287" t="s">
        <v>40</v>
      </c>
      <c r="J2287">
        <v>5</v>
      </c>
      <c r="K2287" t="s">
        <v>19</v>
      </c>
      <c r="L2287" t="s">
        <v>62</v>
      </c>
      <c r="M2287">
        <f>orders[[#This Row],[Ship Date]]-orders[[#This Row],[Order Date]]</f>
        <v>2</v>
      </c>
      <c r="N2287">
        <f>WEEKNUM(orders[[#This Row],[Order Date]])</f>
        <v>13</v>
      </c>
      <c r="O2287" t="str">
        <f>_xlfn.IFS(orders[[#This Row],[Customer Gender]]="M","Male", orders[[#This Row],[Customer Gender]]="F","Female", orders[[#This Row],[Customer Gender]]="O","Other", TRUE,"Unknown")</f>
        <v>Male</v>
      </c>
    </row>
    <row r="2288" spans="1:15">
      <c r="A2288" t="s">
        <v>2389</v>
      </c>
      <c r="B2288" t="s">
        <v>22</v>
      </c>
      <c r="C2288">
        <v>14</v>
      </c>
      <c r="D2288">
        <v>35.700000000000003</v>
      </c>
      <c r="E2288">
        <v>499.80000000000007</v>
      </c>
      <c r="F2288" s="1">
        <v>45742</v>
      </c>
      <c r="G2288" s="1">
        <v>45743</v>
      </c>
      <c r="H2288" t="s">
        <v>23</v>
      </c>
      <c r="I2288" t="s">
        <v>51</v>
      </c>
      <c r="J2288">
        <v>4</v>
      </c>
      <c r="K2288" t="s">
        <v>19</v>
      </c>
      <c r="L2288" t="s">
        <v>62</v>
      </c>
      <c r="M2288">
        <f>orders[[#This Row],[Ship Date]]-orders[[#This Row],[Order Date]]</f>
        <v>1</v>
      </c>
      <c r="N2288">
        <f>WEEKNUM(orders[[#This Row],[Order Date]])</f>
        <v>13</v>
      </c>
      <c r="O2288" t="str">
        <f>_xlfn.IFS(orders[[#This Row],[Customer Gender]]="M","Male", orders[[#This Row],[Customer Gender]]="F","Female", orders[[#This Row],[Customer Gender]]="O","Other", TRUE,"Unknown")</f>
        <v>Male</v>
      </c>
    </row>
    <row r="2289" spans="1:15">
      <c r="A2289" t="s">
        <v>2390</v>
      </c>
      <c r="B2289" t="s">
        <v>42</v>
      </c>
      <c r="C2289">
        <v>2</v>
      </c>
      <c r="D2289">
        <v>44.5</v>
      </c>
      <c r="E2289">
        <v>89</v>
      </c>
      <c r="F2289" s="1">
        <v>45742</v>
      </c>
      <c r="G2289" s="1">
        <v>45745</v>
      </c>
      <c r="H2289" t="s">
        <v>23</v>
      </c>
      <c r="I2289" t="s">
        <v>70</v>
      </c>
      <c r="J2289">
        <v>4</v>
      </c>
      <c r="K2289" t="s">
        <v>19</v>
      </c>
      <c r="L2289" t="s">
        <v>72</v>
      </c>
      <c r="M2289">
        <f>orders[[#This Row],[Ship Date]]-orders[[#This Row],[Order Date]]</f>
        <v>3</v>
      </c>
      <c r="N2289">
        <f>WEEKNUM(orders[[#This Row],[Order Date]])</f>
        <v>13</v>
      </c>
      <c r="O2289" t="str">
        <f>_xlfn.IFS(orders[[#This Row],[Customer Gender]]="M","Male", orders[[#This Row],[Customer Gender]]="F","Female", orders[[#This Row],[Customer Gender]]="O","Other", TRUE,"Unknown")</f>
        <v>Male</v>
      </c>
    </row>
    <row r="2290" spans="1:15">
      <c r="A2290" t="s">
        <v>2391</v>
      </c>
      <c r="B2290" t="s">
        <v>22</v>
      </c>
      <c r="C2290">
        <v>5</v>
      </c>
      <c r="D2290">
        <v>32</v>
      </c>
      <c r="E2290">
        <v>160</v>
      </c>
      <c r="F2290" s="1">
        <v>45742</v>
      </c>
      <c r="G2290" s="1">
        <v>45744</v>
      </c>
      <c r="H2290" t="s">
        <v>89</v>
      </c>
      <c r="I2290" t="s">
        <v>35</v>
      </c>
      <c r="J2290">
        <v>3</v>
      </c>
      <c r="K2290" t="s">
        <v>19</v>
      </c>
      <c r="L2290" t="s">
        <v>72</v>
      </c>
      <c r="M2290">
        <f>orders[[#This Row],[Ship Date]]-orders[[#This Row],[Order Date]]</f>
        <v>2</v>
      </c>
      <c r="N2290">
        <f>WEEKNUM(orders[[#This Row],[Order Date]])</f>
        <v>13</v>
      </c>
      <c r="O2290" t="str">
        <f>_xlfn.IFS(orders[[#This Row],[Customer Gender]]="M","Male", orders[[#This Row],[Customer Gender]]="F","Female", orders[[#This Row],[Customer Gender]]="O","Other", TRUE,"Unknown")</f>
        <v>Other</v>
      </c>
    </row>
    <row r="2291" spans="1:15">
      <c r="A2291" t="s">
        <v>2392</v>
      </c>
      <c r="B2291" t="s">
        <v>44</v>
      </c>
      <c r="C2291">
        <v>1</v>
      </c>
      <c r="D2291">
        <v>25.7</v>
      </c>
      <c r="E2291">
        <v>25.7</v>
      </c>
      <c r="F2291" s="1">
        <v>45742</v>
      </c>
      <c r="G2291" s="1">
        <v>45743</v>
      </c>
      <c r="H2291" t="s">
        <v>23</v>
      </c>
      <c r="I2291" t="s">
        <v>18</v>
      </c>
      <c r="J2291">
        <v>4</v>
      </c>
      <c r="K2291" t="s">
        <v>19</v>
      </c>
      <c r="L2291" t="s">
        <v>74</v>
      </c>
      <c r="M2291">
        <f>orders[[#This Row],[Ship Date]]-orders[[#This Row],[Order Date]]</f>
        <v>1</v>
      </c>
      <c r="N2291">
        <f>WEEKNUM(orders[[#This Row],[Order Date]])</f>
        <v>13</v>
      </c>
      <c r="O2291" t="str">
        <f>_xlfn.IFS(orders[[#This Row],[Customer Gender]]="M","Male", orders[[#This Row],[Customer Gender]]="F","Female", orders[[#This Row],[Customer Gender]]="O","Other", TRUE,"Unknown")</f>
        <v>Male</v>
      </c>
    </row>
    <row r="2292" spans="1:15">
      <c r="A2292" t="s">
        <v>2393</v>
      </c>
      <c r="B2292" t="s">
        <v>128</v>
      </c>
      <c r="C2292">
        <v>3</v>
      </c>
      <c r="D2292">
        <v>65.599999999999994</v>
      </c>
      <c r="E2292">
        <v>196.79999999999998</v>
      </c>
      <c r="F2292" s="1">
        <v>45742</v>
      </c>
      <c r="G2292" s="1">
        <v>45748</v>
      </c>
      <c r="H2292" t="s">
        <v>23</v>
      </c>
      <c r="I2292" t="s">
        <v>18</v>
      </c>
      <c r="J2292">
        <v>4</v>
      </c>
      <c r="K2292" t="s">
        <v>19</v>
      </c>
      <c r="L2292" t="s">
        <v>77</v>
      </c>
      <c r="M2292">
        <f>orders[[#This Row],[Ship Date]]-orders[[#This Row],[Order Date]]</f>
        <v>6</v>
      </c>
      <c r="N2292">
        <f>WEEKNUM(orders[[#This Row],[Order Date]])</f>
        <v>13</v>
      </c>
      <c r="O2292" t="str">
        <f>_xlfn.IFS(orders[[#This Row],[Customer Gender]]="M","Male", orders[[#This Row],[Customer Gender]]="F","Female", orders[[#This Row],[Customer Gender]]="O","Other", TRUE,"Unknown")</f>
        <v>Male</v>
      </c>
    </row>
    <row r="2293" spans="1:15">
      <c r="A2293" t="s">
        <v>2394</v>
      </c>
      <c r="B2293" t="s">
        <v>22</v>
      </c>
      <c r="C2293">
        <v>4</v>
      </c>
      <c r="D2293">
        <v>52.1</v>
      </c>
      <c r="E2293">
        <v>208.4</v>
      </c>
      <c r="F2293" s="1">
        <v>45742</v>
      </c>
      <c r="G2293" s="1">
        <v>45743</v>
      </c>
      <c r="H2293" t="s">
        <v>27</v>
      </c>
      <c r="I2293" t="s">
        <v>18</v>
      </c>
      <c r="J2293">
        <v>5</v>
      </c>
      <c r="K2293" t="s">
        <v>19</v>
      </c>
      <c r="L2293" t="s">
        <v>77</v>
      </c>
      <c r="M2293">
        <f>orders[[#This Row],[Ship Date]]-orders[[#This Row],[Order Date]]</f>
        <v>1</v>
      </c>
      <c r="N2293">
        <f>WEEKNUM(orders[[#This Row],[Order Date]])</f>
        <v>13</v>
      </c>
      <c r="O2293" t="str">
        <f>_xlfn.IFS(orders[[#This Row],[Customer Gender]]="M","Male", orders[[#This Row],[Customer Gender]]="F","Female", orders[[#This Row],[Customer Gender]]="O","Other", TRUE,"Unknown")</f>
        <v>Female</v>
      </c>
    </row>
    <row r="2294" spans="1:15">
      <c r="A2294" t="s">
        <v>2395</v>
      </c>
      <c r="B2294" t="s">
        <v>44</v>
      </c>
      <c r="C2294">
        <v>1</v>
      </c>
      <c r="D2294">
        <v>31</v>
      </c>
      <c r="E2294">
        <v>31</v>
      </c>
      <c r="F2294" s="1">
        <v>45742</v>
      </c>
      <c r="G2294" s="1">
        <v>45743</v>
      </c>
      <c r="H2294" t="s">
        <v>23</v>
      </c>
      <c r="I2294" t="s">
        <v>18</v>
      </c>
      <c r="J2294">
        <v>3</v>
      </c>
      <c r="K2294" t="s">
        <v>19</v>
      </c>
      <c r="L2294" t="s">
        <v>110</v>
      </c>
      <c r="M2294">
        <f>orders[[#This Row],[Ship Date]]-orders[[#This Row],[Order Date]]</f>
        <v>1</v>
      </c>
      <c r="N2294">
        <f>WEEKNUM(orders[[#This Row],[Order Date]])</f>
        <v>13</v>
      </c>
      <c r="O2294" t="str">
        <f>_xlfn.IFS(orders[[#This Row],[Customer Gender]]="M","Male", orders[[#This Row],[Customer Gender]]="F","Female", orders[[#This Row],[Customer Gender]]="O","Other", TRUE,"Unknown")</f>
        <v>Male</v>
      </c>
    </row>
    <row r="2295" spans="1:15">
      <c r="A2295" t="s">
        <v>2396</v>
      </c>
      <c r="B2295" t="s">
        <v>44</v>
      </c>
      <c r="C2295">
        <v>1</v>
      </c>
      <c r="D2295">
        <v>32</v>
      </c>
      <c r="E2295">
        <v>32</v>
      </c>
      <c r="F2295" s="1">
        <v>45742</v>
      </c>
      <c r="G2295" s="1">
        <v>45744</v>
      </c>
      <c r="H2295" t="s">
        <v>89</v>
      </c>
      <c r="I2295" t="s">
        <v>51</v>
      </c>
      <c r="J2295">
        <v>3</v>
      </c>
      <c r="K2295" t="s">
        <v>19</v>
      </c>
      <c r="L2295" t="s">
        <v>292</v>
      </c>
      <c r="M2295">
        <f>orders[[#This Row],[Ship Date]]-orders[[#This Row],[Order Date]]</f>
        <v>2</v>
      </c>
      <c r="N2295">
        <f>WEEKNUM(orders[[#This Row],[Order Date]])</f>
        <v>13</v>
      </c>
      <c r="O2295" t="str">
        <f>_xlfn.IFS(orders[[#This Row],[Customer Gender]]="M","Male", orders[[#This Row],[Customer Gender]]="F","Female", orders[[#This Row],[Customer Gender]]="O","Other", TRUE,"Unknown")</f>
        <v>Other</v>
      </c>
    </row>
    <row r="2296" spans="1:15">
      <c r="A2296" t="s">
        <v>2397</v>
      </c>
      <c r="B2296" t="s">
        <v>128</v>
      </c>
      <c r="C2296">
        <v>4</v>
      </c>
      <c r="D2296">
        <v>58.3</v>
      </c>
      <c r="E2296">
        <v>233.2</v>
      </c>
      <c r="F2296" s="1">
        <v>45742</v>
      </c>
      <c r="G2296" s="1">
        <v>45746</v>
      </c>
      <c r="H2296" t="s">
        <v>23</v>
      </c>
      <c r="I2296" t="s">
        <v>35</v>
      </c>
      <c r="J2296">
        <v>2</v>
      </c>
      <c r="K2296" t="s">
        <v>19</v>
      </c>
      <c r="L2296" t="s">
        <v>113</v>
      </c>
      <c r="M2296">
        <f>orders[[#This Row],[Ship Date]]-orders[[#This Row],[Order Date]]</f>
        <v>4</v>
      </c>
      <c r="N2296">
        <f>WEEKNUM(orders[[#This Row],[Order Date]])</f>
        <v>13</v>
      </c>
      <c r="O2296" t="str">
        <f>_xlfn.IFS(orders[[#This Row],[Customer Gender]]="M","Male", orders[[#This Row],[Customer Gender]]="F","Female", orders[[#This Row],[Customer Gender]]="O","Other", TRUE,"Unknown")</f>
        <v>Male</v>
      </c>
    </row>
    <row r="2297" spans="1:15">
      <c r="A2297" t="s">
        <v>2398</v>
      </c>
      <c r="B2297" t="s">
        <v>44</v>
      </c>
      <c r="C2297">
        <v>3</v>
      </c>
      <c r="D2297">
        <v>31</v>
      </c>
      <c r="E2297">
        <v>93</v>
      </c>
      <c r="F2297" s="1">
        <v>45742</v>
      </c>
      <c r="G2297" s="1">
        <v>45744</v>
      </c>
      <c r="H2297" t="s">
        <v>27</v>
      </c>
      <c r="I2297" t="s">
        <v>40</v>
      </c>
      <c r="J2297">
        <v>2</v>
      </c>
      <c r="K2297" t="s">
        <v>19</v>
      </c>
      <c r="L2297" t="s">
        <v>82</v>
      </c>
      <c r="M2297">
        <f>orders[[#This Row],[Ship Date]]-orders[[#This Row],[Order Date]]</f>
        <v>2</v>
      </c>
      <c r="N2297">
        <f>WEEKNUM(orders[[#This Row],[Order Date]])</f>
        <v>13</v>
      </c>
      <c r="O2297" t="str">
        <f>_xlfn.IFS(orders[[#This Row],[Customer Gender]]="M","Male", orders[[#This Row],[Customer Gender]]="F","Female", orders[[#This Row],[Customer Gender]]="O","Other", TRUE,"Unknown")</f>
        <v>Female</v>
      </c>
    </row>
    <row r="2298" spans="1:15">
      <c r="A2298" t="s">
        <v>2399</v>
      </c>
      <c r="B2298" t="s">
        <v>30</v>
      </c>
      <c r="C2298">
        <v>1</v>
      </c>
      <c r="D2298">
        <v>40.299999999999997</v>
      </c>
      <c r="E2298">
        <v>40.299999999999997</v>
      </c>
      <c r="F2298" s="1">
        <v>45742</v>
      </c>
      <c r="G2298" s="1">
        <v>45743</v>
      </c>
      <c r="H2298" t="s">
        <v>23</v>
      </c>
      <c r="I2298" t="s">
        <v>35</v>
      </c>
      <c r="J2298">
        <v>5</v>
      </c>
      <c r="K2298" t="s">
        <v>19</v>
      </c>
      <c r="L2298" t="s">
        <v>1383</v>
      </c>
      <c r="M2298">
        <f>orders[[#This Row],[Ship Date]]-orders[[#This Row],[Order Date]]</f>
        <v>1</v>
      </c>
      <c r="N2298">
        <f>WEEKNUM(orders[[#This Row],[Order Date]])</f>
        <v>13</v>
      </c>
      <c r="O2298" t="str">
        <f>_xlfn.IFS(orders[[#This Row],[Customer Gender]]="M","Male", orders[[#This Row],[Customer Gender]]="F","Female", orders[[#This Row],[Customer Gender]]="O","Other", TRUE,"Unknown")</f>
        <v>Male</v>
      </c>
    </row>
    <row r="2299" spans="1:15">
      <c r="A2299" t="s">
        <v>2400</v>
      </c>
      <c r="B2299" t="s">
        <v>39</v>
      </c>
      <c r="C2299">
        <v>3</v>
      </c>
      <c r="D2299">
        <v>47.3</v>
      </c>
      <c r="E2299">
        <v>141.89999999999998</v>
      </c>
      <c r="F2299" s="1">
        <v>45742</v>
      </c>
      <c r="G2299" s="1">
        <v>45744</v>
      </c>
      <c r="H2299" t="s">
        <v>23</v>
      </c>
      <c r="I2299" t="s">
        <v>70</v>
      </c>
      <c r="J2299">
        <v>5</v>
      </c>
      <c r="K2299" t="s">
        <v>19</v>
      </c>
      <c r="L2299" t="s">
        <v>28</v>
      </c>
      <c r="M2299">
        <f>orders[[#This Row],[Ship Date]]-orders[[#This Row],[Order Date]]</f>
        <v>2</v>
      </c>
      <c r="N2299">
        <f>WEEKNUM(orders[[#This Row],[Order Date]])</f>
        <v>13</v>
      </c>
      <c r="O2299" t="str">
        <f>_xlfn.IFS(orders[[#This Row],[Customer Gender]]="M","Male", orders[[#This Row],[Customer Gender]]="F","Female", orders[[#This Row],[Customer Gender]]="O","Other", TRUE,"Unknown")</f>
        <v>Male</v>
      </c>
    </row>
    <row r="2300" spans="1:15">
      <c r="A2300" t="s">
        <v>2401</v>
      </c>
      <c r="B2300" t="s">
        <v>26</v>
      </c>
      <c r="C2300">
        <v>1</v>
      </c>
      <c r="D2300">
        <v>82.8</v>
      </c>
      <c r="E2300">
        <v>82.8</v>
      </c>
      <c r="F2300" s="1">
        <v>45742</v>
      </c>
      <c r="G2300" s="1">
        <v>45743</v>
      </c>
      <c r="H2300" t="s">
        <v>23</v>
      </c>
      <c r="I2300" t="s">
        <v>18</v>
      </c>
      <c r="J2300">
        <v>4</v>
      </c>
      <c r="K2300" t="s">
        <v>19</v>
      </c>
      <c r="L2300" t="s">
        <v>28</v>
      </c>
      <c r="M2300">
        <f>orders[[#This Row],[Ship Date]]-orders[[#This Row],[Order Date]]</f>
        <v>1</v>
      </c>
      <c r="N2300">
        <f>WEEKNUM(orders[[#This Row],[Order Date]])</f>
        <v>13</v>
      </c>
      <c r="O2300" t="str">
        <f>_xlfn.IFS(orders[[#This Row],[Customer Gender]]="M","Male", orders[[#This Row],[Customer Gender]]="F","Female", orders[[#This Row],[Customer Gender]]="O","Other", TRUE,"Unknown")</f>
        <v>Male</v>
      </c>
    </row>
    <row r="2301" spans="1:15">
      <c r="A2301" t="s">
        <v>2402</v>
      </c>
      <c r="B2301" t="s">
        <v>44</v>
      </c>
      <c r="C2301">
        <v>1</v>
      </c>
      <c r="D2301">
        <v>18.5</v>
      </c>
      <c r="E2301">
        <v>18.5</v>
      </c>
      <c r="F2301" s="1">
        <v>45742</v>
      </c>
      <c r="G2301" s="1">
        <v>45756</v>
      </c>
      <c r="H2301" t="s">
        <v>27</v>
      </c>
      <c r="I2301" t="s">
        <v>18</v>
      </c>
      <c r="J2301">
        <v>4</v>
      </c>
      <c r="K2301" t="s">
        <v>19</v>
      </c>
      <c r="L2301" t="s">
        <v>587</v>
      </c>
      <c r="M2301">
        <f>orders[[#This Row],[Ship Date]]-orders[[#This Row],[Order Date]]</f>
        <v>14</v>
      </c>
      <c r="N2301">
        <f>WEEKNUM(orders[[#This Row],[Order Date]])</f>
        <v>13</v>
      </c>
      <c r="O2301" t="str">
        <f>_xlfn.IFS(orders[[#This Row],[Customer Gender]]="M","Male", orders[[#This Row],[Customer Gender]]="F","Female", orders[[#This Row],[Customer Gender]]="O","Other", TRUE,"Unknown")</f>
        <v>Female</v>
      </c>
    </row>
    <row r="2302" spans="1:15">
      <c r="A2302" t="s">
        <v>2403</v>
      </c>
      <c r="B2302" t="s">
        <v>30</v>
      </c>
      <c r="C2302">
        <v>2</v>
      </c>
      <c r="D2302">
        <v>60.4</v>
      </c>
      <c r="E2302">
        <v>120.8</v>
      </c>
      <c r="F2302" s="1">
        <v>45742</v>
      </c>
      <c r="G2302" s="1">
        <v>45743</v>
      </c>
      <c r="H2302" t="s">
        <v>23</v>
      </c>
      <c r="I2302" t="s">
        <v>40</v>
      </c>
      <c r="J2302">
        <v>4</v>
      </c>
      <c r="K2302" t="s">
        <v>19</v>
      </c>
      <c r="L2302" t="s">
        <v>147</v>
      </c>
      <c r="M2302">
        <f>orders[[#This Row],[Ship Date]]-orders[[#This Row],[Order Date]]</f>
        <v>1</v>
      </c>
      <c r="N2302">
        <f>WEEKNUM(orders[[#This Row],[Order Date]])</f>
        <v>13</v>
      </c>
      <c r="O2302" t="str">
        <f>_xlfn.IFS(orders[[#This Row],[Customer Gender]]="M","Male", orders[[#This Row],[Customer Gender]]="F","Female", orders[[#This Row],[Customer Gender]]="O","Other", TRUE,"Unknown")</f>
        <v>Male</v>
      </c>
    </row>
    <row r="2303" spans="1:15">
      <c r="A2303" t="s">
        <v>2404</v>
      </c>
      <c r="B2303" t="s">
        <v>39</v>
      </c>
      <c r="C2303">
        <v>5</v>
      </c>
      <c r="D2303">
        <v>80.2</v>
      </c>
      <c r="E2303">
        <v>401</v>
      </c>
      <c r="F2303" s="1">
        <v>45742</v>
      </c>
      <c r="G2303" s="1">
        <v>45749</v>
      </c>
      <c r="H2303" t="s">
        <v>23</v>
      </c>
      <c r="I2303" t="s">
        <v>35</v>
      </c>
      <c r="J2303">
        <v>3</v>
      </c>
      <c r="K2303" t="s">
        <v>19</v>
      </c>
      <c r="L2303" t="s">
        <v>949</v>
      </c>
      <c r="M2303">
        <f>orders[[#This Row],[Ship Date]]-orders[[#This Row],[Order Date]]</f>
        <v>7</v>
      </c>
      <c r="N2303">
        <f>WEEKNUM(orders[[#This Row],[Order Date]])</f>
        <v>13</v>
      </c>
      <c r="O2303" t="str">
        <f>_xlfn.IFS(orders[[#This Row],[Customer Gender]]="M","Male", orders[[#This Row],[Customer Gender]]="F","Female", orders[[#This Row],[Customer Gender]]="O","Other", TRUE,"Unknown")</f>
        <v>Male</v>
      </c>
    </row>
    <row r="2304" spans="1:15">
      <c r="A2304" t="s">
        <v>2405</v>
      </c>
      <c r="B2304" t="s">
        <v>32</v>
      </c>
      <c r="C2304">
        <v>1</v>
      </c>
      <c r="D2304">
        <v>41.5</v>
      </c>
      <c r="E2304">
        <v>41.5</v>
      </c>
      <c r="F2304" s="1">
        <v>45742</v>
      </c>
      <c r="G2304" s="1">
        <v>45744</v>
      </c>
      <c r="H2304" t="s">
        <v>23</v>
      </c>
      <c r="I2304" t="s">
        <v>40</v>
      </c>
      <c r="J2304">
        <v>4</v>
      </c>
      <c r="K2304" t="s">
        <v>19</v>
      </c>
      <c r="L2304" t="s">
        <v>33</v>
      </c>
      <c r="M2304">
        <f>orders[[#This Row],[Ship Date]]-orders[[#This Row],[Order Date]]</f>
        <v>2</v>
      </c>
      <c r="N2304">
        <f>WEEKNUM(orders[[#This Row],[Order Date]])</f>
        <v>13</v>
      </c>
      <c r="O2304" t="str">
        <f>_xlfn.IFS(orders[[#This Row],[Customer Gender]]="M","Male", orders[[#This Row],[Customer Gender]]="F","Female", orders[[#This Row],[Customer Gender]]="O","Other", TRUE,"Unknown")</f>
        <v>Male</v>
      </c>
    </row>
    <row r="2305" spans="1:15">
      <c r="A2305" t="s">
        <v>2406</v>
      </c>
      <c r="B2305" t="s">
        <v>26</v>
      </c>
      <c r="C2305">
        <v>2</v>
      </c>
      <c r="D2305">
        <v>83.9</v>
      </c>
      <c r="E2305">
        <v>167.8</v>
      </c>
      <c r="F2305" s="1">
        <v>45742</v>
      </c>
      <c r="G2305" s="1">
        <v>45745</v>
      </c>
      <c r="H2305" t="s">
        <v>27</v>
      </c>
      <c r="I2305" t="s">
        <v>18</v>
      </c>
      <c r="J2305">
        <v>4</v>
      </c>
      <c r="K2305" t="s">
        <v>19</v>
      </c>
      <c r="L2305" t="s">
        <v>33</v>
      </c>
      <c r="M2305">
        <f>orders[[#This Row],[Ship Date]]-orders[[#This Row],[Order Date]]</f>
        <v>3</v>
      </c>
      <c r="N2305">
        <f>WEEKNUM(orders[[#This Row],[Order Date]])</f>
        <v>13</v>
      </c>
      <c r="O2305" t="str">
        <f>_xlfn.IFS(orders[[#This Row],[Customer Gender]]="M","Male", orders[[#This Row],[Customer Gender]]="F","Female", orders[[#This Row],[Customer Gender]]="O","Other", TRUE,"Unknown")</f>
        <v>Female</v>
      </c>
    </row>
    <row r="2306" spans="1:15">
      <c r="A2306" t="s">
        <v>2407</v>
      </c>
      <c r="B2306" t="s">
        <v>44</v>
      </c>
      <c r="C2306">
        <v>2</v>
      </c>
      <c r="D2306">
        <v>16.7</v>
      </c>
      <c r="E2306">
        <v>33.4</v>
      </c>
      <c r="F2306" s="1">
        <v>45742</v>
      </c>
      <c r="G2306" s="1">
        <v>45746</v>
      </c>
      <c r="H2306" t="s">
        <v>27</v>
      </c>
      <c r="I2306" t="s">
        <v>18</v>
      </c>
      <c r="J2306">
        <v>3</v>
      </c>
      <c r="K2306" t="s">
        <v>19</v>
      </c>
      <c r="L2306" t="s">
        <v>33</v>
      </c>
      <c r="M2306">
        <f>orders[[#This Row],[Ship Date]]-orders[[#This Row],[Order Date]]</f>
        <v>4</v>
      </c>
      <c r="N2306">
        <f>WEEKNUM(orders[[#This Row],[Order Date]])</f>
        <v>13</v>
      </c>
      <c r="O2306" t="str">
        <f>_xlfn.IFS(orders[[#This Row],[Customer Gender]]="M","Male", orders[[#This Row],[Customer Gender]]="F","Female", orders[[#This Row],[Customer Gender]]="O","Other", TRUE,"Unknown")</f>
        <v>Female</v>
      </c>
    </row>
    <row r="2307" spans="1:15">
      <c r="A2307" t="s">
        <v>2408</v>
      </c>
      <c r="B2307" t="s">
        <v>46</v>
      </c>
      <c r="C2307">
        <v>2</v>
      </c>
      <c r="D2307">
        <v>72.900000000000006</v>
      </c>
      <c r="E2307">
        <v>145.80000000000001</v>
      </c>
      <c r="F2307" s="1">
        <v>45742</v>
      </c>
      <c r="G2307" s="1">
        <v>45743</v>
      </c>
      <c r="H2307" t="s">
        <v>23</v>
      </c>
      <c r="I2307" t="s">
        <v>40</v>
      </c>
      <c r="J2307">
        <v>3</v>
      </c>
      <c r="K2307" t="s">
        <v>19</v>
      </c>
      <c r="L2307" t="s">
        <v>33</v>
      </c>
      <c r="M2307">
        <f>orders[[#This Row],[Ship Date]]-orders[[#This Row],[Order Date]]</f>
        <v>1</v>
      </c>
      <c r="N2307">
        <f>WEEKNUM(orders[[#This Row],[Order Date]])</f>
        <v>13</v>
      </c>
      <c r="O2307" t="str">
        <f>_xlfn.IFS(orders[[#This Row],[Customer Gender]]="M","Male", orders[[#This Row],[Customer Gender]]="F","Female", orders[[#This Row],[Customer Gender]]="O","Other", TRUE,"Unknown")</f>
        <v>Male</v>
      </c>
    </row>
    <row r="2308" spans="1:15">
      <c r="A2308" t="s">
        <v>2409</v>
      </c>
      <c r="B2308" t="s">
        <v>37</v>
      </c>
      <c r="C2308">
        <v>2</v>
      </c>
      <c r="D2308">
        <v>50.2</v>
      </c>
      <c r="E2308">
        <v>100.4</v>
      </c>
      <c r="F2308" s="1">
        <v>45742</v>
      </c>
      <c r="G2308" s="1">
        <v>45744</v>
      </c>
      <c r="H2308" t="s">
        <v>27</v>
      </c>
      <c r="I2308" t="s">
        <v>35</v>
      </c>
      <c r="J2308">
        <v>5</v>
      </c>
      <c r="K2308" t="s">
        <v>19</v>
      </c>
      <c r="L2308" t="s">
        <v>33</v>
      </c>
      <c r="M2308">
        <f>orders[[#This Row],[Ship Date]]-orders[[#This Row],[Order Date]]</f>
        <v>2</v>
      </c>
      <c r="N2308">
        <f>WEEKNUM(orders[[#This Row],[Order Date]])</f>
        <v>13</v>
      </c>
      <c r="O2308" t="str">
        <f>_xlfn.IFS(orders[[#This Row],[Customer Gender]]="M","Male", orders[[#This Row],[Customer Gender]]="F","Female", orders[[#This Row],[Customer Gender]]="O","Other", TRUE,"Unknown")</f>
        <v>Female</v>
      </c>
    </row>
    <row r="2309" spans="1:15">
      <c r="A2309" t="s">
        <v>2410</v>
      </c>
      <c r="B2309" t="s">
        <v>30</v>
      </c>
      <c r="C2309">
        <v>2</v>
      </c>
      <c r="D2309">
        <v>34.200000000000003</v>
      </c>
      <c r="E2309">
        <v>68.400000000000006</v>
      </c>
      <c r="F2309" s="1">
        <v>45742</v>
      </c>
      <c r="G2309" s="1">
        <v>45752</v>
      </c>
      <c r="H2309" t="s">
        <v>17</v>
      </c>
      <c r="I2309" t="s">
        <v>35</v>
      </c>
      <c r="J2309">
        <v>4</v>
      </c>
      <c r="K2309" t="s">
        <v>19</v>
      </c>
      <c r="L2309" t="s">
        <v>33</v>
      </c>
      <c r="M2309">
        <f>orders[[#This Row],[Ship Date]]-orders[[#This Row],[Order Date]]</f>
        <v>10</v>
      </c>
      <c r="N2309">
        <f>WEEKNUM(orders[[#This Row],[Order Date]])</f>
        <v>13</v>
      </c>
      <c r="O2309" t="str">
        <f>_xlfn.IFS(orders[[#This Row],[Customer Gender]]="M","Male", orders[[#This Row],[Customer Gender]]="F","Female", orders[[#This Row],[Customer Gender]]="O","Other", TRUE,"Unknown")</f>
        <v>Unknown</v>
      </c>
    </row>
    <row r="2310" spans="1:15">
      <c r="A2310" t="s">
        <v>2411</v>
      </c>
      <c r="B2310" t="s">
        <v>37</v>
      </c>
      <c r="C2310">
        <v>2</v>
      </c>
      <c r="D2310">
        <v>107.9</v>
      </c>
      <c r="E2310">
        <v>215.8</v>
      </c>
      <c r="F2310" s="1">
        <v>45742</v>
      </c>
      <c r="G2310" s="1">
        <v>45742</v>
      </c>
      <c r="H2310" t="s">
        <v>23</v>
      </c>
      <c r="I2310" t="s">
        <v>35</v>
      </c>
      <c r="J2310">
        <v>2</v>
      </c>
      <c r="K2310" t="s">
        <v>19</v>
      </c>
      <c r="L2310" t="s">
        <v>33</v>
      </c>
      <c r="M2310">
        <f>orders[[#This Row],[Ship Date]]-orders[[#This Row],[Order Date]]</f>
        <v>0</v>
      </c>
      <c r="N2310">
        <f>WEEKNUM(orders[[#This Row],[Order Date]])</f>
        <v>13</v>
      </c>
      <c r="O2310" t="str">
        <f>_xlfn.IFS(orders[[#This Row],[Customer Gender]]="M","Male", orders[[#This Row],[Customer Gender]]="F","Female", orders[[#This Row],[Customer Gender]]="O","Other", TRUE,"Unknown")</f>
        <v>Male</v>
      </c>
    </row>
    <row r="2311" spans="1:15">
      <c r="A2311" t="s">
        <v>2412</v>
      </c>
      <c r="B2311" t="s">
        <v>16</v>
      </c>
      <c r="C2311">
        <v>3</v>
      </c>
      <c r="D2311">
        <v>17.5</v>
      </c>
      <c r="E2311">
        <v>52.5</v>
      </c>
      <c r="F2311" s="1">
        <v>45742</v>
      </c>
      <c r="G2311" s="1">
        <v>45744</v>
      </c>
      <c r="H2311" t="s">
        <v>23</v>
      </c>
      <c r="I2311" t="s">
        <v>70</v>
      </c>
      <c r="J2311">
        <v>4</v>
      </c>
      <c r="K2311" t="s">
        <v>19</v>
      </c>
      <c r="L2311" t="s">
        <v>33</v>
      </c>
      <c r="M2311">
        <f>orders[[#This Row],[Ship Date]]-orders[[#This Row],[Order Date]]</f>
        <v>2</v>
      </c>
      <c r="N2311">
        <f>WEEKNUM(orders[[#This Row],[Order Date]])</f>
        <v>13</v>
      </c>
      <c r="O2311" t="str">
        <f>_xlfn.IFS(orders[[#This Row],[Customer Gender]]="M","Male", orders[[#This Row],[Customer Gender]]="F","Female", orders[[#This Row],[Customer Gender]]="O","Other", TRUE,"Unknown")</f>
        <v>Male</v>
      </c>
    </row>
    <row r="2312" spans="1:15">
      <c r="A2312" t="s">
        <v>2413</v>
      </c>
      <c r="B2312" t="s">
        <v>76</v>
      </c>
      <c r="C2312">
        <v>15</v>
      </c>
      <c r="D2312">
        <v>44.7</v>
      </c>
      <c r="E2312">
        <v>670.5</v>
      </c>
      <c r="F2312" s="1">
        <v>45742</v>
      </c>
      <c r="G2312" s="1">
        <v>45743</v>
      </c>
      <c r="H2312" t="s">
        <v>23</v>
      </c>
      <c r="I2312" t="s">
        <v>18</v>
      </c>
      <c r="J2312">
        <v>3</v>
      </c>
      <c r="K2312" t="s">
        <v>19</v>
      </c>
      <c r="L2312" t="s">
        <v>33</v>
      </c>
      <c r="M2312">
        <f>orders[[#This Row],[Ship Date]]-orders[[#This Row],[Order Date]]</f>
        <v>1</v>
      </c>
      <c r="N2312">
        <f>WEEKNUM(orders[[#This Row],[Order Date]])</f>
        <v>13</v>
      </c>
      <c r="O2312" t="str">
        <f>_xlfn.IFS(orders[[#This Row],[Customer Gender]]="M","Male", orders[[#This Row],[Customer Gender]]="F","Female", orders[[#This Row],[Customer Gender]]="O","Other", TRUE,"Unknown")</f>
        <v>Male</v>
      </c>
    </row>
    <row r="2313" spans="1:15">
      <c r="A2313" t="s">
        <v>2414</v>
      </c>
      <c r="B2313" t="s">
        <v>69</v>
      </c>
      <c r="C2313">
        <v>6</v>
      </c>
      <c r="D2313">
        <v>92.7</v>
      </c>
      <c r="E2313">
        <v>556.20000000000005</v>
      </c>
      <c r="F2313" s="1">
        <v>45742</v>
      </c>
      <c r="G2313" s="1">
        <v>45744</v>
      </c>
      <c r="H2313" t="s">
        <v>27</v>
      </c>
      <c r="I2313" t="s">
        <v>40</v>
      </c>
      <c r="J2313">
        <v>3</v>
      </c>
      <c r="K2313" t="s">
        <v>19</v>
      </c>
      <c r="L2313" t="s">
        <v>33</v>
      </c>
      <c r="M2313">
        <f>orders[[#This Row],[Ship Date]]-orders[[#This Row],[Order Date]]</f>
        <v>2</v>
      </c>
      <c r="N2313">
        <f>WEEKNUM(orders[[#This Row],[Order Date]])</f>
        <v>13</v>
      </c>
      <c r="O2313" t="str">
        <f>_xlfn.IFS(orders[[#This Row],[Customer Gender]]="M","Male", orders[[#This Row],[Customer Gender]]="F","Female", orders[[#This Row],[Customer Gender]]="O","Other", TRUE,"Unknown")</f>
        <v>Female</v>
      </c>
    </row>
    <row r="2314" spans="1:15">
      <c r="A2314" t="s">
        <v>2415</v>
      </c>
      <c r="B2314" t="s">
        <v>42</v>
      </c>
      <c r="C2314">
        <v>3</v>
      </c>
      <c r="D2314">
        <v>48.8</v>
      </c>
      <c r="E2314">
        <v>146.39999999999998</v>
      </c>
      <c r="F2314" s="1">
        <v>45742</v>
      </c>
      <c r="G2314" s="1">
        <v>45744</v>
      </c>
      <c r="H2314" t="s">
        <v>27</v>
      </c>
      <c r="I2314" t="s">
        <v>40</v>
      </c>
      <c r="J2314">
        <v>4</v>
      </c>
      <c r="K2314" t="s">
        <v>19</v>
      </c>
      <c r="L2314" t="s">
        <v>33</v>
      </c>
      <c r="M2314">
        <f>orders[[#This Row],[Ship Date]]-orders[[#This Row],[Order Date]]</f>
        <v>2</v>
      </c>
      <c r="N2314">
        <f>WEEKNUM(orders[[#This Row],[Order Date]])</f>
        <v>13</v>
      </c>
      <c r="O2314" t="str">
        <f>_xlfn.IFS(orders[[#This Row],[Customer Gender]]="M","Male", orders[[#This Row],[Customer Gender]]="F","Female", orders[[#This Row],[Customer Gender]]="O","Other", TRUE,"Unknown")</f>
        <v>Female</v>
      </c>
    </row>
    <row r="2315" spans="1:15">
      <c r="A2315" t="s">
        <v>2416</v>
      </c>
      <c r="B2315" t="s">
        <v>32</v>
      </c>
      <c r="C2315">
        <v>16</v>
      </c>
      <c r="D2315">
        <v>21.3</v>
      </c>
      <c r="E2315">
        <v>340.8</v>
      </c>
      <c r="F2315" s="1">
        <v>45742</v>
      </c>
      <c r="G2315" s="1">
        <v>45746</v>
      </c>
      <c r="H2315" t="s">
        <v>27</v>
      </c>
      <c r="I2315" t="s">
        <v>51</v>
      </c>
      <c r="J2315">
        <v>1</v>
      </c>
      <c r="K2315" t="s">
        <v>19</v>
      </c>
      <c r="L2315" t="s">
        <v>33</v>
      </c>
      <c r="M2315">
        <f>orders[[#This Row],[Ship Date]]-orders[[#This Row],[Order Date]]</f>
        <v>4</v>
      </c>
      <c r="N2315">
        <f>WEEKNUM(orders[[#This Row],[Order Date]])</f>
        <v>13</v>
      </c>
      <c r="O2315" t="str">
        <f>_xlfn.IFS(orders[[#This Row],[Customer Gender]]="M","Male", orders[[#This Row],[Customer Gender]]="F","Female", orders[[#This Row],[Customer Gender]]="O","Other", TRUE,"Unknown")</f>
        <v>Female</v>
      </c>
    </row>
    <row r="2316" spans="1:15">
      <c r="A2316" t="s">
        <v>2417</v>
      </c>
      <c r="B2316" t="s">
        <v>128</v>
      </c>
      <c r="C2316">
        <v>1</v>
      </c>
      <c r="D2316">
        <v>52.5</v>
      </c>
      <c r="E2316">
        <v>52.5</v>
      </c>
      <c r="F2316" s="1">
        <v>45742</v>
      </c>
      <c r="G2316" s="1">
        <v>45743</v>
      </c>
      <c r="H2316" t="s">
        <v>27</v>
      </c>
      <c r="I2316" t="s">
        <v>18</v>
      </c>
      <c r="J2316">
        <v>4</v>
      </c>
      <c r="K2316" t="s">
        <v>19</v>
      </c>
      <c r="L2316" t="s">
        <v>33</v>
      </c>
      <c r="M2316">
        <f>orders[[#This Row],[Ship Date]]-orders[[#This Row],[Order Date]]</f>
        <v>1</v>
      </c>
      <c r="N2316">
        <f>WEEKNUM(orders[[#This Row],[Order Date]])</f>
        <v>13</v>
      </c>
      <c r="O2316" t="str">
        <f>_xlfn.IFS(orders[[#This Row],[Customer Gender]]="M","Male", orders[[#This Row],[Customer Gender]]="F","Female", orders[[#This Row],[Customer Gender]]="O","Other", TRUE,"Unknown")</f>
        <v>Female</v>
      </c>
    </row>
    <row r="2317" spans="1:15">
      <c r="A2317" t="s">
        <v>2418</v>
      </c>
      <c r="B2317" t="s">
        <v>22</v>
      </c>
      <c r="C2317">
        <v>2</v>
      </c>
      <c r="D2317">
        <v>92.4</v>
      </c>
      <c r="E2317">
        <v>184.8</v>
      </c>
      <c r="F2317" s="1">
        <v>45742</v>
      </c>
      <c r="G2317" s="1">
        <v>45748</v>
      </c>
      <c r="H2317" t="s">
        <v>27</v>
      </c>
      <c r="I2317" t="s">
        <v>18</v>
      </c>
      <c r="J2317">
        <v>5</v>
      </c>
      <c r="K2317" t="s">
        <v>19</v>
      </c>
      <c r="L2317" t="s">
        <v>33</v>
      </c>
      <c r="M2317">
        <f>orders[[#This Row],[Ship Date]]-orders[[#This Row],[Order Date]]</f>
        <v>6</v>
      </c>
      <c r="N2317">
        <f>WEEKNUM(orders[[#This Row],[Order Date]])</f>
        <v>13</v>
      </c>
      <c r="O2317" t="str">
        <f>_xlfn.IFS(orders[[#This Row],[Customer Gender]]="M","Male", orders[[#This Row],[Customer Gender]]="F","Female", orders[[#This Row],[Customer Gender]]="O","Other", TRUE,"Unknown")</f>
        <v>Female</v>
      </c>
    </row>
    <row r="2318" spans="1:15">
      <c r="A2318" t="s">
        <v>2419</v>
      </c>
      <c r="B2318" t="s">
        <v>32</v>
      </c>
      <c r="C2318">
        <v>11</v>
      </c>
      <c r="D2318">
        <v>58.3</v>
      </c>
      <c r="E2318">
        <v>641.29999999999995</v>
      </c>
      <c r="F2318" s="1">
        <v>45742</v>
      </c>
      <c r="G2318" s="1">
        <v>45744</v>
      </c>
      <c r="H2318" t="s">
        <v>23</v>
      </c>
      <c r="I2318" t="s">
        <v>35</v>
      </c>
      <c r="J2318">
        <v>5</v>
      </c>
      <c r="K2318" t="s">
        <v>19</v>
      </c>
      <c r="L2318" t="s">
        <v>33</v>
      </c>
      <c r="M2318">
        <f>orders[[#This Row],[Ship Date]]-orders[[#This Row],[Order Date]]</f>
        <v>2</v>
      </c>
      <c r="N2318">
        <f>WEEKNUM(orders[[#This Row],[Order Date]])</f>
        <v>13</v>
      </c>
      <c r="O2318" t="str">
        <f>_xlfn.IFS(orders[[#This Row],[Customer Gender]]="M","Male", orders[[#This Row],[Customer Gender]]="F","Female", orders[[#This Row],[Customer Gender]]="O","Other", TRUE,"Unknown")</f>
        <v>Male</v>
      </c>
    </row>
    <row r="2319" spans="1:15">
      <c r="A2319" t="s">
        <v>2420</v>
      </c>
      <c r="B2319" t="s">
        <v>39</v>
      </c>
      <c r="C2319">
        <v>23</v>
      </c>
      <c r="D2319">
        <v>152.6</v>
      </c>
      <c r="E2319">
        <v>3509.7999999999997</v>
      </c>
      <c r="F2319" s="1">
        <v>45743</v>
      </c>
      <c r="G2319" s="1">
        <v>45745</v>
      </c>
      <c r="H2319" t="s">
        <v>17</v>
      </c>
      <c r="I2319" t="s">
        <v>18</v>
      </c>
      <c r="J2319">
        <v>4</v>
      </c>
      <c r="K2319" t="s">
        <v>19</v>
      </c>
      <c r="L2319" t="s">
        <v>33</v>
      </c>
      <c r="M2319">
        <f>orders[[#This Row],[Ship Date]]-orders[[#This Row],[Order Date]]</f>
        <v>2</v>
      </c>
      <c r="N2319">
        <f>WEEKNUM(orders[[#This Row],[Order Date]])</f>
        <v>13</v>
      </c>
      <c r="O2319" t="str">
        <f>_xlfn.IFS(orders[[#This Row],[Customer Gender]]="M","Male", orders[[#This Row],[Customer Gender]]="F","Female", orders[[#This Row],[Customer Gender]]="O","Other", TRUE,"Unknown")</f>
        <v>Unknown</v>
      </c>
    </row>
    <row r="2320" spans="1:15">
      <c r="A2320" t="s">
        <v>2421</v>
      </c>
      <c r="B2320" t="s">
        <v>44</v>
      </c>
      <c r="C2320">
        <v>2</v>
      </c>
      <c r="D2320">
        <v>26</v>
      </c>
      <c r="E2320">
        <v>52</v>
      </c>
      <c r="F2320" s="1">
        <v>45743</v>
      </c>
      <c r="G2320" s="1">
        <v>45743</v>
      </c>
      <c r="H2320" t="s">
        <v>17</v>
      </c>
      <c r="I2320" t="s">
        <v>18</v>
      </c>
      <c r="J2320">
        <v>3</v>
      </c>
      <c r="K2320" t="s">
        <v>19</v>
      </c>
      <c r="L2320" t="s">
        <v>33</v>
      </c>
      <c r="M2320">
        <f>orders[[#This Row],[Ship Date]]-orders[[#This Row],[Order Date]]</f>
        <v>0</v>
      </c>
      <c r="N2320">
        <f>WEEKNUM(orders[[#This Row],[Order Date]])</f>
        <v>13</v>
      </c>
      <c r="O2320" t="str">
        <f>_xlfn.IFS(orders[[#This Row],[Customer Gender]]="M","Male", orders[[#This Row],[Customer Gender]]="F","Female", orders[[#This Row],[Customer Gender]]="O","Other", TRUE,"Unknown")</f>
        <v>Unknown</v>
      </c>
    </row>
    <row r="2321" spans="1:15">
      <c r="A2321" t="s">
        <v>2422</v>
      </c>
      <c r="B2321" t="s">
        <v>22</v>
      </c>
      <c r="C2321">
        <v>4</v>
      </c>
      <c r="D2321">
        <v>33.1</v>
      </c>
      <c r="E2321">
        <v>132.4</v>
      </c>
      <c r="F2321" s="1">
        <v>45743</v>
      </c>
      <c r="G2321" s="1">
        <v>45743</v>
      </c>
      <c r="H2321" t="s">
        <v>23</v>
      </c>
      <c r="I2321" t="s">
        <v>40</v>
      </c>
      <c r="J2321">
        <v>2</v>
      </c>
      <c r="K2321" t="s">
        <v>19</v>
      </c>
      <c r="L2321" t="s">
        <v>52</v>
      </c>
      <c r="M2321">
        <f>orders[[#This Row],[Ship Date]]-orders[[#This Row],[Order Date]]</f>
        <v>0</v>
      </c>
      <c r="N2321">
        <f>WEEKNUM(orders[[#This Row],[Order Date]])</f>
        <v>13</v>
      </c>
      <c r="O2321" t="str">
        <f>_xlfn.IFS(orders[[#This Row],[Customer Gender]]="M","Male", orders[[#This Row],[Customer Gender]]="F","Female", orders[[#This Row],[Customer Gender]]="O","Other", TRUE,"Unknown")</f>
        <v>Male</v>
      </c>
    </row>
    <row r="2322" spans="1:15">
      <c r="A2322" t="s">
        <v>2423</v>
      </c>
      <c r="B2322" t="s">
        <v>146</v>
      </c>
      <c r="C2322">
        <v>1</v>
      </c>
      <c r="D2322">
        <v>51.4</v>
      </c>
      <c r="E2322">
        <v>51.4</v>
      </c>
      <c r="F2322" s="1">
        <v>45743</v>
      </c>
      <c r="G2322" s="1">
        <v>45745</v>
      </c>
      <c r="H2322" t="s">
        <v>27</v>
      </c>
      <c r="I2322" t="s">
        <v>35</v>
      </c>
      <c r="J2322">
        <v>3</v>
      </c>
      <c r="K2322" t="s">
        <v>19</v>
      </c>
      <c r="L2322" t="s">
        <v>52</v>
      </c>
      <c r="M2322">
        <f>orders[[#This Row],[Ship Date]]-orders[[#This Row],[Order Date]]</f>
        <v>2</v>
      </c>
      <c r="N2322">
        <f>WEEKNUM(orders[[#This Row],[Order Date]])</f>
        <v>13</v>
      </c>
      <c r="O2322" t="str">
        <f>_xlfn.IFS(orders[[#This Row],[Customer Gender]]="M","Male", orders[[#This Row],[Customer Gender]]="F","Female", orders[[#This Row],[Customer Gender]]="O","Other", TRUE,"Unknown")</f>
        <v>Female</v>
      </c>
    </row>
    <row r="2323" spans="1:15">
      <c r="A2323" t="s">
        <v>2424</v>
      </c>
      <c r="B2323" t="s">
        <v>44</v>
      </c>
      <c r="C2323">
        <v>2</v>
      </c>
      <c r="D2323">
        <v>30.2</v>
      </c>
      <c r="E2323">
        <v>60.4</v>
      </c>
      <c r="F2323" s="1">
        <v>45743</v>
      </c>
      <c r="G2323" s="1">
        <v>45744</v>
      </c>
      <c r="H2323" t="s">
        <v>27</v>
      </c>
      <c r="I2323" t="s">
        <v>40</v>
      </c>
      <c r="J2323">
        <v>5</v>
      </c>
      <c r="K2323" t="s">
        <v>19</v>
      </c>
      <c r="L2323" t="s">
        <v>55</v>
      </c>
      <c r="M2323">
        <f>orders[[#This Row],[Ship Date]]-orders[[#This Row],[Order Date]]</f>
        <v>1</v>
      </c>
      <c r="N2323">
        <f>WEEKNUM(orders[[#This Row],[Order Date]])</f>
        <v>13</v>
      </c>
      <c r="O2323" t="str">
        <f>_xlfn.IFS(orders[[#This Row],[Customer Gender]]="M","Male", orders[[#This Row],[Customer Gender]]="F","Female", orders[[#This Row],[Customer Gender]]="O","Other", TRUE,"Unknown")</f>
        <v>Female</v>
      </c>
    </row>
    <row r="2324" spans="1:15">
      <c r="A2324" t="s">
        <v>2425</v>
      </c>
      <c r="B2324" t="s">
        <v>26</v>
      </c>
      <c r="C2324">
        <v>6</v>
      </c>
      <c r="D2324">
        <v>97</v>
      </c>
      <c r="E2324">
        <v>582</v>
      </c>
      <c r="F2324" s="1">
        <v>45743</v>
      </c>
      <c r="G2324" s="1">
        <v>45747</v>
      </c>
      <c r="H2324" t="s">
        <v>27</v>
      </c>
      <c r="I2324" t="s">
        <v>18</v>
      </c>
      <c r="J2324">
        <v>5</v>
      </c>
      <c r="K2324" t="s">
        <v>19</v>
      </c>
      <c r="L2324" t="s">
        <v>59</v>
      </c>
      <c r="M2324">
        <f>orders[[#This Row],[Ship Date]]-orders[[#This Row],[Order Date]]</f>
        <v>4</v>
      </c>
      <c r="N2324">
        <f>WEEKNUM(orders[[#This Row],[Order Date]])</f>
        <v>13</v>
      </c>
      <c r="O2324" t="str">
        <f>_xlfn.IFS(orders[[#This Row],[Customer Gender]]="M","Male", orders[[#This Row],[Customer Gender]]="F","Female", orders[[#This Row],[Customer Gender]]="O","Other", TRUE,"Unknown")</f>
        <v>Female</v>
      </c>
    </row>
    <row r="2325" spans="1:15">
      <c r="A2325" t="s">
        <v>2426</v>
      </c>
      <c r="B2325" t="s">
        <v>26</v>
      </c>
      <c r="C2325">
        <v>1</v>
      </c>
      <c r="D2325">
        <v>76.900000000000006</v>
      </c>
      <c r="E2325">
        <v>76.900000000000006</v>
      </c>
      <c r="F2325" s="1">
        <v>45743</v>
      </c>
      <c r="G2325" s="1">
        <v>45744</v>
      </c>
      <c r="H2325" t="s">
        <v>23</v>
      </c>
      <c r="I2325" t="s">
        <v>35</v>
      </c>
      <c r="J2325">
        <v>5</v>
      </c>
      <c r="K2325" t="s">
        <v>19</v>
      </c>
      <c r="L2325" t="s">
        <v>62</v>
      </c>
      <c r="M2325">
        <f>orders[[#This Row],[Ship Date]]-orders[[#This Row],[Order Date]]</f>
        <v>1</v>
      </c>
      <c r="N2325">
        <f>WEEKNUM(orders[[#This Row],[Order Date]])</f>
        <v>13</v>
      </c>
      <c r="O2325" t="str">
        <f>_xlfn.IFS(orders[[#This Row],[Customer Gender]]="M","Male", orders[[#This Row],[Customer Gender]]="F","Female", orders[[#This Row],[Customer Gender]]="O","Other", TRUE,"Unknown")</f>
        <v>Male</v>
      </c>
    </row>
    <row r="2326" spans="1:15">
      <c r="A2326" t="s">
        <v>2427</v>
      </c>
      <c r="B2326" t="s">
        <v>42</v>
      </c>
      <c r="C2326">
        <v>6</v>
      </c>
      <c r="D2326">
        <v>36.1</v>
      </c>
      <c r="E2326">
        <v>216.60000000000002</v>
      </c>
      <c r="F2326" s="1">
        <v>45743</v>
      </c>
      <c r="G2326" s="1">
        <v>45747</v>
      </c>
      <c r="H2326" t="s">
        <v>27</v>
      </c>
      <c r="I2326" t="s">
        <v>18</v>
      </c>
      <c r="J2326">
        <v>4</v>
      </c>
      <c r="K2326" t="s">
        <v>19</v>
      </c>
      <c r="L2326" t="s">
        <v>62</v>
      </c>
      <c r="M2326">
        <f>orders[[#This Row],[Ship Date]]-orders[[#This Row],[Order Date]]</f>
        <v>4</v>
      </c>
      <c r="N2326">
        <f>WEEKNUM(orders[[#This Row],[Order Date]])</f>
        <v>13</v>
      </c>
      <c r="O2326" t="str">
        <f>_xlfn.IFS(orders[[#This Row],[Customer Gender]]="M","Male", orders[[#This Row],[Customer Gender]]="F","Female", orders[[#This Row],[Customer Gender]]="O","Other", TRUE,"Unknown")</f>
        <v>Female</v>
      </c>
    </row>
    <row r="2327" spans="1:15">
      <c r="A2327" t="s">
        <v>2428</v>
      </c>
      <c r="B2327" t="s">
        <v>22</v>
      </c>
      <c r="C2327">
        <v>7</v>
      </c>
      <c r="D2327">
        <v>34.4</v>
      </c>
      <c r="E2327">
        <v>240.79999999999998</v>
      </c>
      <c r="F2327" s="1">
        <v>45743</v>
      </c>
      <c r="G2327" s="1">
        <v>45743</v>
      </c>
      <c r="H2327" t="s">
        <v>27</v>
      </c>
      <c r="I2327" t="s">
        <v>40</v>
      </c>
      <c r="J2327">
        <v>3</v>
      </c>
      <c r="K2327" t="s">
        <v>19</v>
      </c>
      <c r="L2327" t="s">
        <v>77</v>
      </c>
      <c r="M2327">
        <f>orders[[#This Row],[Ship Date]]-orders[[#This Row],[Order Date]]</f>
        <v>0</v>
      </c>
      <c r="N2327">
        <f>WEEKNUM(orders[[#This Row],[Order Date]])</f>
        <v>13</v>
      </c>
      <c r="O2327" t="str">
        <f>_xlfn.IFS(orders[[#This Row],[Customer Gender]]="M","Male", orders[[#This Row],[Customer Gender]]="F","Female", orders[[#This Row],[Customer Gender]]="O","Other", TRUE,"Unknown")</f>
        <v>Female</v>
      </c>
    </row>
    <row r="2328" spans="1:15">
      <c r="A2328" t="s">
        <v>2429</v>
      </c>
      <c r="B2328" t="s">
        <v>22</v>
      </c>
      <c r="C2328">
        <v>28</v>
      </c>
      <c r="D2328">
        <v>53.4</v>
      </c>
      <c r="E2328">
        <v>1495.2</v>
      </c>
      <c r="F2328" s="1">
        <v>45743</v>
      </c>
      <c r="G2328" s="1">
        <v>45745</v>
      </c>
      <c r="H2328" t="s">
        <v>27</v>
      </c>
      <c r="I2328" t="s">
        <v>35</v>
      </c>
      <c r="J2328">
        <v>4</v>
      </c>
      <c r="K2328" t="s">
        <v>19</v>
      </c>
      <c r="L2328" t="s">
        <v>108</v>
      </c>
      <c r="M2328">
        <f>orders[[#This Row],[Ship Date]]-orders[[#This Row],[Order Date]]</f>
        <v>2</v>
      </c>
      <c r="N2328">
        <f>WEEKNUM(orders[[#This Row],[Order Date]])</f>
        <v>13</v>
      </c>
      <c r="O2328" t="str">
        <f>_xlfn.IFS(orders[[#This Row],[Customer Gender]]="M","Male", orders[[#This Row],[Customer Gender]]="F","Female", orders[[#This Row],[Customer Gender]]="O","Other", TRUE,"Unknown")</f>
        <v>Female</v>
      </c>
    </row>
    <row r="2329" spans="1:15">
      <c r="A2329" t="s">
        <v>2430</v>
      </c>
      <c r="B2329" t="s">
        <v>26</v>
      </c>
      <c r="C2329">
        <v>1</v>
      </c>
      <c r="D2329">
        <v>77.599999999999994</v>
      </c>
      <c r="E2329">
        <v>77.599999999999994</v>
      </c>
      <c r="F2329" s="1">
        <v>45743</v>
      </c>
      <c r="G2329" s="1">
        <v>45744</v>
      </c>
      <c r="H2329" t="s">
        <v>27</v>
      </c>
      <c r="I2329" t="s">
        <v>18</v>
      </c>
      <c r="J2329">
        <v>3</v>
      </c>
      <c r="K2329" t="s">
        <v>19</v>
      </c>
      <c r="L2329" t="s">
        <v>110</v>
      </c>
      <c r="M2329">
        <f>orders[[#This Row],[Ship Date]]-orders[[#This Row],[Order Date]]</f>
        <v>1</v>
      </c>
      <c r="N2329">
        <f>WEEKNUM(orders[[#This Row],[Order Date]])</f>
        <v>13</v>
      </c>
      <c r="O2329" t="str">
        <f>_xlfn.IFS(orders[[#This Row],[Customer Gender]]="M","Male", orders[[#This Row],[Customer Gender]]="F","Female", orders[[#This Row],[Customer Gender]]="O","Other", TRUE,"Unknown")</f>
        <v>Female</v>
      </c>
    </row>
    <row r="2330" spans="1:15">
      <c r="A2330" t="s">
        <v>2431</v>
      </c>
      <c r="B2330" t="s">
        <v>22</v>
      </c>
      <c r="C2330">
        <v>3</v>
      </c>
      <c r="D2330">
        <v>71.7</v>
      </c>
      <c r="E2330">
        <v>215.10000000000002</v>
      </c>
      <c r="F2330" s="1">
        <v>45743</v>
      </c>
      <c r="G2330" s="1">
        <v>45746</v>
      </c>
      <c r="H2330" t="s">
        <v>27</v>
      </c>
      <c r="I2330" t="s">
        <v>35</v>
      </c>
      <c r="J2330">
        <v>4</v>
      </c>
      <c r="K2330" t="s">
        <v>19</v>
      </c>
      <c r="L2330" t="s">
        <v>110</v>
      </c>
      <c r="M2330">
        <f>orders[[#This Row],[Ship Date]]-orders[[#This Row],[Order Date]]</f>
        <v>3</v>
      </c>
      <c r="N2330">
        <f>WEEKNUM(orders[[#This Row],[Order Date]])</f>
        <v>13</v>
      </c>
      <c r="O2330" t="str">
        <f>_xlfn.IFS(orders[[#This Row],[Customer Gender]]="M","Male", orders[[#This Row],[Customer Gender]]="F","Female", orders[[#This Row],[Customer Gender]]="O","Other", TRUE,"Unknown")</f>
        <v>Female</v>
      </c>
    </row>
    <row r="2331" spans="1:15">
      <c r="A2331" t="s">
        <v>2432</v>
      </c>
      <c r="B2331" t="s">
        <v>30</v>
      </c>
      <c r="C2331">
        <v>3</v>
      </c>
      <c r="D2331">
        <v>80.599999999999994</v>
      </c>
      <c r="E2331">
        <v>241.79999999999998</v>
      </c>
      <c r="F2331" s="1">
        <v>45743</v>
      </c>
      <c r="G2331" s="1">
        <v>45744</v>
      </c>
      <c r="H2331" t="s">
        <v>23</v>
      </c>
      <c r="I2331" t="s">
        <v>70</v>
      </c>
      <c r="J2331">
        <v>3</v>
      </c>
      <c r="K2331" t="s">
        <v>19</v>
      </c>
      <c r="L2331" t="s">
        <v>110</v>
      </c>
      <c r="M2331">
        <f>orders[[#This Row],[Ship Date]]-orders[[#This Row],[Order Date]]</f>
        <v>1</v>
      </c>
      <c r="N2331">
        <f>WEEKNUM(orders[[#This Row],[Order Date]])</f>
        <v>13</v>
      </c>
      <c r="O2331" t="str">
        <f>_xlfn.IFS(orders[[#This Row],[Customer Gender]]="M","Male", orders[[#This Row],[Customer Gender]]="F","Female", orders[[#This Row],[Customer Gender]]="O","Other", TRUE,"Unknown")</f>
        <v>Male</v>
      </c>
    </row>
    <row r="2332" spans="1:15">
      <c r="A2332" t="s">
        <v>2433</v>
      </c>
      <c r="B2332" t="s">
        <v>22</v>
      </c>
      <c r="C2332">
        <v>15</v>
      </c>
      <c r="D2332">
        <v>70</v>
      </c>
      <c r="E2332">
        <v>1050</v>
      </c>
      <c r="F2332" s="1">
        <v>45743</v>
      </c>
      <c r="G2332" s="1">
        <v>45745</v>
      </c>
      <c r="H2332" t="s">
        <v>23</v>
      </c>
      <c r="I2332" t="s">
        <v>18</v>
      </c>
      <c r="J2332">
        <v>4</v>
      </c>
      <c r="K2332" t="s">
        <v>19</v>
      </c>
      <c r="L2332" t="s">
        <v>113</v>
      </c>
      <c r="M2332">
        <f>orders[[#This Row],[Ship Date]]-orders[[#This Row],[Order Date]]</f>
        <v>2</v>
      </c>
      <c r="N2332">
        <f>WEEKNUM(orders[[#This Row],[Order Date]])</f>
        <v>13</v>
      </c>
      <c r="O2332" t="str">
        <f>_xlfn.IFS(orders[[#This Row],[Customer Gender]]="M","Male", orders[[#This Row],[Customer Gender]]="F","Female", orders[[#This Row],[Customer Gender]]="O","Other", TRUE,"Unknown")</f>
        <v>Male</v>
      </c>
    </row>
    <row r="2333" spans="1:15">
      <c r="A2333" t="s">
        <v>2434</v>
      </c>
      <c r="B2333" t="s">
        <v>32</v>
      </c>
      <c r="C2333">
        <v>6</v>
      </c>
      <c r="D2333">
        <v>27.3</v>
      </c>
      <c r="E2333">
        <v>163.80000000000001</v>
      </c>
      <c r="F2333" s="1">
        <v>45743</v>
      </c>
      <c r="G2333" s="1">
        <v>45745</v>
      </c>
      <c r="H2333" t="s">
        <v>27</v>
      </c>
      <c r="I2333" t="s">
        <v>35</v>
      </c>
      <c r="J2333">
        <v>3</v>
      </c>
      <c r="K2333" t="s">
        <v>19</v>
      </c>
      <c r="L2333" t="s">
        <v>28</v>
      </c>
      <c r="M2333">
        <f>orders[[#This Row],[Ship Date]]-orders[[#This Row],[Order Date]]</f>
        <v>2</v>
      </c>
      <c r="N2333">
        <f>WEEKNUM(orders[[#This Row],[Order Date]])</f>
        <v>13</v>
      </c>
      <c r="O2333" t="str">
        <f>_xlfn.IFS(orders[[#This Row],[Customer Gender]]="M","Male", orders[[#This Row],[Customer Gender]]="F","Female", orders[[#This Row],[Customer Gender]]="O","Other", TRUE,"Unknown")</f>
        <v>Female</v>
      </c>
    </row>
    <row r="2334" spans="1:15">
      <c r="A2334" t="s">
        <v>2435</v>
      </c>
      <c r="B2334" t="s">
        <v>44</v>
      </c>
      <c r="C2334">
        <v>14</v>
      </c>
      <c r="D2334">
        <v>37.6</v>
      </c>
      <c r="E2334">
        <v>526.4</v>
      </c>
      <c r="F2334" s="1">
        <v>45743</v>
      </c>
      <c r="G2334" s="1">
        <v>45745</v>
      </c>
      <c r="H2334" t="s">
        <v>23</v>
      </c>
      <c r="I2334" t="s">
        <v>35</v>
      </c>
      <c r="J2334">
        <v>4</v>
      </c>
      <c r="K2334" t="s">
        <v>19</v>
      </c>
      <c r="L2334" t="s">
        <v>33</v>
      </c>
      <c r="M2334">
        <f>orders[[#This Row],[Ship Date]]-orders[[#This Row],[Order Date]]</f>
        <v>2</v>
      </c>
      <c r="N2334">
        <f>WEEKNUM(orders[[#This Row],[Order Date]])</f>
        <v>13</v>
      </c>
      <c r="O2334" t="str">
        <f>_xlfn.IFS(orders[[#This Row],[Customer Gender]]="M","Male", orders[[#This Row],[Customer Gender]]="F","Female", orders[[#This Row],[Customer Gender]]="O","Other", TRUE,"Unknown")</f>
        <v>Male</v>
      </c>
    </row>
    <row r="2335" spans="1:15">
      <c r="A2335" t="s">
        <v>2436</v>
      </c>
      <c r="B2335" t="s">
        <v>37</v>
      </c>
      <c r="C2335">
        <v>3</v>
      </c>
      <c r="D2335">
        <v>36.6</v>
      </c>
      <c r="E2335">
        <v>109.80000000000001</v>
      </c>
      <c r="F2335" s="1">
        <v>45743</v>
      </c>
      <c r="G2335" s="1">
        <v>45745</v>
      </c>
      <c r="H2335" t="s">
        <v>27</v>
      </c>
      <c r="I2335" t="s">
        <v>70</v>
      </c>
      <c r="J2335">
        <v>4</v>
      </c>
      <c r="K2335" t="s">
        <v>19</v>
      </c>
      <c r="L2335" t="s">
        <v>33</v>
      </c>
      <c r="M2335">
        <f>orders[[#This Row],[Ship Date]]-orders[[#This Row],[Order Date]]</f>
        <v>2</v>
      </c>
      <c r="N2335">
        <f>WEEKNUM(orders[[#This Row],[Order Date]])</f>
        <v>13</v>
      </c>
      <c r="O2335" t="str">
        <f>_xlfn.IFS(orders[[#This Row],[Customer Gender]]="M","Male", orders[[#This Row],[Customer Gender]]="F","Female", orders[[#This Row],[Customer Gender]]="O","Other", TRUE,"Unknown")</f>
        <v>Female</v>
      </c>
    </row>
    <row r="2336" spans="1:15">
      <c r="A2336" t="s">
        <v>2437</v>
      </c>
      <c r="B2336" t="s">
        <v>76</v>
      </c>
      <c r="C2336">
        <v>1</v>
      </c>
      <c r="D2336">
        <v>55.2</v>
      </c>
      <c r="E2336">
        <v>55.2</v>
      </c>
      <c r="F2336" s="1">
        <v>45743</v>
      </c>
      <c r="G2336" s="1">
        <v>45745</v>
      </c>
      <c r="H2336" t="s">
        <v>23</v>
      </c>
      <c r="I2336" t="s">
        <v>51</v>
      </c>
      <c r="J2336">
        <v>4</v>
      </c>
      <c r="K2336" t="s">
        <v>19</v>
      </c>
      <c r="L2336" t="s">
        <v>33</v>
      </c>
      <c r="M2336">
        <f>orders[[#This Row],[Ship Date]]-orders[[#This Row],[Order Date]]</f>
        <v>2</v>
      </c>
      <c r="N2336">
        <f>WEEKNUM(orders[[#This Row],[Order Date]])</f>
        <v>13</v>
      </c>
      <c r="O2336" t="str">
        <f>_xlfn.IFS(orders[[#This Row],[Customer Gender]]="M","Male", orders[[#This Row],[Customer Gender]]="F","Female", orders[[#This Row],[Customer Gender]]="O","Other", TRUE,"Unknown")</f>
        <v>Male</v>
      </c>
    </row>
    <row r="2337" spans="1:15">
      <c r="A2337" t="s">
        <v>2438</v>
      </c>
      <c r="B2337" t="s">
        <v>39</v>
      </c>
      <c r="C2337">
        <v>5</v>
      </c>
      <c r="D2337">
        <v>59.9</v>
      </c>
      <c r="E2337">
        <v>299.5</v>
      </c>
      <c r="F2337" s="1">
        <v>45743</v>
      </c>
      <c r="G2337" s="1">
        <v>45745</v>
      </c>
      <c r="H2337" t="s">
        <v>23</v>
      </c>
      <c r="I2337" t="s">
        <v>18</v>
      </c>
      <c r="J2337">
        <v>4</v>
      </c>
      <c r="K2337" t="s">
        <v>19</v>
      </c>
      <c r="L2337" t="s">
        <v>33</v>
      </c>
      <c r="M2337">
        <f>orders[[#This Row],[Ship Date]]-orders[[#This Row],[Order Date]]</f>
        <v>2</v>
      </c>
      <c r="N2337">
        <f>WEEKNUM(orders[[#This Row],[Order Date]])</f>
        <v>13</v>
      </c>
      <c r="O2337" t="str">
        <f>_xlfn.IFS(orders[[#This Row],[Customer Gender]]="M","Male", orders[[#This Row],[Customer Gender]]="F","Female", orders[[#This Row],[Customer Gender]]="O","Other", TRUE,"Unknown")</f>
        <v>Male</v>
      </c>
    </row>
    <row r="2338" spans="1:15">
      <c r="A2338" t="s">
        <v>2439</v>
      </c>
      <c r="B2338" t="s">
        <v>39</v>
      </c>
      <c r="C2338">
        <v>1</v>
      </c>
      <c r="D2338">
        <v>44</v>
      </c>
      <c r="E2338">
        <v>44</v>
      </c>
      <c r="F2338" s="1">
        <v>45743</v>
      </c>
      <c r="G2338" s="1">
        <v>45744</v>
      </c>
      <c r="H2338" t="s">
        <v>27</v>
      </c>
      <c r="I2338" t="s">
        <v>40</v>
      </c>
      <c r="J2338">
        <v>5</v>
      </c>
      <c r="K2338" t="s">
        <v>19</v>
      </c>
      <c r="L2338" t="s">
        <v>33</v>
      </c>
      <c r="M2338">
        <f>orders[[#This Row],[Ship Date]]-orders[[#This Row],[Order Date]]</f>
        <v>1</v>
      </c>
      <c r="N2338">
        <f>WEEKNUM(orders[[#This Row],[Order Date]])</f>
        <v>13</v>
      </c>
      <c r="O2338" t="str">
        <f>_xlfn.IFS(orders[[#This Row],[Customer Gender]]="M","Male", orders[[#This Row],[Customer Gender]]="F","Female", orders[[#This Row],[Customer Gender]]="O","Other", TRUE,"Unknown")</f>
        <v>Female</v>
      </c>
    </row>
    <row r="2339" spans="1:15">
      <c r="A2339" t="s">
        <v>2440</v>
      </c>
      <c r="B2339" t="s">
        <v>46</v>
      </c>
      <c r="C2339">
        <v>2</v>
      </c>
      <c r="D2339">
        <v>68.7</v>
      </c>
      <c r="E2339">
        <v>137.4</v>
      </c>
      <c r="F2339" s="1">
        <v>45743</v>
      </c>
      <c r="G2339" s="1">
        <v>45743</v>
      </c>
      <c r="H2339" t="s">
        <v>23</v>
      </c>
      <c r="I2339" t="s">
        <v>18</v>
      </c>
      <c r="J2339">
        <v>4</v>
      </c>
      <c r="K2339" t="s">
        <v>19</v>
      </c>
      <c r="L2339" t="s">
        <v>33</v>
      </c>
      <c r="M2339">
        <f>orders[[#This Row],[Ship Date]]-orders[[#This Row],[Order Date]]</f>
        <v>0</v>
      </c>
      <c r="N2339">
        <f>WEEKNUM(orders[[#This Row],[Order Date]])</f>
        <v>13</v>
      </c>
      <c r="O2339" t="str">
        <f>_xlfn.IFS(orders[[#This Row],[Customer Gender]]="M","Male", orders[[#This Row],[Customer Gender]]="F","Female", orders[[#This Row],[Customer Gender]]="O","Other", TRUE,"Unknown")</f>
        <v>Male</v>
      </c>
    </row>
    <row r="2340" spans="1:15">
      <c r="A2340" t="s">
        <v>2441</v>
      </c>
      <c r="B2340" t="s">
        <v>37</v>
      </c>
      <c r="C2340">
        <v>2</v>
      </c>
      <c r="D2340">
        <v>61.6</v>
      </c>
      <c r="E2340">
        <v>123.2</v>
      </c>
      <c r="F2340" s="1">
        <v>45743</v>
      </c>
      <c r="G2340" s="1">
        <v>45747</v>
      </c>
      <c r="H2340" t="s">
        <v>23</v>
      </c>
      <c r="I2340" t="s">
        <v>51</v>
      </c>
      <c r="J2340">
        <v>3</v>
      </c>
      <c r="K2340" t="s">
        <v>19</v>
      </c>
      <c r="L2340" t="s">
        <v>33</v>
      </c>
      <c r="M2340">
        <f>orders[[#This Row],[Ship Date]]-orders[[#This Row],[Order Date]]</f>
        <v>4</v>
      </c>
      <c r="N2340">
        <f>WEEKNUM(orders[[#This Row],[Order Date]])</f>
        <v>13</v>
      </c>
      <c r="O2340" t="str">
        <f>_xlfn.IFS(orders[[#This Row],[Customer Gender]]="M","Male", orders[[#This Row],[Customer Gender]]="F","Female", orders[[#This Row],[Customer Gender]]="O","Other", TRUE,"Unknown")</f>
        <v>Male</v>
      </c>
    </row>
    <row r="2341" spans="1:15">
      <c r="A2341" t="s">
        <v>2442</v>
      </c>
      <c r="B2341" t="s">
        <v>42</v>
      </c>
      <c r="C2341">
        <v>7</v>
      </c>
      <c r="D2341">
        <v>51.8</v>
      </c>
      <c r="E2341">
        <v>362.59999999999997</v>
      </c>
      <c r="F2341" s="1">
        <v>45743</v>
      </c>
      <c r="G2341" s="1">
        <v>45744</v>
      </c>
      <c r="H2341" t="s">
        <v>23</v>
      </c>
      <c r="I2341" t="s">
        <v>18</v>
      </c>
      <c r="J2341">
        <v>4</v>
      </c>
      <c r="K2341" t="s">
        <v>19</v>
      </c>
      <c r="L2341" t="s">
        <v>33</v>
      </c>
      <c r="M2341">
        <f>orders[[#This Row],[Ship Date]]-orders[[#This Row],[Order Date]]</f>
        <v>1</v>
      </c>
      <c r="N2341">
        <f>WEEKNUM(orders[[#This Row],[Order Date]])</f>
        <v>13</v>
      </c>
      <c r="O2341" t="str">
        <f>_xlfn.IFS(orders[[#This Row],[Customer Gender]]="M","Male", orders[[#This Row],[Customer Gender]]="F","Female", orders[[#This Row],[Customer Gender]]="O","Other", TRUE,"Unknown")</f>
        <v>Male</v>
      </c>
    </row>
    <row r="2342" spans="1:15">
      <c r="A2342" t="s">
        <v>2443</v>
      </c>
      <c r="B2342" t="s">
        <v>44</v>
      </c>
      <c r="C2342">
        <v>10</v>
      </c>
      <c r="D2342">
        <v>46.2</v>
      </c>
      <c r="E2342">
        <v>462</v>
      </c>
      <c r="F2342" s="1">
        <v>45743</v>
      </c>
      <c r="G2342" s="1">
        <v>45745</v>
      </c>
      <c r="H2342" t="s">
        <v>23</v>
      </c>
      <c r="I2342" t="s">
        <v>35</v>
      </c>
      <c r="J2342">
        <v>5</v>
      </c>
      <c r="K2342" t="s">
        <v>19</v>
      </c>
      <c r="L2342" t="s">
        <v>33</v>
      </c>
      <c r="M2342">
        <f>orders[[#This Row],[Ship Date]]-orders[[#This Row],[Order Date]]</f>
        <v>2</v>
      </c>
      <c r="N2342">
        <f>WEEKNUM(orders[[#This Row],[Order Date]])</f>
        <v>13</v>
      </c>
      <c r="O2342" t="str">
        <f>_xlfn.IFS(orders[[#This Row],[Customer Gender]]="M","Male", orders[[#This Row],[Customer Gender]]="F","Female", orders[[#This Row],[Customer Gender]]="O","Other", TRUE,"Unknown")</f>
        <v>Male</v>
      </c>
    </row>
    <row r="2343" spans="1:15">
      <c r="A2343" t="s">
        <v>2444</v>
      </c>
      <c r="B2343" t="s">
        <v>16</v>
      </c>
      <c r="C2343">
        <v>2</v>
      </c>
      <c r="D2343">
        <v>19.399999999999999</v>
      </c>
      <c r="E2343">
        <v>38.799999999999997</v>
      </c>
      <c r="F2343" s="1">
        <v>45743</v>
      </c>
      <c r="G2343" s="1">
        <v>45745</v>
      </c>
      <c r="H2343" t="s">
        <v>27</v>
      </c>
      <c r="I2343" t="s">
        <v>35</v>
      </c>
      <c r="J2343">
        <v>5</v>
      </c>
      <c r="K2343" t="s">
        <v>19</v>
      </c>
      <c r="L2343" t="s">
        <v>55</v>
      </c>
      <c r="M2343">
        <f>orders[[#This Row],[Ship Date]]-orders[[#This Row],[Order Date]]</f>
        <v>2</v>
      </c>
      <c r="N2343">
        <f>WEEKNUM(orders[[#This Row],[Order Date]])</f>
        <v>13</v>
      </c>
      <c r="O2343" t="str">
        <f>_xlfn.IFS(orders[[#This Row],[Customer Gender]]="M","Male", orders[[#This Row],[Customer Gender]]="F","Female", orders[[#This Row],[Customer Gender]]="O","Other", TRUE,"Unknown")</f>
        <v>Female</v>
      </c>
    </row>
    <row r="2344" spans="1:15">
      <c r="A2344" t="s">
        <v>2445</v>
      </c>
      <c r="B2344" t="s">
        <v>67</v>
      </c>
      <c r="C2344">
        <v>3</v>
      </c>
      <c r="D2344">
        <v>52.1</v>
      </c>
      <c r="E2344">
        <v>156.30000000000001</v>
      </c>
      <c r="F2344" s="1">
        <v>45743</v>
      </c>
      <c r="G2344" s="1">
        <v>45746</v>
      </c>
      <c r="H2344" t="s">
        <v>23</v>
      </c>
      <c r="I2344" t="s">
        <v>51</v>
      </c>
      <c r="J2344">
        <v>1</v>
      </c>
      <c r="K2344" t="s">
        <v>19</v>
      </c>
      <c r="L2344" t="s">
        <v>55</v>
      </c>
      <c r="M2344">
        <f>orders[[#This Row],[Ship Date]]-orders[[#This Row],[Order Date]]</f>
        <v>3</v>
      </c>
      <c r="N2344">
        <f>WEEKNUM(orders[[#This Row],[Order Date]])</f>
        <v>13</v>
      </c>
      <c r="O2344" t="str">
        <f>_xlfn.IFS(orders[[#This Row],[Customer Gender]]="M","Male", orders[[#This Row],[Customer Gender]]="F","Female", orders[[#This Row],[Customer Gender]]="O","Other", TRUE,"Unknown")</f>
        <v>Male</v>
      </c>
    </row>
    <row r="2345" spans="1:15">
      <c r="A2345" t="s">
        <v>2446</v>
      </c>
      <c r="B2345" t="s">
        <v>39</v>
      </c>
      <c r="C2345">
        <v>1</v>
      </c>
      <c r="D2345">
        <v>74.900000000000006</v>
      </c>
      <c r="E2345">
        <v>74.900000000000006</v>
      </c>
      <c r="F2345" s="1">
        <v>45743</v>
      </c>
      <c r="G2345" s="1">
        <v>45745</v>
      </c>
      <c r="H2345" t="s">
        <v>89</v>
      </c>
      <c r="I2345" t="s">
        <v>18</v>
      </c>
      <c r="J2345">
        <v>4</v>
      </c>
      <c r="K2345" t="s">
        <v>19</v>
      </c>
      <c r="L2345" t="s">
        <v>59</v>
      </c>
      <c r="M2345">
        <f>orders[[#This Row],[Ship Date]]-orders[[#This Row],[Order Date]]</f>
        <v>2</v>
      </c>
      <c r="N2345">
        <f>WEEKNUM(orders[[#This Row],[Order Date]])</f>
        <v>13</v>
      </c>
      <c r="O2345" t="str">
        <f>_xlfn.IFS(orders[[#This Row],[Customer Gender]]="M","Male", orders[[#This Row],[Customer Gender]]="F","Female", orders[[#This Row],[Customer Gender]]="O","Other", TRUE,"Unknown")</f>
        <v>Other</v>
      </c>
    </row>
    <row r="2346" spans="1:15">
      <c r="A2346" t="s">
        <v>2447</v>
      </c>
      <c r="B2346" t="s">
        <v>46</v>
      </c>
      <c r="C2346">
        <v>7</v>
      </c>
      <c r="D2346">
        <v>49.6</v>
      </c>
      <c r="E2346">
        <v>347.2</v>
      </c>
      <c r="F2346" s="1">
        <v>45743</v>
      </c>
      <c r="G2346" s="1">
        <v>45746</v>
      </c>
      <c r="H2346" t="s">
        <v>27</v>
      </c>
      <c r="I2346" t="s">
        <v>70</v>
      </c>
      <c r="J2346">
        <v>4</v>
      </c>
      <c r="K2346" t="s">
        <v>19</v>
      </c>
      <c r="L2346" t="s">
        <v>62</v>
      </c>
      <c r="M2346">
        <f>orders[[#This Row],[Ship Date]]-orders[[#This Row],[Order Date]]</f>
        <v>3</v>
      </c>
      <c r="N2346">
        <f>WEEKNUM(orders[[#This Row],[Order Date]])</f>
        <v>13</v>
      </c>
      <c r="O2346" t="str">
        <f>_xlfn.IFS(orders[[#This Row],[Customer Gender]]="M","Male", orders[[#This Row],[Customer Gender]]="F","Female", orders[[#This Row],[Customer Gender]]="O","Other", TRUE,"Unknown")</f>
        <v>Female</v>
      </c>
    </row>
    <row r="2347" spans="1:15">
      <c r="A2347" t="s">
        <v>2448</v>
      </c>
      <c r="B2347" t="s">
        <v>128</v>
      </c>
      <c r="C2347">
        <v>4</v>
      </c>
      <c r="D2347">
        <v>82.8</v>
      </c>
      <c r="E2347">
        <v>331.2</v>
      </c>
      <c r="F2347" s="1">
        <v>45744</v>
      </c>
      <c r="G2347" s="1">
        <v>45747</v>
      </c>
      <c r="H2347" t="s">
        <v>27</v>
      </c>
      <c r="I2347" t="s">
        <v>70</v>
      </c>
      <c r="J2347">
        <v>4</v>
      </c>
      <c r="K2347" t="s">
        <v>19</v>
      </c>
      <c r="L2347" t="s">
        <v>62</v>
      </c>
      <c r="M2347">
        <f>orders[[#This Row],[Ship Date]]-orders[[#This Row],[Order Date]]</f>
        <v>3</v>
      </c>
      <c r="N2347">
        <f>WEEKNUM(orders[[#This Row],[Order Date]])</f>
        <v>13</v>
      </c>
      <c r="O2347" t="str">
        <f>_xlfn.IFS(orders[[#This Row],[Customer Gender]]="M","Male", orders[[#This Row],[Customer Gender]]="F","Female", orders[[#This Row],[Customer Gender]]="O","Other", TRUE,"Unknown")</f>
        <v>Female</v>
      </c>
    </row>
    <row r="2348" spans="1:15">
      <c r="A2348" t="s">
        <v>2449</v>
      </c>
      <c r="B2348" t="s">
        <v>26</v>
      </c>
      <c r="C2348">
        <v>1</v>
      </c>
      <c r="D2348">
        <v>97.7</v>
      </c>
      <c r="E2348">
        <v>97.7</v>
      </c>
      <c r="F2348" s="1">
        <v>45744</v>
      </c>
      <c r="G2348" s="1">
        <v>45745</v>
      </c>
      <c r="H2348" t="s">
        <v>27</v>
      </c>
      <c r="I2348" t="s">
        <v>35</v>
      </c>
      <c r="J2348">
        <v>4</v>
      </c>
      <c r="K2348" t="s">
        <v>19</v>
      </c>
      <c r="L2348" t="s">
        <v>62</v>
      </c>
      <c r="M2348">
        <f>orders[[#This Row],[Ship Date]]-orders[[#This Row],[Order Date]]</f>
        <v>1</v>
      </c>
      <c r="N2348">
        <f>WEEKNUM(orders[[#This Row],[Order Date]])</f>
        <v>13</v>
      </c>
      <c r="O2348" t="str">
        <f>_xlfn.IFS(orders[[#This Row],[Customer Gender]]="M","Male", orders[[#This Row],[Customer Gender]]="F","Female", orders[[#This Row],[Customer Gender]]="O","Other", TRUE,"Unknown")</f>
        <v>Female</v>
      </c>
    </row>
    <row r="2349" spans="1:15">
      <c r="A2349" t="s">
        <v>2450</v>
      </c>
      <c r="B2349" t="s">
        <v>39</v>
      </c>
      <c r="C2349">
        <v>5</v>
      </c>
      <c r="D2349">
        <v>83.6</v>
      </c>
      <c r="E2349">
        <v>418</v>
      </c>
      <c r="F2349" s="1">
        <v>45744</v>
      </c>
      <c r="G2349" s="1">
        <v>45745</v>
      </c>
      <c r="H2349" t="s">
        <v>27</v>
      </c>
      <c r="I2349" t="s">
        <v>70</v>
      </c>
      <c r="J2349">
        <v>4</v>
      </c>
      <c r="K2349" t="s">
        <v>19</v>
      </c>
      <c r="L2349" t="s">
        <v>62</v>
      </c>
      <c r="M2349">
        <f>orders[[#This Row],[Ship Date]]-orders[[#This Row],[Order Date]]</f>
        <v>1</v>
      </c>
      <c r="N2349">
        <f>WEEKNUM(orders[[#This Row],[Order Date]])</f>
        <v>13</v>
      </c>
      <c r="O2349" t="str">
        <f>_xlfn.IFS(orders[[#This Row],[Customer Gender]]="M","Male", orders[[#This Row],[Customer Gender]]="F","Female", orders[[#This Row],[Customer Gender]]="O","Other", TRUE,"Unknown")</f>
        <v>Female</v>
      </c>
    </row>
    <row r="2350" spans="1:15">
      <c r="A2350" t="s">
        <v>2451</v>
      </c>
      <c r="B2350" t="s">
        <v>44</v>
      </c>
      <c r="C2350">
        <v>5</v>
      </c>
      <c r="D2350">
        <v>23.5</v>
      </c>
      <c r="E2350">
        <v>117.5</v>
      </c>
      <c r="F2350" s="1">
        <v>45744</v>
      </c>
      <c r="G2350" s="1">
        <v>45748</v>
      </c>
      <c r="H2350" t="s">
        <v>89</v>
      </c>
      <c r="I2350" t="s">
        <v>18</v>
      </c>
      <c r="J2350">
        <v>4</v>
      </c>
      <c r="K2350" t="s">
        <v>19</v>
      </c>
      <c r="L2350" t="s">
        <v>62</v>
      </c>
      <c r="M2350">
        <f>orders[[#This Row],[Ship Date]]-orders[[#This Row],[Order Date]]</f>
        <v>4</v>
      </c>
      <c r="N2350">
        <f>WEEKNUM(orders[[#This Row],[Order Date]])</f>
        <v>13</v>
      </c>
      <c r="O2350" t="str">
        <f>_xlfn.IFS(orders[[#This Row],[Customer Gender]]="M","Male", orders[[#This Row],[Customer Gender]]="F","Female", orders[[#This Row],[Customer Gender]]="O","Other", TRUE,"Unknown")</f>
        <v>Other</v>
      </c>
    </row>
    <row r="2351" spans="1:15">
      <c r="A2351" t="s">
        <v>2452</v>
      </c>
      <c r="B2351" t="s">
        <v>46</v>
      </c>
      <c r="C2351">
        <v>3</v>
      </c>
      <c r="D2351">
        <v>44.6</v>
      </c>
      <c r="E2351">
        <v>133.80000000000001</v>
      </c>
      <c r="F2351" s="1">
        <v>45744</v>
      </c>
      <c r="G2351" s="1">
        <v>45747</v>
      </c>
      <c r="H2351" t="s">
        <v>27</v>
      </c>
      <c r="I2351" t="s">
        <v>70</v>
      </c>
      <c r="J2351">
        <v>3</v>
      </c>
      <c r="K2351" t="s">
        <v>19</v>
      </c>
      <c r="L2351" t="s">
        <v>201</v>
      </c>
      <c r="M2351">
        <f>orders[[#This Row],[Ship Date]]-orders[[#This Row],[Order Date]]</f>
        <v>3</v>
      </c>
      <c r="N2351">
        <f>WEEKNUM(orders[[#This Row],[Order Date]])</f>
        <v>13</v>
      </c>
      <c r="O2351" t="str">
        <f>_xlfn.IFS(orders[[#This Row],[Customer Gender]]="M","Male", orders[[#This Row],[Customer Gender]]="F","Female", orders[[#This Row],[Customer Gender]]="O","Other", TRUE,"Unknown")</f>
        <v>Female</v>
      </c>
    </row>
    <row r="2352" spans="1:15">
      <c r="A2352" t="s">
        <v>2453</v>
      </c>
      <c r="B2352" t="s">
        <v>16</v>
      </c>
      <c r="C2352">
        <v>3</v>
      </c>
      <c r="D2352">
        <v>20.100000000000001</v>
      </c>
      <c r="E2352">
        <v>60.300000000000004</v>
      </c>
      <c r="F2352" s="1">
        <v>45744</v>
      </c>
      <c r="G2352" s="1">
        <v>45746</v>
      </c>
      <c r="H2352" t="s">
        <v>27</v>
      </c>
      <c r="I2352" t="s">
        <v>51</v>
      </c>
      <c r="J2352">
        <v>2</v>
      </c>
      <c r="K2352" t="s">
        <v>19</v>
      </c>
      <c r="L2352" t="s">
        <v>77</v>
      </c>
      <c r="M2352">
        <f>orders[[#This Row],[Ship Date]]-orders[[#This Row],[Order Date]]</f>
        <v>2</v>
      </c>
      <c r="N2352">
        <f>WEEKNUM(orders[[#This Row],[Order Date]])</f>
        <v>13</v>
      </c>
      <c r="O2352" t="str">
        <f>_xlfn.IFS(orders[[#This Row],[Customer Gender]]="M","Male", orders[[#This Row],[Customer Gender]]="F","Female", orders[[#This Row],[Customer Gender]]="O","Other", TRUE,"Unknown")</f>
        <v>Female</v>
      </c>
    </row>
    <row r="2353" spans="1:15">
      <c r="A2353" t="s">
        <v>2454</v>
      </c>
      <c r="B2353" t="s">
        <v>26</v>
      </c>
      <c r="C2353">
        <v>5</v>
      </c>
      <c r="D2353">
        <v>153.6</v>
      </c>
      <c r="E2353">
        <v>768</v>
      </c>
      <c r="F2353" s="1">
        <v>45744</v>
      </c>
      <c r="G2353" s="1">
        <v>45745</v>
      </c>
      <c r="H2353" t="s">
        <v>27</v>
      </c>
      <c r="I2353" t="s">
        <v>35</v>
      </c>
      <c r="J2353">
        <v>5</v>
      </c>
      <c r="K2353" t="s">
        <v>19</v>
      </c>
      <c r="L2353" t="s">
        <v>1116</v>
      </c>
      <c r="M2353">
        <f>orders[[#This Row],[Ship Date]]-orders[[#This Row],[Order Date]]</f>
        <v>1</v>
      </c>
      <c r="N2353">
        <f>WEEKNUM(orders[[#This Row],[Order Date]])</f>
        <v>13</v>
      </c>
      <c r="O2353" t="str">
        <f>_xlfn.IFS(orders[[#This Row],[Customer Gender]]="M","Male", orders[[#This Row],[Customer Gender]]="F","Female", orders[[#This Row],[Customer Gender]]="O","Other", TRUE,"Unknown")</f>
        <v>Female</v>
      </c>
    </row>
    <row r="2354" spans="1:15">
      <c r="A2354" t="s">
        <v>2455</v>
      </c>
      <c r="B2354" t="s">
        <v>22</v>
      </c>
      <c r="C2354">
        <v>2</v>
      </c>
      <c r="D2354">
        <v>71.8</v>
      </c>
      <c r="E2354">
        <v>143.6</v>
      </c>
      <c r="F2354" s="1">
        <v>45744</v>
      </c>
      <c r="G2354" s="1">
        <v>45748</v>
      </c>
      <c r="H2354" t="s">
        <v>27</v>
      </c>
      <c r="I2354" t="s">
        <v>35</v>
      </c>
      <c r="J2354">
        <v>4</v>
      </c>
      <c r="K2354" t="s">
        <v>19</v>
      </c>
      <c r="L2354" t="s">
        <v>24</v>
      </c>
      <c r="M2354">
        <f>orders[[#This Row],[Ship Date]]-orders[[#This Row],[Order Date]]</f>
        <v>4</v>
      </c>
      <c r="N2354">
        <f>WEEKNUM(orders[[#This Row],[Order Date]])</f>
        <v>13</v>
      </c>
      <c r="O2354" t="str">
        <f>_xlfn.IFS(orders[[#This Row],[Customer Gender]]="M","Male", orders[[#This Row],[Customer Gender]]="F","Female", orders[[#This Row],[Customer Gender]]="O","Other", TRUE,"Unknown")</f>
        <v>Female</v>
      </c>
    </row>
    <row r="2355" spans="1:15">
      <c r="A2355" t="s">
        <v>2456</v>
      </c>
      <c r="B2355" t="s">
        <v>54</v>
      </c>
      <c r="C2355">
        <v>1</v>
      </c>
      <c r="D2355">
        <v>64.7</v>
      </c>
      <c r="E2355">
        <v>64.7</v>
      </c>
      <c r="F2355" s="1">
        <v>45744</v>
      </c>
      <c r="G2355" s="1">
        <v>45746</v>
      </c>
      <c r="H2355" t="s">
        <v>17</v>
      </c>
      <c r="I2355" t="s">
        <v>18</v>
      </c>
      <c r="J2355">
        <v>3</v>
      </c>
      <c r="K2355" t="s">
        <v>19</v>
      </c>
      <c r="L2355" t="s">
        <v>24</v>
      </c>
      <c r="M2355">
        <f>orders[[#This Row],[Ship Date]]-orders[[#This Row],[Order Date]]</f>
        <v>2</v>
      </c>
      <c r="N2355">
        <f>WEEKNUM(orders[[#This Row],[Order Date]])</f>
        <v>13</v>
      </c>
      <c r="O2355" t="str">
        <f>_xlfn.IFS(orders[[#This Row],[Customer Gender]]="M","Male", orders[[#This Row],[Customer Gender]]="F","Female", orders[[#This Row],[Customer Gender]]="O","Other", TRUE,"Unknown")</f>
        <v>Unknown</v>
      </c>
    </row>
    <row r="2356" spans="1:15">
      <c r="A2356" t="s">
        <v>2457</v>
      </c>
      <c r="B2356" t="s">
        <v>46</v>
      </c>
      <c r="C2356">
        <v>8</v>
      </c>
      <c r="D2356">
        <v>60.4</v>
      </c>
      <c r="E2356">
        <v>483.2</v>
      </c>
      <c r="F2356" s="1">
        <v>45744</v>
      </c>
      <c r="G2356" s="1">
        <v>45746</v>
      </c>
      <c r="H2356" t="s">
        <v>27</v>
      </c>
      <c r="I2356" t="s">
        <v>51</v>
      </c>
      <c r="J2356">
        <v>5</v>
      </c>
      <c r="K2356" t="s">
        <v>19</v>
      </c>
      <c r="L2356" t="s">
        <v>28</v>
      </c>
      <c r="M2356">
        <f>orders[[#This Row],[Ship Date]]-orders[[#This Row],[Order Date]]</f>
        <v>2</v>
      </c>
      <c r="N2356">
        <f>WEEKNUM(orders[[#This Row],[Order Date]])</f>
        <v>13</v>
      </c>
      <c r="O2356" t="str">
        <f>_xlfn.IFS(orders[[#This Row],[Customer Gender]]="M","Male", orders[[#This Row],[Customer Gender]]="F","Female", orders[[#This Row],[Customer Gender]]="O","Other", TRUE,"Unknown")</f>
        <v>Female</v>
      </c>
    </row>
    <row r="2357" spans="1:15">
      <c r="A2357" t="s">
        <v>2458</v>
      </c>
      <c r="B2357" t="s">
        <v>39</v>
      </c>
      <c r="C2357">
        <v>4</v>
      </c>
      <c r="D2357">
        <v>86</v>
      </c>
      <c r="E2357">
        <v>344</v>
      </c>
      <c r="F2357" s="1">
        <v>45744</v>
      </c>
      <c r="G2357" s="1">
        <v>45747</v>
      </c>
      <c r="H2357" t="s">
        <v>27</v>
      </c>
      <c r="I2357" t="s">
        <v>40</v>
      </c>
      <c r="J2357">
        <v>5</v>
      </c>
      <c r="K2357" t="s">
        <v>19</v>
      </c>
      <c r="L2357" t="s">
        <v>147</v>
      </c>
      <c r="M2357">
        <f>orders[[#This Row],[Ship Date]]-orders[[#This Row],[Order Date]]</f>
        <v>3</v>
      </c>
      <c r="N2357">
        <f>WEEKNUM(orders[[#This Row],[Order Date]])</f>
        <v>13</v>
      </c>
      <c r="O2357" t="str">
        <f>_xlfn.IFS(orders[[#This Row],[Customer Gender]]="M","Male", orders[[#This Row],[Customer Gender]]="F","Female", orders[[#This Row],[Customer Gender]]="O","Other", TRUE,"Unknown")</f>
        <v>Female</v>
      </c>
    </row>
    <row r="2358" spans="1:15">
      <c r="A2358" t="s">
        <v>2459</v>
      </c>
      <c r="B2358" t="s">
        <v>69</v>
      </c>
      <c r="C2358">
        <v>2</v>
      </c>
      <c r="D2358">
        <v>42.1</v>
      </c>
      <c r="E2358">
        <v>84.2</v>
      </c>
      <c r="F2358" s="1">
        <v>45744</v>
      </c>
      <c r="G2358" s="1">
        <v>45745</v>
      </c>
      <c r="H2358" t="s">
        <v>27</v>
      </c>
      <c r="I2358" t="s">
        <v>70</v>
      </c>
      <c r="J2358">
        <v>3</v>
      </c>
      <c r="K2358" t="s">
        <v>19</v>
      </c>
      <c r="L2358" t="s">
        <v>334</v>
      </c>
      <c r="M2358">
        <f>orders[[#This Row],[Ship Date]]-orders[[#This Row],[Order Date]]</f>
        <v>1</v>
      </c>
      <c r="N2358">
        <f>WEEKNUM(orders[[#This Row],[Order Date]])</f>
        <v>13</v>
      </c>
      <c r="O2358" t="str">
        <f>_xlfn.IFS(orders[[#This Row],[Customer Gender]]="M","Male", orders[[#This Row],[Customer Gender]]="F","Female", orders[[#This Row],[Customer Gender]]="O","Other", TRUE,"Unknown")</f>
        <v>Female</v>
      </c>
    </row>
    <row r="2359" spans="1:15">
      <c r="A2359" t="s">
        <v>2460</v>
      </c>
      <c r="B2359" t="s">
        <v>128</v>
      </c>
      <c r="C2359">
        <v>9</v>
      </c>
      <c r="D2359">
        <v>51.1</v>
      </c>
      <c r="E2359">
        <v>459.90000000000003</v>
      </c>
      <c r="F2359" s="1">
        <v>45744</v>
      </c>
      <c r="G2359" s="1">
        <v>45745</v>
      </c>
      <c r="H2359" t="s">
        <v>23</v>
      </c>
      <c r="I2359" t="s">
        <v>40</v>
      </c>
      <c r="J2359">
        <v>3</v>
      </c>
      <c r="K2359" t="s">
        <v>19</v>
      </c>
      <c r="L2359" t="s">
        <v>33</v>
      </c>
      <c r="M2359">
        <f>orders[[#This Row],[Ship Date]]-orders[[#This Row],[Order Date]]</f>
        <v>1</v>
      </c>
      <c r="N2359">
        <f>WEEKNUM(orders[[#This Row],[Order Date]])</f>
        <v>13</v>
      </c>
      <c r="O2359" t="str">
        <f>_xlfn.IFS(orders[[#This Row],[Customer Gender]]="M","Male", orders[[#This Row],[Customer Gender]]="F","Female", orders[[#This Row],[Customer Gender]]="O","Other", TRUE,"Unknown")</f>
        <v>Male</v>
      </c>
    </row>
    <row r="2360" spans="1:15">
      <c r="A2360" t="s">
        <v>2461</v>
      </c>
      <c r="B2360" t="s">
        <v>46</v>
      </c>
      <c r="C2360">
        <v>4</v>
      </c>
      <c r="D2360">
        <v>73.8</v>
      </c>
      <c r="E2360">
        <v>295.2</v>
      </c>
      <c r="F2360" s="1">
        <v>45744</v>
      </c>
      <c r="G2360" s="1">
        <v>45745</v>
      </c>
      <c r="H2360" t="s">
        <v>23</v>
      </c>
      <c r="I2360" t="s">
        <v>70</v>
      </c>
      <c r="J2360">
        <v>4</v>
      </c>
      <c r="K2360" t="s">
        <v>19</v>
      </c>
      <c r="L2360" t="s">
        <v>33</v>
      </c>
      <c r="M2360">
        <f>orders[[#This Row],[Ship Date]]-orders[[#This Row],[Order Date]]</f>
        <v>1</v>
      </c>
      <c r="N2360">
        <f>WEEKNUM(orders[[#This Row],[Order Date]])</f>
        <v>13</v>
      </c>
      <c r="O2360" t="str">
        <f>_xlfn.IFS(orders[[#This Row],[Customer Gender]]="M","Male", orders[[#This Row],[Customer Gender]]="F","Female", orders[[#This Row],[Customer Gender]]="O","Other", TRUE,"Unknown")</f>
        <v>Male</v>
      </c>
    </row>
    <row r="2361" spans="1:15">
      <c r="A2361" t="s">
        <v>2462</v>
      </c>
      <c r="B2361" t="s">
        <v>44</v>
      </c>
      <c r="C2361">
        <v>5</v>
      </c>
      <c r="D2361">
        <v>27</v>
      </c>
      <c r="E2361">
        <v>135</v>
      </c>
      <c r="F2361" s="1">
        <v>45744</v>
      </c>
      <c r="G2361" s="1">
        <v>45747</v>
      </c>
      <c r="H2361" t="s">
        <v>27</v>
      </c>
      <c r="I2361" t="s">
        <v>40</v>
      </c>
      <c r="J2361">
        <v>5</v>
      </c>
      <c r="K2361" t="s">
        <v>19</v>
      </c>
      <c r="L2361" t="s">
        <v>33</v>
      </c>
      <c r="M2361">
        <f>orders[[#This Row],[Ship Date]]-orders[[#This Row],[Order Date]]</f>
        <v>3</v>
      </c>
      <c r="N2361">
        <f>WEEKNUM(orders[[#This Row],[Order Date]])</f>
        <v>13</v>
      </c>
      <c r="O2361" t="str">
        <f>_xlfn.IFS(orders[[#This Row],[Customer Gender]]="M","Male", orders[[#This Row],[Customer Gender]]="F","Female", orders[[#This Row],[Customer Gender]]="O","Other", TRUE,"Unknown")</f>
        <v>Female</v>
      </c>
    </row>
    <row r="2362" spans="1:15">
      <c r="A2362" t="s">
        <v>2463</v>
      </c>
      <c r="B2362" t="s">
        <v>44</v>
      </c>
      <c r="C2362">
        <v>6</v>
      </c>
      <c r="D2362">
        <v>60.1</v>
      </c>
      <c r="E2362">
        <v>360.6</v>
      </c>
      <c r="F2362" s="1">
        <v>45744</v>
      </c>
      <c r="G2362" s="1">
        <v>45745</v>
      </c>
      <c r="H2362" t="s">
        <v>23</v>
      </c>
      <c r="I2362" t="s">
        <v>51</v>
      </c>
      <c r="J2362">
        <v>4</v>
      </c>
      <c r="K2362" t="s">
        <v>19</v>
      </c>
      <c r="L2362" t="s">
        <v>33</v>
      </c>
      <c r="M2362">
        <f>orders[[#This Row],[Ship Date]]-orders[[#This Row],[Order Date]]</f>
        <v>1</v>
      </c>
      <c r="N2362">
        <f>WEEKNUM(orders[[#This Row],[Order Date]])</f>
        <v>13</v>
      </c>
      <c r="O2362" t="str">
        <f>_xlfn.IFS(orders[[#This Row],[Customer Gender]]="M","Male", orders[[#This Row],[Customer Gender]]="F","Female", orders[[#This Row],[Customer Gender]]="O","Other", TRUE,"Unknown")</f>
        <v>Male</v>
      </c>
    </row>
    <row r="2363" spans="1:15">
      <c r="A2363" t="s">
        <v>2464</v>
      </c>
      <c r="B2363" t="s">
        <v>26</v>
      </c>
      <c r="C2363">
        <v>7</v>
      </c>
      <c r="D2363">
        <v>94.1</v>
      </c>
      <c r="E2363">
        <v>658.69999999999993</v>
      </c>
      <c r="F2363" s="1">
        <v>45744</v>
      </c>
      <c r="G2363" s="1">
        <v>45746</v>
      </c>
      <c r="H2363" t="s">
        <v>27</v>
      </c>
      <c r="I2363" t="s">
        <v>70</v>
      </c>
      <c r="J2363">
        <v>3</v>
      </c>
      <c r="K2363" t="s">
        <v>19</v>
      </c>
      <c r="L2363" t="s">
        <v>33</v>
      </c>
      <c r="M2363">
        <f>orders[[#This Row],[Ship Date]]-orders[[#This Row],[Order Date]]</f>
        <v>2</v>
      </c>
      <c r="N2363">
        <f>WEEKNUM(orders[[#This Row],[Order Date]])</f>
        <v>13</v>
      </c>
      <c r="O2363" t="str">
        <f>_xlfn.IFS(orders[[#This Row],[Customer Gender]]="M","Male", orders[[#This Row],[Customer Gender]]="F","Female", orders[[#This Row],[Customer Gender]]="O","Other", TRUE,"Unknown")</f>
        <v>Female</v>
      </c>
    </row>
    <row r="2364" spans="1:15">
      <c r="A2364" t="s">
        <v>2465</v>
      </c>
      <c r="B2364" t="s">
        <v>26</v>
      </c>
      <c r="C2364">
        <v>2</v>
      </c>
      <c r="D2364">
        <v>124.1</v>
      </c>
      <c r="E2364">
        <v>248.2</v>
      </c>
      <c r="F2364" s="1">
        <v>45744</v>
      </c>
      <c r="G2364" s="1">
        <v>45744</v>
      </c>
      <c r="H2364" t="s">
        <v>27</v>
      </c>
      <c r="I2364" t="s">
        <v>40</v>
      </c>
      <c r="J2364">
        <v>1</v>
      </c>
      <c r="K2364" t="s">
        <v>19</v>
      </c>
      <c r="L2364" t="s">
        <v>545</v>
      </c>
      <c r="M2364">
        <f>orders[[#This Row],[Ship Date]]-orders[[#This Row],[Order Date]]</f>
        <v>0</v>
      </c>
      <c r="N2364">
        <f>WEEKNUM(orders[[#This Row],[Order Date]])</f>
        <v>13</v>
      </c>
      <c r="O2364" t="str">
        <f>_xlfn.IFS(orders[[#This Row],[Customer Gender]]="M","Male", orders[[#This Row],[Customer Gender]]="F","Female", orders[[#This Row],[Customer Gender]]="O","Other", TRUE,"Unknown")</f>
        <v>Female</v>
      </c>
    </row>
    <row r="2365" spans="1:15">
      <c r="A2365" t="s">
        <v>2466</v>
      </c>
      <c r="B2365" t="s">
        <v>44</v>
      </c>
      <c r="C2365">
        <v>4</v>
      </c>
      <c r="D2365">
        <v>16.899999999999999</v>
      </c>
      <c r="E2365">
        <v>67.599999999999994</v>
      </c>
      <c r="F2365" s="1">
        <v>45744</v>
      </c>
      <c r="G2365" s="1">
        <v>45747</v>
      </c>
      <c r="H2365" t="s">
        <v>23</v>
      </c>
      <c r="I2365" t="s">
        <v>51</v>
      </c>
      <c r="J2365">
        <v>4</v>
      </c>
      <c r="K2365" t="s">
        <v>19</v>
      </c>
      <c r="L2365" t="s">
        <v>55</v>
      </c>
      <c r="M2365">
        <f>orders[[#This Row],[Ship Date]]-orders[[#This Row],[Order Date]]</f>
        <v>3</v>
      </c>
      <c r="N2365">
        <f>WEEKNUM(orders[[#This Row],[Order Date]])</f>
        <v>13</v>
      </c>
      <c r="O2365" t="str">
        <f>_xlfn.IFS(orders[[#This Row],[Customer Gender]]="M","Male", orders[[#This Row],[Customer Gender]]="F","Female", orders[[#This Row],[Customer Gender]]="O","Other", TRUE,"Unknown")</f>
        <v>Male</v>
      </c>
    </row>
    <row r="2366" spans="1:15">
      <c r="A2366" t="s">
        <v>2467</v>
      </c>
      <c r="B2366" t="s">
        <v>22</v>
      </c>
      <c r="C2366">
        <v>1</v>
      </c>
      <c r="D2366">
        <v>36.9</v>
      </c>
      <c r="E2366">
        <v>36.9</v>
      </c>
      <c r="F2366" s="1">
        <v>45744</v>
      </c>
      <c r="G2366" s="1">
        <v>45745</v>
      </c>
      <c r="H2366" t="s">
        <v>23</v>
      </c>
      <c r="I2366" t="s">
        <v>18</v>
      </c>
      <c r="J2366">
        <v>4</v>
      </c>
      <c r="K2366" t="s">
        <v>19</v>
      </c>
      <c r="L2366" t="s">
        <v>55</v>
      </c>
      <c r="M2366">
        <f>orders[[#This Row],[Ship Date]]-orders[[#This Row],[Order Date]]</f>
        <v>1</v>
      </c>
      <c r="N2366">
        <f>WEEKNUM(orders[[#This Row],[Order Date]])</f>
        <v>13</v>
      </c>
      <c r="O2366" t="str">
        <f>_xlfn.IFS(orders[[#This Row],[Customer Gender]]="M","Male", orders[[#This Row],[Customer Gender]]="F","Female", orders[[#This Row],[Customer Gender]]="O","Other", TRUE,"Unknown")</f>
        <v>Male</v>
      </c>
    </row>
    <row r="2367" spans="1:15">
      <c r="A2367" t="s">
        <v>2468</v>
      </c>
      <c r="B2367" t="s">
        <v>46</v>
      </c>
      <c r="C2367">
        <v>2</v>
      </c>
      <c r="D2367">
        <v>22.6</v>
      </c>
      <c r="E2367">
        <v>45.2</v>
      </c>
      <c r="F2367" s="1">
        <v>45744</v>
      </c>
      <c r="G2367" s="1">
        <v>45757</v>
      </c>
      <c r="H2367" t="s">
        <v>27</v>
      </c>
      <c r="I2367" t="s">
        <v>40</v>
      </c>
      <c r="J2367">
        <v>3</v>
      </c>
      <c r="K2367" t="s">
        <v>19</v>
      </c>
      <c r="L2367" t="s">
        <v>62</v>
      </c>
      <c r="M2367">
        <f>orders[[#This Row],[Ship Date]]-orders[[#This Row],[Order Date]]</f>
        <v>13</v>
      </c>
      <c r="N2367">
        <f>WEEKNUM(orders[[#This Row],[Order Date]])</f>
        <v>13</v>
      </c>
      <c r="O2367" t="str">
        <f>_xlfn.IFS(orders[[#This Row],[Customer Gender]]="M","Male", orders[[#This Row],[Customer Gender]]="F","Female", orders[[#This Row],[Customer Gender]]="O","Other", TRUE,"Unknown")</f>
        <v>Female</v>
      </c>
    </row>
    <row r="2368" spans="1:15">
      <c r="A2368" t="s">
        <v>2469</v>
      </c>
      <c r="B2368" t="s">
        <v>42</v>
      </c>
      <c r="C2368">
        <v>4</v>
      </c>
      <c r="D2368">
        <v>35</v>
      </c>
      <c r="E2368">
        <v>140</v>
      </c>
      <c r="F2368" s="1">
        <v>45744</v>
      </c>
      <c r="G2368" s="1">
        <v>45749</v>
      </c>
      <c r="H2368" t="s">
        <v>23</v>
      </c>
      <c r="I2368" t="s">
        <v>51</v>
      </c>
      <c r="J2368">
        <v>3</v>
      </c>
      <c r="K2368" t="s">
        <v>19</v>
      </c>
      <c r="L2368" t="s">
        <v>62</v>
      </c>
      <c r="M2368">
        <f>orders[[#This Row],[Ship Date]]-orders[[#This Row],[Order Date]]</f>
        <v>5</v>
      </c>
      <c r="N2368">
        <f>WEEKNUM(orders[[#This Row],[Order Date]])</f>
        <v>13</v>
      </c>
      <c r="O2368" t="str">
        <f>_xlfn.IFS(orders[[#This Row],[Customer Gender]]="M","Male", orders[[#This Row],[Customer Gender]]="F","Female", orders[[#This Row],[Customer Gender]]="O","Other", TRUE,"Unknown")</f>
        <v>Male</v>
      </c>
    </row>
    <row r="2369" spans="1:15">
      <c r="A2369" t="s">
        <v>2470</v>
      </c>
      <c r="B2369" t="s">
        <v>46</v>
      </c>
      <c r="C2369">
        <v>6</v>
      </c>
      <c r="D2369">
        <v>63.6</v>
      </c>
      <c r="E2369">
        <v>381.6</v>
      </c>
      <c r="F2369" s="1">
        <v>45744</v>
      </c>
      <c r="G2369" s="1">
        <v>45751</v>
      </c>
      <c r="H2369" t="s">
        <v>17</v>
      </c>
      <c r="I2369" t="s">
        <v>35</v>
      </c>
      <c r="J2369">
        <v>5</v>
      </c>
      <c r="K2369" t="s">
        <v>19</v>
      </c>
      <c r="L2369" t="s">
        <v>62</v>
      </c>
      <c r="M2369">
        <f>orders[[#This Row],[Ship Date]]-orders[[#This Row],[Order Date]]</f>
        <v>7</v>
      </c>
      <c r="N2369">
        <f>WEEKNUM(orders[[#This Row],[Order Date]])</f>
        <v>13</v>
      </c>
      <c r="O2369" t="str">
        <f>_xlfn.IFS(orders[[#This Row],[Customer Gender]]="M","Male", orders[[#This Row],[Customer Gender]]="F","Female", orders[[#This Row],[Customer Gender]]="O","Other", TRUE,"Unknown")</f>
        <v>Unknown</v>
      </c>
    </row>
    <row r="2370" spans="1:15">
      <c r="A2370" t="s">
        <v>2471</v>
      </c>
      <c r="B2370" t="s">
        <v>123</v>
      </c>
      <c r="C2370">
        <v>4</v>
      </c>
      <c r="D2370">
        <v>78.599999999999994</v>
      </c>
      <c r="E2370">
        <v>314.39999999999998</v>
      </c>
      <c r="F2370" s="1">
        <v>45744</v>
      </c>
      <c r="G2370" s="1">
        <v>45745</v>
      </c>
      <c r="H2370" t="s">
        <v>23</v>
      </c>
      <c r="I2370" t="s">
        <v>70</v>
      </c>
      <c r="J2370">
        <v>3</v>
      </c>
      <c r="K2370" t="s">
        <v>19</v>
      </c>
      <c r="L2370" t="s">
        <v>62</v>
      </c>
      <c r="M2370">
        <f>orders[[#This Row],[Ship Date]]-orders[[#This Row],[Order Date]]</f>
        <v>1</v>
      </c>
      <c r="N2370">
        <f>WEEKNUM(orders[[#This Row],[Order Date]])</f>
        <v>13</v>
      </c>
      <c r="O2370" t="str">
        <f>_xlfn.IFS(orders[[#This Row],[Customer Gender]]="M","Male", orders[[#This Row],[Customer Gender]]="F","Female", orders[[#This Row],[Customer Gender]]="O","Other", TRUE,"Unknown")</f>
        <v>Male</v>
      </c>
    </row>
    <row r="2371" spans="1:15">
      <c r="A2371" t="s">
        <v>2472</v>
      </c>
      <c r="B2371" t="s">
        <v>30</v>
      </c>
      <c r="C2371">
        <v>2</v>
      </c>
      <c r="D2371">
        <v>38.5</v>
      </c>
      <c r="E2371">
        <v>77</v>
      </c>
      <c r="F2371" s="1">
        <v>45744</v>
      </c>
      <c r="G2371" s="1">
        <v>45745</v>
      </c>
      <c r="H2371" t="s">
        <v>23</v>
      </c>
      <c r="I2371" t="s">
        <v>18</v>
      </c>
      <c r="J2371">
        <v>5</v>
      </c>
      <c r="K2371" t="s">
        <v>19</v>
      </c>
      <c r="L2371" t="s">
        <v>62</v>
      </c>
      <c r="M2371">
        <f>orders[[#This Row],[Ship Date]]-orders[[#This Row],[Order Date]]</f>
        <v>1</v>
      </c>
      <c r="N2371">
        <f>WEEKNUM(orders[[#This Row],[Order Date]])</f>
        <v>13</v>
      </c>
      <c r="O2371" t="str">
        <f>_xlfn.IFS(orders[[#This Row],[Customer Gender]]="M","Male", orders[[#This Row],[Customer Gender]]="F","Female", orders[[#This Row],[Customer Gender]]="O","Other", TRUE,"Unknown")</f>
        <v>Male</v>
      </c>
    </row>
    <row r="2372" spans="1:15">
      <c r="A2372" t="s">
        <v>2473</v>
      </c>
      <c r="B2372" t="s">
        <v>44</v>
      </c>
      <c r="C2372">
        <v>11</v>
      </c>
      <c r="D2372">
        <v>71.5</v>
      </c>
      <c r="E2372">
        <v>786.5</v>
      </c>
      <c r="F2372" s="1">
        <v>45744</v>
      </c>
      <c r="G2372" s="1">
        <v>45745</v>
      </c>
      <c r="H2372" t="s">
        <v>27</v>
      </c>
      <c r="I2372" t="s">
        <v>35</v>
      </c>
      <c r="J2372">
        <v>2</v>
      </c>
      <c r="K2372" t="s">
        <v>19</v>
      </c>
      <c r="L2372" t="s">
        <v>62</v>
      </c>
      <c r="M2372">
        <f>orders[[#This Row],[Ship Date]]-orders[[#This Row],[Order Date]]</f>
        <v>1</v>
      </c>
      <c r="N2372">
        <f>WEEKNUM(orders[[#This Row],[Order Date]])</f>
        <v>13</v>
      </c>
      <c r="O2372" t="str">
        <f>_xlfn.IFS(orders[[#This Row],[Customer Gender]]="M","Male", orders[[#This Row],[Customer Gender]]="F","Female", orders[[#This Row],[Customer Gender]]="O","Other", TRUE,"Unknown")</f>
        <v>Female</v>
      </c>
    </row>
    <row r="2373" spans="1:15">
      <c r="A2373" t="s">
        <v>2474</v>
      </c>
      <c r="B2373" t="s">
        <v>39</v>
      </c>
      <c r="C2373">
        <v>4</v>
      </c>
      <c r="D2373">
        <v>121.4</v>
      </c>
      <c r="E2373">
        <v>485.6</v>
      </c>
      <c r="F2373" s="1">
        <v>45744</v>
      </c>
      <c r="G2373" s="1">
        <v>45748</v>
      </c>
      <c r="H2373" t="s">
        <v>23</v>
      </c>
      <c r="I2373" t="s">
        <v>35</v>
      </c>
      <c r="J2373">
        <v>5</v>
      </c>
      <c r="K2373" t="s">
        <v>19</v>
      </c>
      <c r="L2373" t="s">
        <v>103</v>
      </c>
      <c r="M2373">
        <f>orders[[#This Row],[Ship Date]]-orders[[#This Row],[Order Date]]</f>
        <v>4</v>
      </c>
      <c r="N2373">
        <f>WEEKNUM(orders[[#This Row],[Order Date]])</f>
        <v>13</v>
      </c>
      <c r="O2373" t="str">
        <f>_xlfn.IFS(orders[[#This Row],[Customer Gender]]="M","Male", orders[[#This Row],[Customer Gender]]="F","Female", orders[[#This Row],[Customer Gender]]="O","Other", TRUE,"Unknown")</f>
        <v>Male</v>
      </c>
    </row>
    <row r="2374" spans="1:15">
      <c r="A2374" t="s">
        <v>2475</v>
      </c>
      <c r="B2374" t="s">
        <v>67</v>
      </c>
      <c r="C2374">
        <v>1</v>
      </c>
      <c r="D2374">
        <v>40.200000000000003</v>
      </c>
      <c r="E2374">
        <v>40.200000000000003</v>
      </c>
      <c r="F2374" s="1">
        <v>45744</v>
      </c>
      <c r="G2374" s="1">
        <v>45747</v>
      </c>
      <c r="H2374" t="s">
        <v>27</v>
      </c>
      <c r="I2374" t="s">
        <v>18</v>
      </c>
      <c r="J2374">
        <v>5</v>
      </c>
      <c r="K2374" t="s">
        <v>19</v>
      </c>
      <c r="L2374" t="s">
        <v>77</v>
      </c>
      <c r="M2374">
        <f>orders[[#This Row],[Ship Date]]-orders[[#This Row],[Order Date]]</f>
        <v>3</v>
      </c>
      <c r="N2374">
        <f>WEEKNUM(orders[[#This Row],[Order Date]])</f>
        <v>13</v>
      </c>
      <c r="O2374" t="str">
        <f>_xlfn.IFS(orders[[#This Row],[Customer Gender]]="M","Male", orders[[#This Row],[Customer Gender]]="F","Female", orders[[#This Row],[Customer Gender]]="O","Other", TRUE,"Unknown")</f>
        <v>Female</v>
      </c>
    </row>
    <row r="2375" spans="1:15">
      <c r="A2375" t="s">
        <v>2476</v>
      </c>
      <c r="B2375" t="s">
        <v>37</v>
      </c>
      <c r="C2375">
        <v>5</v>
      </c>
      <c r="D2375">
        <v>31.9</v>
      </c>
      <c r="E2375">
        <v>159.5</v>
      </c>
      <c r="F2375" s="1">
        <v>45744</v>
      </c>
      <c r="G2375" s="1">
        <v>45746</v>
      </c>
      <c r="H2375" t="s">
        <v>27</v>
      </c>
      <c r="I2375" t="s">
        <v>40</v>
      </c>
      <c r="J2375">
        <v>5</v>
      </c>
      <c r="K2375" t="s">
        <v>19</v>
      </c>
      <c r="L2375" t="s">
        <v>243</v>
      </c>
      <c r="M2375">
        <f>orders[[#This Row],[Ship Date]]-orders[[#This Row],[Order Date]]</f>
        <v>2</v>
      </c>
      <c r="N2375">
        <f>WEEKNUM(orders[[#This Row],[Order Date]])</f>
        <v>13</v>
      </c>
      <c r="O2375" t="str">
        <f>_xlfn.IFS(orders[[#This Row],[Customer Gender]]="M","Male", orders[[#This Row],[Customer Gender]]="F","Female", orders[[#This Row],[Customer Gender]]="O","Other", TRUE,"Unknown")</f>
        <v>Female</v>
      </c>
    </row>
    <row r="2376" spans="1:15">
      <c r="A2376" t="s">
        <v>2477</v>
      </c>
      <c r="B2376" t="s">
        <v>81</v>
      </c>
      <c r="C2376">
        <v>5</v>
      </c>
      <c r="D2376">
        <v>15.8</v>
      </c>
      <c r="E2376">
        <v>79</v>
      </c>
      <c r="F2376" s="1">
        <v>45745</v>
      </c>
      <c r="G2376" s="1">
        <v>45746</v>
      </c>
      <c r="H2376" t="s">
        <v>23</v>
      </c>
      <c r="I2376" t="s">
        <v>51</v>
      </c>
      <c r="J2376">
        <v>5</v>
      </c>
      <c r="K2376" t="s">
        <v>19</v>
      </c>
      <c r="L2376" t="s">
        <v>115</v>
      </c>
      <c r="M2376">
        <f>orders[[#This Row],[Ship Date]]-orders[[#This Row],[Order Date]]</f>
        <v>1</v>
      </c>
      <c r="N2376">
        <f>WEEKNUM(orders[[#This Row],[Order Date]])</f>
        <v>13</v>
      </c>
      <c r="O2376" t="str">
        <f>_xlfn.IFS(orders[[#This Row],[Customer Gender]]="M","Male", orders[[#This Row],[Customer Gender]]="F","Female", orders[[#This Row],[Customer Gender]]="O","Other", TRUE,"Unknown")</f>
        <v>Male</v>
      </c>
    </row>
    <row r="2377" spans="1:15">
      <c r="A2377" t="s">
        <v>2478</v>
      </c>
      <c r="B2377" t="s">
        <v>54</v>
      </c>
      <c r="C2377">
        <v>2</v>
      </c>
      <c r="D2377">
        <v>25.1</v>
      </c>
      <c r="E2377">
        <v>50.2</v>
      </c>
      <c r="F2377" s="1">
        <v>45745</v>
      </c>
      <c r="G2377" s="1">
        <v>45747</v>
      </c>
      <c r="H2377" t="s">
        <v>17</v>
      </c>
      <c r="I2377" t="s">
        <v>35</v>
      </c>
      <c r="J2377">
        <v>4</v>
      </c>
      <c r="K2377" t="s">
        <v>19</v>
      </c>
      <c r="L2377" t="s">
        <v>115</v>
      </c>
      <c r="M2377">
        <f>orders[[#This Row],[Ship Date]]-orders[[#This Row],[Order Date]]</f>
        <v>2</v>
      </c>
      <c r="N2377">
        <f>WEEKNUM(orders[[#This Row],[Order Date]])</f>
        <v>13</v>
      </c>
      <c r="O2377" t="str">
        <f>_xlfn.IFS(orders[[#This Row],[Customer Gender]]="M","Male", orders[[#This Row],[Customer Gender]]="F","Female", orders[[#This Row],[Customer Gender]]="O","Other", TRUE,"Unknown")</f>
        <v>Unknown</v>
      </c>
    </row>
    <row r="2378" spans="1:15">
      <c r="A2378" t="s">
        <v>2479</v>
      </c>
      <c r="B2378" t="s">
        <v>22</v>
      </c>
      <c r="C2378">
        <v>23</v>
      </c>
      <c r="D2378">
        <v>38.1</v>
      </c>
      <c r="E2378">
        <v>876.30000000000007</v>
      </c>
      <c r="F2378" s="1">
        <v>45745</v>
      </c>
      <c r="G2378" s="1">
        <v>45746</v>
      </c>
      <c r="H2378" t="s">
        <v>27</v>
      </c>
      <c r="I2378" t="s">
        <v>70</v>
      </c>
      <c r="J2378">
        <v>4</v>
      </c>
      <c r="K2378" t="s">
        <v>19</v>
      </c>
      <c r="L2378" t="s">
        <v>24</v>
      </c>
      <c r="M2378">
        <f>orders[[#This Row],[Ship Date]]-orders[[#This Row],[Order Date]]</f>
        <v>1</v>
      </c>
      <c r="N2378">
        <f>WEEKNUM(orders[[#This Row],[Order Date]])</f>
        <v>13</v>
      </c>
      <c r="O2378" t="str">
        <f>_xlfn.IFS(orders[[#This Row],[Customer Gender]]="M","Male", orders[[#This Row],[Customer Gender]]="F","Female", orders[[#This Row],[Customer Gender]]="O","Other", TRUE,"Unknown")</f>
        <v>Female</v>
      </c>
    </row>
    <row r="2379" spans="1:15">
      <c r="A2379" t="s">
        <v>2480</v>
      </c>
      <c r="B2379" t="s">
        <v>30</v>
      </c>
      <c r="C2379">
        <v>2</v>
      </c>
      <c r="D2379">
        <v>42.2</v>
      </c>
      <c r="E2379">
        <v>84.4</v>
      </c>
      <c r="F2379" s="1">
        <v>45745</v>
      </c>
      <c r="G2379" s="1">
        <v>45747</v>
      </c>
      <c r="H2379" t="s">
        <v>27</v>
      </c>
      <c r="I2379" t="s">
        <v>18</v>
      </c>
      <c r="J2379">
        <v>5</v>
      </c>
      <c r="K2379" t="s">
        <v>19</v>
      </c>
      <c r="L2379" t="s">
        <v>24</v>
      </c>
      <c r="M2379">
        <f>orders[[#This Row],[Ship Date]]-orders[[#This Row],[Order Date]]</f>
        <v>2</v>
      </c>
      <c r="N2379">
        <f>WEEKNUM(orders[[#This Row],[Order Date]])</f>
        <v>13</v>
      </c>
      <c r="O2379" t="str">
        <f>_xlfn.IFS(orders[[#This Row],[Customer Gender]]="M","Male", orders[[#This Row],[Customer Gender]]="F","Female", orders[[#This Row],[Customer Gender]]="O","Other", TRUE,"Unknown")</f>
        <v>Female</v>
      </c>
    </row>
    <row r="2380" spans="1:15">
      <c r="A2380" t="s">
        <v>2481</v>
      </c>
      <c r="B2380" t="s">
        <v>16</v>
      </c>
      <c r="C2380">
        <v>10</v>
      </c>
      <c r="D2380">
        <v>12.3</v>
      </c>
      <c r="E2380">
        <v>123</v>
      </c>
      <c r="F2380" s="1">
        <v>45745</v>
      </c>
      <c r="G2380" s="1">
        <v>45746</v>
      </c>
      <c r="H2380" t="s">
        <v>27</v>
      </c>
      <c r="I2380" t="s">
        <v>70</v>
      </c>
      <c r="J2380">
        <v>4</v>
      </c>
      <c r="K2380" t="s">
        <v>19</v>
      </c>
      <c r="L2380" t="s">
        <v>28</v>
      </c>
      <c r="M2380">
        <f>orders[[#This Row],[Ship Date]]-orders[[#This Row],[Order Date]]</f>
        <v>1</v>
      </c>
      <c r="N2380">
        <f>WEEKNUM(orders[[#This Row],[Order Date]])</f>
        <v>13</v>
      </c>
      <c r="O2380" t="str">
        <f>_xlfn.IFS(orders[[#This Row],[Customer Gender]]="M","Male", orders[[#This Row],[Customer Gender]]="F","Female", orders[[#This Row],[Customer Gender]]="O","Other", TRUE,"Unknown")</f>
        <v>Female</v>
      </c>
    </row>
    <row r="2381" spans="1:15">
      <c r="A2381" t="s">
        <v>2482</v>
      </c>
      <c r="B2381" t="s">
        <v>42</v>
      </c>
      <c r="C2381">
        <v>1</v>
      </c>
      <c r="D2381">
        <v>30.2</v>
      </c>
      <c r="E2381">
        <v>30.2</v>
      </c>
      <c r="F2381" s="1">
        <v>45745</v>
      </c>
      <c r="G2381" s="1">
        <v>45747</v>
      </c>
      <c r="H2381" t="s">
        <v>27</v>
      </c>
      <c r="I2381" t="s">
        <v>35</v>
      </c>
      <c r="J2381">
        <v>5</v>
      </c>
      <c r="K2381" t="s">
        <v>19</v>
      </c>
      <c r="L2381" t="s">
        <v>334</v>
      </c>
      <c r="M2381">
        <f>orders[[#This Row],[Ship Date]]-orders[[#This Row],[Order Date]]</f>
        <v>2</v>
      </c>
      <c r="N2381">
        <f>WEEKNUM(orders[[#This Row],[Order Date]])</f>
        <v>13</v>
      </c>
      <c r="O2381" t="str">
        <f>_xlfn.IFS(orders[[#This Row],[Customer Gender]]="M","Male", orders[[#This Row],[Customer Gender]]="F","Female", orders[[#This Row],[Customer Gender]]="O","Other", TRUE,"Unknown")</f>
        <v>Female</v>
      </c>
    </row>
    <row r="2382" spans="1:15">
      <c r="A2382" t="s">
        <v>2483</v>
      </c>
      <c r="B2382" t="s">
        <v>37</v>
      </c>
      <c r="C2382">
        <v>3</v>
      </c>
      <c r="D2382">
        <v>25.3</v>
      </c>
      <c r="E2382">
        <v>75.900000000000006</v>
      </c>
      <c r="F2382" s="1">
        <v>45745</v>
      </c>
      <c r="G2382" s="1">
        <v>45748</v>
      </c>
      <c r="H2382" t="s">
        <v>27</v>
      </c>
      <c r="I2382" t="s">
        <v>40</v>
      </c>
      <c r="J2382">
        <v>4</v>
      </c>
      <c r="K2382" t="s">
        <v>19</v>
      </c>
      <c r="L2382" t="s">
        <v>33</v>
      </c>
      <c r="M2382">
        <f>orders[[#This Row],[Ship Date]]-orders[[#This Row],[Order Date]]</f>
        <v>3</v>
      </c>
      <c r="N2382">
        <f>WEEKNUM(orders[[#This Row],[Order Date]])</f>
        <v>13</v>
      </c>
      <c r="O2382" t="str">
        <f>_xlfn.IFS(orders[[#This Row],[Customer Gender]]="M","Male", orders[[#This Row],[Customer Gender]]="F","Female", orders[[#This Row],[Customer Gender]]="O","Other", TRUE,"Unknown")</f>
        <v>Female</v>
      </c>
    </row>
    <row r="2383" spans="1:15">
      <c r="A2383" t="s">
        <v>2484</v>
      </c>
      <c r="B2383" t="s">
        <v>44</v>
      </c>
      <c r="C2383">
        <v>5</v>
      </c>
      <c r="D2383">
        <v>29.7</v>
      </c>
      <c r="E2383">
        <v>148.5</v>
      </c>
      <c r="F2383" s="1">
        <v>45745</v>
      </c>
      <c r="G2383" s="1">
        <v>45747</v>
      </c>
      <c r="H2383" t="s">
        <v>23</v>
      </c>
      <c r="I2383" t="s">
        <v>51</v>
      </c>
      <c r="J2383">
        <v>4</v>
      </c>
      <c r="K2383" t="s">
        <v>19</v>
      </c>
      <c r="L2383" t="s">
        <v>33</v>
      </c>
      <c r="M2383">
        <f>orders[[#This Row],[Ship Date]]-orders[[#This Row],[Order Date]]</f>
        <v>2</v>
      </c>
      <c r="N2383">
        <f>WEEKNUM(orders[[#This Row],[Order Date]])</f>
        <v>13</v>
      </c>
      <c r="O2383" t="str">
        <f>_xlfn.IFS(orders[[#This Row],[Customer Gender]]="M","Male", orders[[#This Row],[Customer Gender]]="F","Female", orders[[#This Row],[Customer Gender]]="O","Other", TRUE,"Unknown")</f>
        <v>Male</v>
      </c>
    </row>
    <row r="2384" spans="1:15">
      <c r="A2384" t="s">
        <v>2485</v>
      </c>
      <c r="B2384" t="s">
        <v>46</v>
      </c>
      <c r="C2384">
        <v>8</v>
      </c>
      <c r="D2384">
        <v>32.9</v>
      </c>
      <c r="E2384">
        <v>263.2</v>
      </c>
      <c r="F2384" s="1">
        <v>45745</v>
      </c>
      <c r="G2384" s="1">
        <v>45746</v>
      </c>
      <c r="H2384" t="s">
        <v>17</v>
      </c>
      <c r="I2384" t="s">
        <v>51</v>
      </c>
      <c r="J2384">
        <v>5</v>
      </c>
      <c r="K2384" t="s">
        <v>19</v>
      </c>
      <c r="L2384" t="s">
        <v>33</v>
      </c>
      <c r="M2384">
        <f>orders[[#This Row],[Ship Date]]-orders[[#This Row],[Order Date]]</f>
        <v>1</v>
      </c>
      <c r="N2384">
        <f>WEEKNUM(orders[[#This Row],[Order Date]])</f>
        <v>13</v>
      </c>
      <c r="O2384" t="str">
        <f>_xlfn.IFS(orders[[#This Row],[Customer Gender]]="M","Male", orders[[#This Row],[Customer Gender]]="F","Female", orders[[#This Row],[Customer Gender]]="O","Other", TRUE,"Unknown")</f>
        <v>Unknown</v>
      </c>
    </row>
    <row r="2385" spans="1:15">
      <c r="A2385" t="s">
        <v>2486</v>
      </c>
      <c r="B2385" t="s">
        <v>54</v>
      </c>
      <c r="C2385">
        <v>2</v>
      </c>
      <c r="D2385">
        <v>43.6</v>
      </c>
      <c r="E2385">
        <v>87.2</v>
      </c>
      <c r="F2385" s="1">
        <v>45745</v>
      </c>
      <c r="G2385" s="1">
        <v>45746</v>
      </c>
      <c r="H2385" t="s">
        <v>23</v>
      </c>
      <c r="I2385" t="s">
        <v>35</v>
      </c>
      <c r="J2385">
        <v>5</v>
      </c>
      <c r="K2385" t="s">
        <v>19</v>
      </c>
      <c r="L2385" t="s">
        <v>33</v>
      </c>
      <c r="M2385">
        <f>orders[[#This Row],[Ship Date]]-orders[[#This Row],[Order Date]]</f>
        <v>1</v>
      </c>
      <c r="N2385">
        <f>WEEKNUM(orders[[#This Row],[Order Date]])</f>
        <v>13</v>
      </c>
      <c r="O2385" t="str">
        <f>_xlfn.IFS(orders[[#This Row],[Customer Gender]]="M","Male", orders[[#This Row],[Customer Gender]]="F","Female", orders[[#This Row],[Customer Gender]]="O","Other", TRUE,"Unknown")</f>
        <v>Male</v>
      </c>
    </row>
    <row r="2386" spans="1:15">
      <c r="A2386" t="s">
        <v>2487</v>
      </c>
      <c r="B2386" t="s">
        <v>123</v>
      </c>
      <c r="C2386">
        <v>4</v>
      </c>
      <c r="D2386">
        <v>78.400000000000006</v>
      </c>
      <c r="E2386">
        <v>313.60000000000002</v>
      </c>
      <c r="F2386" s="1">
        <v>45745</v>
      </c>
      <c r="G2386" s="1">
        <v>45746</v>
      </c>
      <c r="H2386" t="s">
        <v>23</v>
      </c>
      <c r="I2386" t="s">
        <v>40</v>
      </c>
      <c r="J2386">
        <v>4</v>
      </c>
      <c r="K2386" t="s">
        <v>19</v>
      </c>
      <c r="L2386" t="s">
        <v>33</v>
      </c>
      <c r="M2386">
        <f>orders[[#This Row],[Ship Date]]-orders[[#This Row],[Order Date]]</f>
        <v>1</v>
      </c>
      <c r="N2386">
        <f>WEEKNUM(orders[[#This Row],[Order Date]])</f>
        <v>13</v>
      </c>
      <c r="O2386" t="str">
        <f>_xlfn.IFS(orders[[#This Row],[Customer Gender]]="M","Male", orders[[#This Row],[Customer Gender]]="F","Female", orders[[#This Row],[Customer Gender]]="O","Other", TRUE,"Unknown")</f>
        <v>Male</v>
      </c>
    </row>
    <row r="2387" spans="1:15">
      <c r="A2387" t="s">
        <v>2488</v>
      </c>
      <c r="B2387" t="s">
        <v>39</v>
      </c>
      <c r="C2387">
        <v>2</v>
      </c>
      <c r="D2387">
        <v>56.5</v>
      </c>
      <c r="E2387">
        <v>113</v>
      </c>
      <c r="F2387" s="1">
        <v>45745</v>
      </c>
      <c r="G2387" s="1">
        <v>45749</v>
      </c>
      <c r="H2387" t="s">
        <v>23</v>
      </c>
      <c r="I2387" t="s">
        <v>35</v>
      </c>
      <c r="J2387">
        <v>3</v>
      </c>
      <c r="K2387" t="s">
        <v>19</v>
      </c>
      <c r="L2387" t="s">
        <v>33</v>
      </c>
      <c r="M2387">
        <f>orders[[#This Row],[Ship Date]]-orders[[#This Row],[Order Date]]</f>
        <v>4</v>
      </c>
      <c r="N2387">
        <f>WEEKNUM(orders[[#This Row],[Order Date]])</f>
        <v>13</v>
      </c>
      <c r="O2387" t="str">
        <f>_xlfn.IFS(orders[[#This Row],[Customer Gender]]="M","Male", orders[[#This Row],[Customer Gender]]="F","Female", orders[[#This Row],[Customer Gender]]="O","Other", TRUE,"Unknown")</f>
        <v>Male</v>
      </c>
    </row>
    <row r="2388" spans="1:15">
      <c r="A2388" t="s">
        <v>2489</v>
      </c>
      <c r="B2388" t="s">
        <v>128</v>
      </c>
      <c r="C2388">
        <v>1</v>
      </c>
      <c r="D2388">
        <v>36.700000000000003</v>
      </c>
      <c r="E2388">
        <v>36.700000000000003</v>
      </c>
      <c r="F2388" s="1">
        <v>45745</v>
      </c>
      <c r="G2388" s="1">
        <v>45746</v>
      </c>
      <c r="H2388" t="s">
        <v>27</v>
      </c>
      <c r="I2388" t="s">
        <v>18</v>
      </c>
      <c r="J2388">
        <v>5</v>
      </c>
      <c r="K2388" t="s">
        <v>19</v>
      </c>
      <c r="L2388" t="s">
        <v>33</v>
      </c>
      <c r="M2388">
        <f>orders[[#This Row],[Ship Date]]-orders[[#This Row],[Order Date]]</f>
        <v>1</v>
      </c>
      <c r="N2388">
        <f>WEEKNUM(orders[[#This Row],[Order Date]])</f>
        <v>13</v>
      </c>
      <c r="O2388" t="str">
        <f>_xlfn.IFS(orders[[#This Row],[Customer Gender]]="M","Male", orders[[#This Row],[Customer Gender]]="F","Female", orders[[#This Row],[Customer Gender]]="O","Other", TRUE,"Unknown")</f>
        <v>Female</v>
      </c>
    </row>
    <row r="2389" spans="1:15">
      <c r="A2389" t="s">
        <v>2490</v>
      </c>
      <c r="B2389" t="s">
        <v>26</v>
      </c>
      <c r="C2389">
        <v>4</v>
      </c>
      <c r="D2389">
        <v>103.6</v>
      </c>
      <c r="E2389">
        <v>414.4</v>
      </c>
      <c r="F2389" s="1">
        <v>45745</v>
      </c>
      <c r="G2389" s="1">
        <v>45756</v>
      </c>
      <c r="H2389" t="s">
        <v>23</v>
      </c>
      <c r="I2389" t="s">
        <v>70</v>
      </c>
      <c r="J2389">
        <v>5</v>
      </c>
      <c r="K2389" t="s">
        <v>19</v>
      </c>
      <c r="L2389" t="s">
        <v>33</v>
      </c>
      <c r="M2389">
        <f>orders[[#This Row],[Ship Date]]-orders[[#This Row],[Order Date]]</f>
        <v>11</v>
      </c>
      <c r="N2389">
        <f>WEEKNUM(orders[[#This Row],[Order Date]])</f>
        <v>13</v>
      </c>
      <c r="O2389" t="str">
        <f>_xlfn.IFS(orders[[#This Row],[Customer Gender]]="M","Male", orders[[#This Row],[Customer Gender]]="F","Female", orders[[#This Row],[Customer Gender]]="O","Other", TRUE,"Unknown")</f>
        <v>Male</v>
      </c>
    </row>
    <row r="2390" spans="1:15">
      <c r="A2390" t="s">
        <v>2491</v>
      </c>
      <c r="B2390" t="s">
        <v>44</v>
      </c>
      <c r="C2390">
        <v>6</v>
      </c>
      <c r="D2390">
        <v>16.2</v>
      </c>
      <c r="E2390">
        <v>97.199999999999989</v>
      </c>
      <c r="F2390" s="1">
        <v>45745</v>
      </c>
      <c r="G2390" s="1">
        <v>45749</v>
      </c>
      <c r="H2390" t="s">
        <v>23</v>
      </c>
      <c r="I2390" t="s">
        <v>35</v>
      </c>
      <c r="J2390">
        <v>5</v>
      </c>
      <c r="K2390" t="s">
        <v>19</v>
      </c>
      <c r="L2390" t="s">
        <v>55</v>
      </c>
      <c r="M2390">
        <f>orders[[#This Row],[Ship Date]]-orders[[#This Row],[Order Date]]</f>
        <v>4</v>
      </c>
      <c r="N2390">
        <f>WEEKNUM(orders[[#This Row],[Order Date]])</f>
        <v>13</v>
      </c>
      <c r="O2390" t="str">
        <f>_xlfn.IFS(orders[[#This Row],[Customer Gender]]="M","Male", orders[[#This Row],[Customer Gender]]="F","Female", orders[[#This Row],[Customer Gender]]="O","Other", TRUE,"Unknown")</f>
        <v>Male</v>
      </c>
    </row>
    <row r="2391" spans="1:15">
      <c r="A2391" t="s">
        <v>2492</v>
      </c>
      <c r="B2391" t="s">
        <v>44</v>
      </c>
      <c r="C2391">
        <v>2</v>
      </c>
      <c r="D2391">
        <v>20.2</v>
      </c>
      <c r="E2391">
        <v>40.4</v>
      </c>
      <c r="F2391" s="1">
        <v>45745</v>
      </c>
      <c r="G2391" s="1">
        <v>45746</v>
      </c>
      <c r="H2391" t="s">
        <v>27</v>
      </c>
      <c r="I2391" t="s">
        <v>18</v>
      </c>
      <c r="J2391">
        <v>4</v>
      </c>
      <c r="K2391" t="s">
        <v>19</v>
      </c>
      <c r="L2391" t="s">
        <v>55</v>
      </c>
      <c r="M2391">
        <f>orders[[#This Row],[Ship Date]]-orders[[#This Row],[Order Date]]</f>
        <v>1</v>
      </c>
      <c r="N2391">
        <f>WEEKNUM(orders[[#This Row],[Order Date]])</f>
        <v>13</v>
      </c>
      <c r="O2391" t="str">
        <f>_xlfn.IFS(orders[[#This Row],[Customer Gender]]="M","Male", orders[[#This Row],[Customer Gender]]="F","Female", orders[[#This Row],[Customer Gender]]="O","Other", TRUE,"Unknown")</f>
        <v>Female</v>
      </c>
    </row>
    <row r="2392" spans="1:15">
      <c r="A2392" t="s">
        <v>2493</v>
      </c>
      <c r="B2392" t="s">
        <v>67</v>
      </c>
      <c r="C2392">
        <v>2</v>
      </c>
      <c r="D2392">
        <v>26.9</v>
      </c>
      <c r="E2392">
        <v>53.8</v>
      </c>
      <c r="F2392" s="1">
        <v>45745</v>
      </c>
      <c r="G2392" s="1">
        <v>45747</v>
      </c>
      <c r="H2392" t="s">
        <v>27</v>
      </c>
      <c r="I2392" t="s">
        <v>40</v>
      </c>
      <c r="J2392">
        <v>4</v>
      </c>
      <c r="K2392" t="s">
        <v>19</v>
      </c>
      <c r="L2392" t="s">
        <v>55</v>
      </c>
      <c r="M2392">
        <f>orders[[#This Row],[Ship Date]]-orders[[#This Row],[Order Date]]</f>
        <v>2</v>
      </c>
      <c r="N2392">
        <f>WEEKNUM(orders[[#This Row],[Order Date]])</f>
        <v>13</v>
      </c>
      <c r="O2392" t="str">
        <f>_xlfn.IFS(orders[[#This Row],[Customer Gender]]="M","Male", orders[[#This Row],[Customer Gender]]="F","Female", orders[[#This Row],[Customer Gender]]="O","Other", TRUE,"Unknown")</f>
        <v>Female</v>
      </c>
    </row>
    <row r="2393" spans="1:15">
      <c r="A2393" t="s">
        <v>2494</v>
      </c>
      <c r="B2393" t="s">
        <v>22</v>
      </c>
      <c r="C2393">
        <v>2</v>
      </c>
      <c r="D2393">
        <v>82.4</v>
      </c>
      <c r="E2393">
        <v>164.8</v>
      </c>
      <c r="F2393" s="1">
        <v>45745</v>
      </c>
      <c r="G2393" s="1">
        <v>45748</v>
      </c>
      <c r="H2393" t="s">
        <v>17</v>
      </c>
      <c r="I2393" t="s">
        <v>18</v>
      </c>
      <c r="J2393">
        <v>4</v>
      </c>
      <c r="K2393" t="s">
        <v>19</v>
      </c>
      <c r="L2393" t="s">
        <v>59</v>
      </c>
      <c r="M2393">
        <f>orders[[#This Row],[Ship Date]]-orders[[#This Row],[Order Date]]</f>
        <v>3</v>
      </c>
      <c r="N2393">
        <f>WEEKNUM(orders[[#This Row],[Order Date]])</f>
        <v>13</v>
      </c>
      <c r="O2393" t="str">
        <f>_xlfn.IFS(orders[[#This Row],[Customer Gender]]="M","Male", orders[[#This Row],[Customer Gender]]="F","Female", orders[[#This Row],[Customer Gender]]="O","Other", TRUE,"Unknown")</f>
        <v>Unknown</v>
      </c>
    </row>
    <row r="2394" spans="1:15">
      <c r="A2394" t="s">
        <v>2495</v>
      </c>
      <c r="B2394" t="s">
        <v>26</v>
      </c>
      <c r="C2394">
        <v>2</v>
      </c>
      <c r="D2394">
        <v>117.8</v>
      </c>
      <c r="E2394">
        <v>235.6</v>
      </c>
      <c r="F2394" s="1">
        <v>45745</v>
      </c>
      <c r="G2394" s="1">
        <v>45747</v>
      </c>
      <c r="H2394" t="s">
        <v>23</v>
      </c>
      <c r="I2394" t="s">
        <v>35</v>
      </c>
      <c r="J2394">
        <v>5</v>
      </c>
      <c r="K2394" t="s">
        <v>19</v>
      </c>
      <c r="L2394" t="s">
        <v>62</v>
      </c>
      <c r="M2394">
        <f>orders[[#This Row],[Ship Date]]-orders[[#This Row],[Order Date]]</f>
        <v>2</v>
      </c>
      <c r="N2394">
        <f>WEEKNUM(orders[[#This Row],[Order Date]])</f>
        <v>13</v>
      </c>
      <c r="O2394" t="str">
        <f>_xlfn.IFS(orders[[#This Row],[Customer Gender]]="M","Male", orders[[#This Row],[Customer Gender]]="F","Female", orders[[#This Row],[Customer Gender]]="O","Other", TRUE,"Unknown")</f>
        <v>Male</v>
      </c>
    </row>
    <row r="2395" spans="1:15">
      <c r="A2395" t="s">
        <v>2496</v>
      </c>
      <c r="B2395" t="s">
        <v>67</v>
      </c>
      <c r="C2395">
        <v>4</v>
      </c>
      <c r="D2395">
        <v>36.700000000000003</v>
      </c>
      <c r="E2395">
        <v>146.80000000000001</v>
      </c>
      <c r="F2395" s="1">
        <v>45745</v>
      </c>
      <c r="G2395" s="1">
        <v>45746</v>
      </c>
      <c r="H2395" t="s">
        <v>23</v>
      </c>
      <c r="I2395" t="s">
        <v>35</v>
      </c>
      <c r="J2395">
        <v>4</v>
      </c>
      <c r="K2395" t="s">
        <v>19</v>
      </c>
      <c r="L2395" t="s">
        <v>62</v>
      </c>
      <c r="M2395">
        <f>orders[[#This Row],[Ship Date]]-orders[[#This Row],[Order Date]]</f>
        <v>1</v>
      </c>
      <c r="N2395">
        <f>WEEKNUM(orders[[#This Row],[Order Date]])</f>
        <v>13</v>
      </c>
      <c r="O2395" t="str">
        <f>_xlfn.IFS(orders[[#This Row],[Customer Gender]]="M","Male", orders[[#This Row],[Customer Gender]]="F","Female", orders[[#This Row],[Customer Gender]]="O","Other", TRUE,"Unknown")</f>
        <v>Male</v>
      </c>
    </row>
    <row r="2396" spans="1:15">
      <c r="A2396" t="s">
        <v>2497</v>
      </c>
      <c r="B2396" t="s">
        <v>135</v>
      </c>
      <c r="C2396">
        <v>3</v>
      </c>
      <c r="D2396">
        <v>46.8</v>
      </c>
      <c r="E2396">
        <v>140.39999999999998</v>
      </c>
      <c r="F2396" s="1">
        <v>45745</v>
      </c>
      <c r="G2396" s="1">
        <v>45746</v>
      </c>
      <c r="H2396" t="s">
        <v>23</v>
      </c>
      <c r="I2396" t="s">
        <v>70</v>
      </c>
      <c r="J2396">
        <v>5</v>
      </c>
      <c r="K2396" t="s">
        <v>19</v>
      </c>
      <c r="L2396" t="s">
        <v>74</v>
      </c>
      <c r="M2396">
        <f>orders[[#This Row],[Ship Date]]-orders[[#This Row],[Order Date]]</f>
        <v>1</v>
      </c>
      <c r="N2396">
        <f>WEEKNUM(orders[[#This Row],[Order Date]])</f>
        <v>13</v>
      </c>
      <c r="O2396" t="str">
        <f>_xlfn.IFS(orders[[#This Row],[Customer Gender]]="M","Male", orders[[#This Row],[Customer Gender]]="F","Female", orders[[#This Row],[Customer Gender]]="O","Other", TRUE,"Unknown")</f>
        <v>Male</v>
      </c>
    </row>
    <row r="2397" spans="1:15">
      <c r="A2397" t="s">
        <v>2498</v>
      </c>
      <c r="B2397" t="s">
        <v>30</v>
      </c>
      <c r="C2397">
        <v>1</v>
      </c>
      <c r="D2397">
        <v>61.4</v>
      </c>
      <c r="E2397">
        <v>61.4</v>
      </c>
      <c r="F2397" s="1">
        <v>45745</v>
      </c>
      <c r="G2397" s="1">
        <v>45746</v>
      </c>
      <c r="H2397" t="s">
        <v>23</v>
      </c>
      <c r="I2397" t="s">
        <v>35</v>
      </c>
      <c r="J2397">
        <v>4</v>
      </c>
      <c r="K2397" t="s">
        <v>19</v>
      </c>
      <c r="L2397" t="s">
        <v>74</v>
      </c>
      <c r="M2397">
        <f>orders[[#This Row],[Ship Date]]-orders[[#This Row],[Order Date]]</f>
        <v>1</v>
      </c>
      <c r="N2397">
        <f>WEEKNUM(orders[[#This Row],[Order Date]])</f>
        <v>13</v>
      </c>
      <c r="O2397" t="str">
        <f>_xlfn.IFS(orders[[#This Row],[Customer Gender]]="M","Male", orders[[#This Row],[Customer Gender]]="F","Female", orders[[#This Row],[Customer Gender]]="O","Other", TRUE,"Unknown")</f>
        <v>Male</v>
      </c>
    </row>
    <row r="2398" spans="1:15">
      <c r="A2398" t="s">
        <v>2499</v>
      </c>
      <c r="B2398" t="s">
        <v>123</v>
      </c>
      <c r="C2398">
        <v>2</v>
      </c>
      <c r="D2398">
        <v>22.9</v>
      </c>
      <c r="E2398">
        <v>45.8</v>
      </c>
      <c r="F2398" s="1">
        <v>45745</v>
      </c>
      <c r="G2398" s="1">
        <v>45746</v>
      </c>
      <c r="H2398" t="s">
        <v>23</v>
      </c>
      <c r="I2398" t="s">
        <v>18</v>
      </c>
      <c r="J2398">
        <v>4</v>
      </c>
      <c r="K2398" t="s">
        <v>19</v>
      </c>
      <c r="L2398" t="s">
        <v>77</v>
      </c>
      <c r="M2398">
        <f>orders[[#This Row],[Ship Date]]-orders[[#This Row],[Order Date]]</f>
        <v>1</v>
      </c>
      <c r="N2398">
        <f>WEEKNUM(orders[[#This Row],[Order Date]])</f>
        <v>13</v>
      </c>
      <c r="O2398" t="str">
        <f>_xlfn.IFS(orders[[#This Row],[Customer Gender]]="M","Male", orders[[#This Row],[Customer Gender]]="F","Female", orders[[#This Row],[Customer Gender]]="O","Other", TRUE,"Unknown")</f>
        <v>Male</v>
      </c>
    </row>
    <row r="2399" spans="1:15">
      <c r="A2399" t="s">
        <v>2500</v>
      </c>
      <c r="B2399" t="s">
        <v>54</v>
      </c>
      <c r="C2399">
        <v>2</v>
      </c>
      <c r="D2399">
        <v>22.1</v>
      </c>
      <c r="E2399">
        <v>44.2</v>
      </c>
      <c r="F2399" s="1">
        <v>45745</v>
      </c>
      <c r="G2399" s="1">
        <v>45746</v>
      </c>
      <c r="H2399" t="s">
        <v>27</v>
      </c>
      <c r="I2399" t="s">
        <v>70</v>
      </c>
      <c r="J2399">
        <v>4</v>
      </c>
      <c r="K2399" t="s">
        <v>19</v>
      </c>
      <c r="L2399" t="s">
        <v>77</v>
      </c>
      <c r="M2399">
        <f>orders[[#This Row],[Ship Date]]-orders[[#This Row],[Order Date]]</f>
        <v>1</v>
      </c>
      <c r="N2399">
        <f>WEEKNUM(orders[[#This Row],[Order Date]])</f>
        <v>13</v>
      </c>
      <c r="O2399" t="str">
        <f>_xlfn.IFS(orders[[#This Row],[Customer Gender]]="M","Male", orders[[#This Row],[Customer Gender]]="F","Female", orders[[#This Row],[Customer Gender]]="O","Other", TRUE,"Unknown")</f>
        <v>Female</v>
      </c>
    </row>
    <row r="2400" spans="1:15">
      <c r="A2400" t="s">
        <v>2501</v>
      </c>
      <c r="B2400" t="s">
        <v>69</v>
      </c>
      <c r="C2400">
        <v>2</v>
      </c>
      <c r="D2400">
        <v>31</v>
      </c>
      <c r="E2400">
        <v>62</v>
      </c>
      <c r="F2400" s="1">
        <v>45745</v>
      </c>
      <c r="G2400" s="1">
        <v>45747</v>
      </c>
      <c r="H2400" t="s">
        <v>27</v>
      </c>
      <c r="I2400" t="s">
        <v>40</v>
      </c>
      <c r="J2400">
        <v>4</v>
      </c>
      <c r="K2400" t="s">
        <v>19</v>
      </c>
      <c r="L2400" t="s">
        <v>108</v>
      </c>
      <c r="M2400">
        <f>orders[[#This Row],[Ship Date]]-orders[[#This Row],[Order Date]]</f>
        <v>2</v>
      </c>
      <c r="N2400">
        <f>WEEKNUM(orders[[#This Row],[Order Date]])</f>
        <v>13</v>
      </c>
      <c r="O2400" t="str">
        <f>_xlfn.IFS(orders[[#This Row],[Customer Gender]]="M","Male", orders[[#This Row],[Customer Gender]]="F","Female", orders[[#This Row],[Customer Gender]]="O","Other", TRUE,"Unknown")</f>
        <v>Female</v>
      </c>
    </row>
    <row r="2401" spans="1:15">
      <c r="A2401" t="s">
        <v>2502</v>
      </c>
      <c r="B2401" t="s">
        <v>146</v>
      </c>
      <c r="C2401">
        <v>2</v>
      </c>
      <c r="D2401">
        <v>84.2</v>
      </c>
      <c r="E2401">
        <v>168.4</v>
      </c>
      <c r="F2401" s="1">
        <v>45745</v>
      </c>
      <c r="G2401" s="1">
        <v>45747</v>
      </c>
      <c r="H2401" t="s">
        <v>23</v>
      </c>
      <c r="I2401" t="s">
        <v>40</v>
      </c>
      <c r="J2401">
        <v>5</v>
      </c>
      <c r="K2401" t="s">
        <v>19</v>
      </c>
      <c r="L2401" t="s">
        <v>82</v>
      </c>
      <c r="M2401">
        <f>orders[[#This Row],[Ship Date]]-orders[[#This Row],[Order Date]]</f>
        <v>2</v>
      </c>
      <c r="N2401">
        <f>WEEKNUM(orders[[#This Row],[Order Date]])</f>
        <v>13</v>
      </c>
      <c r="O2401" t="str">
        <f>_xlfn.IFS(orders[[#This Row],[Customer Gender]]="M","Male", orders[[#This Row],[Customer Gender]]="F","Female", orders[[#This Row],[Customer Gender]]="O","Other", TRUE,"Unknown")</f>
        <v>Male</v>
      </c>
    </row>
  </sheetData>
  <mergeCells count="1">
    <mergeCell ref="Q3:AB3"/>
  </mergeCells>
  <phoneticPr fontId="2" type="noConversion"/>
  <pageMargins left="0.7" right="0.7" top="0.75" bottom="0.75" header="0.3" footer="0.3"/>
  <pageSetup paperSize="9"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8967F3-9B1F-4E76-93FF-B0BCB729337C}">
  <sheetPr codeName="Sheet1"/>
  <dimension ref="B2:B18"/>
  <sheetViews>
    <sheetView workbookViewId="0">
      <selection activeCell="B11" sqref="B11"/>
    </sheetView>
  </sheetViews>
  <sheetFormatPr defaultRowHeight="14.25"/>
  <cols>
    <col min="1" max="1" width="3.625" customWidth="1"/>
    <col min="2" max="2" width="52.75" customWidth="1"/>
  </cols>
  <sheetData>
    <row r="2" spans="2:2" ht="15">
      <c r="B2" s="3" t="s">
        <v>2503</v>
      </c>
    </row>
    <row r="3" spans="2:2">
      <c r="B3" s="4" t="s">
        <v>2504</v>
      </c>
    </row>
    <row r="4" spans="2:2">
      <c r="B4" s="4" t="s">
        <v>2505</v>
      </c>
    </row>
    <row r="5" spans="2:2">
      <c r="B5" s="4" t="s">
        <v>2506</v>
      </c>
    </row>
    <row r="6" spans="2:2">
      <c r="B6" s="4" t="s">
        <v>2507</v>
      </c>
    </row>
    <row r="7" spans="2:2">
      <c r="B7" s="4" t="s">
        <v>2508</v>
      </c>
    </row>
    <row r="10" spans="2:2" ht="15">
      <c r="B10" s="3" t="s">
        <v>2509</v>
      </c>
    </row>
    <row r="11" spans="2:2">
      <c r="B11" t="s">
        <v>2510</v>
      </c>
    </row>
    <row r="12" spans="2:2">
      <c r="B12" t="s">
        <v>2511</v>
      </c>
    </row>
    <row r="13" spans="2:2">
      <c r="B13" t="s">
        <v>2512</v>
      </c>
    </row>
    <row r="14" spans="2:2">
      <c r="B14" t="s">
        <v>2513</v>
      </c>
    </row>
    <row r="15" spans="2:2">
      <c r="B15" t="s">
        <v>2514</v>
      </c>
    </row>
    <row r="16" spans="2:2">
      <c r="B16" t="s">
        <v>2515</v>
      </c>
    </row>
    <row r="17" spans="2:2">
      <c r="B17" t="s">
        <v>2516</v>
      </c>
    </row>
    <row r="18" spans="2:2">
      <c r="B18" t="s">
        <v>2517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8FA2DB-1214-4D34-9904-32B7795DD71B}">
  <sheetPr codeName="Sheet3"/>
  <dimension ref="A1"/>
  <sheetViews>
    <sheetView showGridLines="0" tabSelected="1" zoomScale="65" zoomScaleNormal="65" workbookViewId="0">
      <selection activeCell="AB16" sqref="AB16"/>
    </sheetView>
  </sheetViews>
  <sheetFormatPr defaultRowHeight="14.25"/>
  <cols>
    <col min="1" max="1" width="2" customWidth="1"/>
    <col min="2" max="2" width="25.125" customWidth="1"/>
    <col min="3" max="3" width="3" customWidth="1"/>
  </cols>
  <sheetData/>
  <pageMargins left="0.7" right="0.7" top="0.75" bottom="0.75" header="0.3" footer="0.3"/>
  <pageSetup paperSize="9" orientation="portrait" r:id="rId1"/>
  <drawing r:id="rId2"/>
  <legacyDrawing r:id="rId3"/>
  <extLst>
    <ext xmlns:x14="http://schemas.microsoft.com/office/spreadsheetml/2009/9/main" uri="{A8765BA9-456A-4dab-B4F3-ACF838C121DE}">
      <x14:slicerList>
        <x14:slicer r:id="rId4"/>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E5DE04-65FE-4269-95B1-A7AF734DABE0}">
  <sheetPr codeName="Sheet5"/>
  <dimension ref="A2:R169"/>
  <sheetViews>
    <sheetView workbookViewId="0">
      <selection activeCell="E130" sqref="E130"/>
    </sheetView>
  </sheetViews>
  <sheetFormatPr defaultRowHeight="14.25"/>
  <cols>
    <col min="1" max="1" width="13.125" bestFit="1" customWidth="1"/>
    <col min="2" max="3" width="14" bestFit="1" customWidth="1"/>
    <col min="4" max="4" width="15" bestFit="1" customWidth="1"/>
    <col min="5" max="5" width="14.25" bestFit="1" customWidth="1"/>
    <col min="6" max="6" width="18.875" bestFit="1" customWidth="1"/>
    <col min="7" max="7" width="24.875" bestFit="1" customWidth="1"/>
    <col min="8" max="8" width="11.375" bestFit="1" customWidth="1"/>
    <col min="9" max="9" width="15" bestFit="1" customWidth="1"/>
    <col min="10" max="10" width="4.875" bestFit="1" customWidth="1"/>
    <col min="11" max="11" width="3.875" bestFit="1" customWidth="1"/>
    <col min="12" max="12" width="11.375" bestFit="1" customWidth="1"/>
    <col min="13" max="13" width="10.625" customWidth="1"/>
    <col min="14" max="14" width="16" customWidth="1"/>
    <col min="15" max="15" width="11.375" bestFit="1" customWidth="1"/>
    <col min="16" max="16" width="15" bestFit="1" customWidth="1"/>
    <col min="17" max="17" width="5.125" bestFit="1" customWidth="1"/>
    <col min="18" max="18" width="14" bestFit="1" customWidth="1"/>
    <col min="19" max="19" width="9.125" bestFit="1" customWidth="1"/>
    <col min="20" max="20" width="11.375" bestFit="1" customWidth="1"/>
  </cols>
  <sheetData>
    <row r="2" spans="1:11" ht="15">
      <c r="A2" s="15" t="s">
        <v>2542</v>
      </c>
      <c r="B2" s="15"/>
      <c r="C2" s="15"/>
      <c r="D2" s="15"/>
    </row>
    <row r="3" spans="1:11">
      <c r="A3" t="s">
        <v>2522</v>
      </c>
      <c r="B3" t="s">
        <v>2524</v>
      </c>
      <c r="C3" t="s">
        <v>2526</v>
      </c>
      <c r="D3" t="s">
        <v>2536</v>
      </c>
      <c r="E3" t="s">
        <v>2523</v>
      </c>
      <c r="G3" t="s">
        <v>2518</v>
      </c>
      <c r="H3" t="s">
        <v>2</v>
      </c>
      <c r="I3" t="s">
        <v>4</v>
      </c>
      <c r="J3" t="s">
        <v>2537</v>
      </c>
      <c r="K3" t="s">
        <v>2538</v>
      </c>
    </row>
    <row r="4" spans="1:11">
      <c r="A4">
        <v>2400</v>
      </c>
      <c r="B4">
        <v>11997</v>
      </c>
      <c r="C4">
        <v>649019.80000000144</v>
      </c>
      <c r="D4">
        <v>3.9620833333333332</v>
      </c>
      <c r="E4">
        <v>2.3424999999999998</v>
      </c>
      <c r="G4" t="str">
        <f>TEXT(Pivot!A4,"#,##")</f>
        <v>2,400</v>
      </c>
      <c r="H4" t="str">
        <f>TEXT(Pivot!B4,"#,##")</f>
        <v>11,997</v>
      </c>
      <c r="I4" t="str">
        <f>TEXT(Pivot!C4,"$ #,##,.0 K")</f>
        <v>$ 649.0 K</v>
      </c>
      <c r="J4" t="str">
        <f>TEXT(Pivot!D4,"0.0")</f>
        <v>4.0</v>
      </c>
      <c r="K4" t="str">
        <f>TEXT(Pivot!E4,"0.0")</f>
        <v>2.3</v>
      </c>
    </row>
    <row r="6" spans="1:11" ht="15">
      <c r="A6" s="15" t="s">
        <v>2561</v>
      </c>
      <c r="B6" s="15"/>
      <c r="C6" s="15"/>
      <c r="E6" s="15" t="s">
        <v>2564</v>
      </c>
      <c r="F6" s="15"/>
    </row>
    <row r="8" spans="1:11">
      <c r="A8" s="5" t="s">
        <v>2541</v>
      </c>
      <c r="B8" t="s">
        <v>2504</v>
      </c>
      <c r="C8" t="s">
        <v>2506</v>
      </c>
      <c r="E8" s="5" t="s">
        <v>2</v>
      </c>
      <c r="F8" t="s">
        <v>2522</v>
      </c>
    </row>
    <row r="9" spans="1:11">
      <c r="A9" s="6">
        <v>1</v>
      </c>
      <c r="B9">
        <v>101</v>
      </c>
      <c r="C9" s="8">
        <v>32413.300000000003</v>
      </c>
      <c r="E9" s="6">
        <v>1</v>
      </c>
      <c r="F9">
        <v>397</v>
      </c>
    </row>
    <row r="10" spans="1:11">
      <c r="A10" s="6">
        <v>2</v>
      </c>
      <c r="B10">
        <v>155</v>
      </c>
      <c r="C10" s="8">
        <v>49562.999999999993</v>
      </c>
      <c r="E10" s="6">
        <v>2</v>
      </c>
      <c r="F10">
        <v>540</v>
      </c>
    </row>
    <row r="11" spans="1:11">
      <c r="A11" s="6">
        <v>3</v>
      </c>
      <c r="B11">
        <v>151</v>
      </c>
      <c r="C11" s="8">
        <v>41700.400000000016</v>
      </c>
      <c r="E11" s="6">
        <v>3</v>
      </c>
      <c r="F11">
        <v>375</v>
      </c>
    </row>
    <row r="12" spans="1:11">
      <c r="A12" s="6">
        <v>4</v>
      </c>
      <c r="B12">
        <v>175</v>
      </c>
      <c r="C12" s="8">
        <v>46782.599999999984</v>
      </c>
      <c r="E12" s="6">
        <v>4</v>
      </c>
      <c r="F12">
        <v>246</v>
      </c>
    </row>
    <row r="13" spans="1:11">
      <c r="A13" s="6">
        <v>5</v>
      </c>
      <c r="B13">
        <v>162</v>
      </c>
      <c r="C13" s="8">
        <v>42676.100000000006</v>
      </c>
      <c r="E13" s="6">
        <v>5</v>
      </c>
      <c r="F13">
        <v>195</v>
      </c>
    </row>
    <row r="14" spans="1:11">
      <c r="A14" s="6">
        <v>6</v>
      </c>
      <c r="B14">
        <v>240</v>
      </c>
      <c r="C14" s="8">
        <v>62910.7</v>
      </c>
      <c r="E14" s="6" t="s">
        <v>2554</v>
      </c>
      <c r="F14">
        <v>414</v>
      </c>
    </row>
    <row r="15" spans="1:11">
      <c r="A15" s="6">
        <v>7</v>
      </c>
      <c r="B15">
        <v>191</v>
      </c>
      <c r="C15" s="8">
        <v>50332.200000000004</v>
      </c>
      <c r="E15" s="6" t="s">
        <v>2555</v>
      </c>
      <c r="F15">
        <v>233</v>
      </c>
    </row>
    <row r="16" spans="1:11">
      <c r="A16" s="6">
        <v>8</v>
      </c>
      <c r="B16">
        <v>236</v>
      </c>
      <c r="C16" s="8">
        <v>58760.599999999977</v>
      </c>
      <c r="E16" s="6" t="s">
        <v>2521</v>
      </c>
      <c r="F16">
        <v>2400</v>
      </c>
    </row>
    <row r="17" spans="1:9">
      <c r="A17" s="6">
        <v>9</v>
      </c>
      <c r="B17">
        <v>202</v>
      </c>
      <c r="C17" s="8">
        <v>52017.299999999996</v>
      </c>
    </row>
    <row r="18" spans="1:9">
      <c r="A18" s="6">
        <v>10</v>
      </c>
      <c r="B18">
        <v>214</v>
      </c>
      <c r="C18" s="8">
        <v>64915.700000000033</v>
      </c>
    </row>
    <row r="19" spans="1:9">
      <c r="A19" s="6">
        <v>11</v>
      </c>
      <c r="B19">
        <v>189</v>
      </c>
      <c r="C19" s="8">
        <v>45943.80000000001</v>
      </c>
    </row>
    <row r="20" spans="1:9">
      <c r="A20" s="6">
        <v>12</v>
      </c>
      <c r="B20">
        <v>200</v>
      </c>
      <c r="C20" s="8">
        <v>55077.900000000031</v>
      </c>
    </row>
    <row r="21" spans="1:9">
      <c r="A21" s="6">
        <v>13</v>
      </c>
      <c r="B21">
        <v>184</v>
      </c>
      <c r="C21" s="8">
        <v>45926.19999999999</v>
      </c>
    </row>
    <row r="22" spans="1:9">
      <c r="A22" s="6" t="s">
        <v>2521</v>
      </c>
      <c r="B22">
        <v>2400</v>
      </c>
      <c r="C22" s="8">
        <v>649019.80000000144</v>
      </c>
    </row>
    <row r="25" spans="1:9" ht="15">
      <c r="A25" s="15" t="s">
        <v>2565</v>
      </c>
      <c r="B25" s="15"/>
      <c r="C25" s="15"/>
      <c r="D25" s="15"/>
      <c r="E25" s="15"/>
      <c r="F25" s="15"/>
      <c r="H25" s="15" t="s">
        <v>2566</v>
      </c>
      <c r="I25" s="15"/>
    </row>
    <row r="27" spans="1:9">
      <c r="A27" s="5" t="s">
        <v>2524</v>
      </c>
      <c r="B27" s="5" t="s">
        <v>2527</v>
      </c>
      <c r="H27" s="5" t="s">
        <v>2</v>
      </c>
      <c r="I27" t="s">
        <v>2524</v>
      </c>
    </row>
    <row r="28" spans="1:9">
      <c r="A28" s="5" t="s">
        <v>2</v>
      </c>
      <c r="B28" t="s">
        <v>2528</v>
      </c>
      <c r="C28" t="s">
        <v>2529</v>
      </c>
      <c r="D28" t="s">
        <v>2530</v>
      </c>
      <c r="E28" t="s">
        <v>2531</v>
      </c>
      <c r="F28" t="s">
        <v>2521</v>
      </c>
      <c r="H28" s="6" t="s">
        <v>2528</v>
      </c>
      <c r="I28">
        <v>6272</v>
      </c>
    </row>
    <row r="29" spans="1:9">
      <c r="A29" s="6" t="s">
        <v>44</v>
      </c>
      <c r="B29">
        <v>744</v>
      </c>
      <c r="C29">
        <v>713</v>
      </c>
      <c r="D29">
        <v>90</v>
      </c>
      <c r="E29">
        <v>98</v>
      </c>
      <c r="F29">
        <v>1645</v>
      </c>
      <c r="H29" s="6" t="s">
        <v>2529</v>
      </c>
      <c r="I29">
        <v>4672</v>
      </c>
    </row>
    <row r="30" spans="1:9">
      <c r="A30" s="6" t="s">
        <v>39</v>
      </c>
      <c r="B30">
        <v>716</v>
      </c>
      <c r="C30">
        <v>598</v>
      </c>
      <c r="D30">
        <v>18</v>
      </c>
      <c r="E30">
        <v>214</v>
      </c>
      <c r="F30">
        <v>1546</v>
      </c>
      <c r="H30" s="6" t="s">
        <v>2530</v>
      </c>
      <c r="I30">
        <v>317</v>
      </c>
    </row>
    <row r="31" spans="1:9">
      <c r="A31" s="6" t="s">
        <v>26</v>
      </c>
      <c r="B31">
        <v>627</v>
      </c>
      <c r="C31">
        <v>393</v>
      </c>
      <c r="D31">
        <v>29</v>
      </c>
      <c r="E31">
        <v>137</v>
      </c>
      <c r="F31">
        <v>1186</v>
      </c>
      <c r="H31" s="6" t="s">
        <v>2531</v>
      </c>
      <c r="I31">
        <v>736</v>
      </c>
    </row>
    <row r="32" spans="1:9">
      <c r="A32" s="6" t="s">
        <v>22</v>
      </c>
      <c r="B32">
        <v>568</v>
      </c>
      <c r="C32">
        <v>306</v>
      </c>
      <c r="D32">
        <v>22</v>
      </c>
      <c r="E32">
        <v>16</v>
      </c>
      <c r="F32">
        <v>912</v>
      </c>
      <c r="H32" s="6" t="s">
        <v>2521</v>
      </c>
      <c r="I32">
        <v>11997</v>
      </c>
    </row>
    <row r="33" spans="1:6">
      <c r="A33" s="6" t="s">
        <v>54</v>
      </c>
      <c r="B33">
        <v>482</v>
      </c>
      <c r="C33">
        <v>295</v>
      </c>
      <c r="D33">
        <v>8</v>
      </c>
      <c r="E33">
        <v>22</v>
      </c>
      <c r="F33">
        <v>807</v>
      </c>
    </row>
    <row r="34" spans="1:6">
      <c r="A34" s="6" t="s">
        <v>16</v>
      </c>
      <c r="B34">
        <v>428</v>
      </c>
      <c r="C34">
        <v>293</v>
      </c>
      <c r="E34">
        <v>24</v>
      </c>
      <c r="F34">
        <v>745</v>
      </c>
    </row>
    <row r="35" spans="1:6">
      <c r="A35" s="6" t="s">
        <v>46</v>
      </c>
      <c r="B35">
        <v>445</v>
      </c>
      <c r="C35">
        <v>202</v>
      </c>
      <c r="D35">
        <v>14</v>
      </c>
      <c r="E35">
        <v>39</v>
      </c>
      <c r="F35">
        <v>700</v>
      </c>
    </row>
    <row r="36" spans="1:6">
      <c r="A36" s="6" t="s">
        <v>32</v>
      </c>
      <c r="B36">
        <v>431</v>
      </c>
      <c r="C36">
        <v>187</v>
      </c>
      <c r="D36">
        <v>14</v>
      </c>
      <c r="E36">
        <v>15</v>
      </c>
      <c r="F36">
        <v>647</v>
      </c>
    </row>
    <row r="37" spans="1:6">
      <c r="A37" s="6" t="s">
        <v>42</v>
      </c>
      <c r="B37">
        <v>264</v>
      </c>
      <c r="C37">
        <v>318</v>
      </c>
      <c r="D37">
        <v>15</v>
      </c>
      <c r="E37">
        <v>9</v>
      </c>
      <c r="F37">
        <v>606</v>
      </c>
    </row>
    <row r="38" spans="1:6">
      <c r="A38" s="6" t="s">
        <v>37</v>
      </c>
      <c r="B38">
        <v>296</v>
      </c>
      <c r="C38">
        <v>275</v>
      </c>
      <c r="D38">
        <v>9</v>
      </c>
      <c r="E38">
        <v>23</v>
      </c>
      <c r="F38">
        <v>603</v>
      </c>
    </row>
    <row r="39" spans="1:6">
      <c r="A39" s="6" t="s">
        <v>123</v>
      </c>
      <c r="B39">
        <v>153</v>
      </c>
      <c r="C39">
        <v>246</v>
      </c>
      <c r="D39">
        <v>30</v>
      </c>
      <c r="E39">
        <v>8</v>
      </c>
      <c r="F39">
        <v>437</v>
      </c>
    </row>
    <row r="40" spans="1:6">
      <c r="A40" s="6" t="s">
        <v>146</v>
      </c>
      <c r="B40">
        <v>189</v>
      </c>
      <c r="C40">
        <v>168</v>
      </c>
      <c r="D40">
        <v>10</v>
      </c>
      <c r="E40">
        <v>31</v>
      </c>
      <c r="F40">
        <v>398</v>
      </c>
    </row>
    <row r="41" spans="1:6">
      <c r="A41" s="6" t="s">
        <v>69</v>
      </c>
      <c r="B41">
        <v>234</v>
      </c>
      <c r="C41">
        <v>93</v>
      </c>
      <c r="D41">
        <v>19</v>
      </c>
      <c r="E41">
        <v>24</v>
      </c>
      <c r="F41">
        <v>370</v>
      </c>
    </row>
    <row r="42" spans="1:6">
      <c r="A42" s="6" t="s">
        <v>30</v>
      </c>
      <c r="B42">
        <v>146</v>
      </c>
      <c r="C42">
        <v>94</v>
      </c>
      <c r="D42">
        <v>4</v>
      </c>
      <c r="E42">
        <v>28</v>
      </c>
      <c r="F42">
        <v>272</v>
      </c>
    </row>
    <row r="43" spans="1:6">
      <c r="A43" s="6" t="s">
        <v>135</v>
      </c>
      <c r="B43">
        <v>127</v>
      </c>
      <c r="C43">
        <v>118</v>
      </c>
      <c r="D43">
        <v>13</v>
      </c>
      <c r="E43">
        <v>12</v>
      </c>
      <c r="F43">
        <v>270</v>
      </c>
    </row>
    <row r="44" spans="1:6">
      <c r="A44" s="6" t="s">
        <v>67</v>
      </c>
      <c r="B44">
        <v>179</v>
      </c>
      <c r="C44">
        <v>76</v>
      </c>
      <c r="D44">
        <v>3</v>
      </c>
      <c r="F44">
        <v>258</v>
      </c>
    </row>
    <row r="45" spans="1:6">
      <c r="A45" s="6" t="s">
        <v>128</v>
      </c>
      <c r="B45">
        <v>99</v>
      </c>
      <c r="C45">
        <v>69</v>
      </c>
      <c r="D45">
        <v>3</v>
      </c>
      <c r="E45">
        <v>24</v>
      </c>
      <c r="F45">
        <v>195</v>
      </c>
    </row>
    <row r="46" spans="1:6">
      <c r="A46" s="6" t="s">
        <v>76</v>
      </c>
      <c r="B46">
        <v>75</v>
      </c>
      <c r="C46">
        <v>103</v>
      </c>
      <c r="D46">
        <v>4</v>
      </c>
      <c r="E46">
        <v>6</v>
      </c>
      <c r="F46">
        <v>188</v>
      </c>
    </row>
    <row r="47" spans="1:6">
      <c r="A47" s="6" t="s">
        <v>81</v>
      </c>
      <c r="B47">
        <v>43</v>
      </c>
      <c r="C47">
        <v>90</v>
      </c>
      <c r="D47">
        <v>8</v>
      </c>
      <c r="E47">
        <v>6</v>
      </c>
      <c r="F47">
        <v>147</v>
      </c>
    </row>
    <row r="48" spans="1:6">
      <c r="A48" s="6" t="s">
        <v>171</v>
      </c>
      <c r="B48">
        <v>26</v>
      </c>
      <c r="C48">
        <v>35</v>
      </c>
      <c r="D48">
        <v>4</v>
      </c>
      <c r="F48">
        <v>65</v>
      </c>
    </row>
    <row r="49" spans="1:18">
      <c r="A49" s="6" t="s">
        <v>2521</v>
      </c>
      <c r="B49">
        <v>6272</v>
      </c>
      <c r="C49">
        <v>4672</v>
      </c>
      <c r="D49">
        <v>317</v>
      </c>
      <c r="E49">
        <v>736</v>
      </c>
      <c r="F49">
        <v>11997</v>
      </c>
    </row>
    <row r="51" spans="1:18" ht="15">
      <c r="C51" s="15" t="s">
        <v>2567</v>
      </c>
      <c r="D51" s="15"/>
      <c r="E51" s="15"/>
      <c r="F51" s="15"/>
    </row>
    <row r="52" spans="1:18">
      <c r="C52" s="5" t="s">
        <v>10</v>
      </c>
      <c r="D52" s="5" t="s">
        <v>11</v>
      </c>
      <c r="E52" t="s">
        <v>2524</v>
      </c>
      <c r="F52" t="s">
        <v>2526</v>
      </c>
      <c r="H52" t="s">
        <v>10</v>
      </c>
      <c r="I52" t="s">
        <v>11</v>
      </c>
      <c r="J52" t="s">
        <v>2544</v>
      </c>
      <c r="M52" t="s">
        <v>10</v>
      </c>
      <c r="N52" t="s">
        <v>11</v>
      </c>
      <c r="O52" t="s">
        <v>2545</v>
      </c>
      <c r="R52" t="s">
        <v>2522</v>
      </c>
    </row>
    <row r="53" spans="1:18">
      <c r="C53" t="s">
        <v>19</v>
      </c>
      <c r="D53" t="s">
        <v>115</v>
      </c>
      <c r="E53">
        <v>579</v>
      </c>
      <c r="F53">
        <v>31884.999999999996</v>
      </c>
      <c r="H53" t="str">
        <f>IF(C53=0," ",C53)</f>
        <v>California</v>
      </c>
      <c r="I53" t="str">
        <f t="shared" ref="I53:J53" si="0">IF(D53=0," ",D53)</f>
        <v>Alameda County</v>
      </c>
      <c r="J53">
        <f t="shared" si="0"/>
        <v>579</v>
      </c>
      <c r="M53" t="str">
        <f>IF(C53=0," ",C53)</f>
        <v>California</v>
      </c>
      <c r="N53" t="str">
        <f t="shared" ref="N53" si="1">IF(D53=0," ",D53)</f>
        <v>Alameda County</v>
      </c>
      <c r="O53">
        <f>IF(F53=0," ",F53)</f>
        <v>31884.999999999996</v>
      </c>
      <c r="R53">
        <v>2400</v>
      </c>
    </row>
    <row r="54" spans="1:18">
      <c r="C54" t="s">
        <v>19</v>
      </c>
      <c r="D54" t="s">
        <v>20</v>
      </c>
      <c r="E54">
        <v>1</v>
      </c>
      <c r="F54">
        <v>10.9</v>
      </c>
      <c r="H54" t="str">
        <f t="shared" ref="H54:H110" si="2">IF(C54=0," ",C54)</f>
        <v>California</v>
      </c>
      <c r="I54" t="str">
        <f t="shared" ref="I54:I110" si="3">IF(D54=0," ",D54)</f>
        <v>Alpine County</v>
      </c>
      <c r="J54">
        <f t="shared" ref="J54:J110" si="4">IF(E54=0," ",E54)</f>
        <v>1</v>
      </c>
      <c r="M54" t="str">
        <f t="shared" ref="M54:M110" si="5">IF(C54=0," ",C54)</f>
        <v>California</v>
      </c>
      <c r="N54" t="str">
        <f t="shared" ref="N54:N110" si="6">IF(D54=0," ",D54)</f>
        <v>Alpine County</v>
      </c>
      <c r="O54">
        <f t="shared" ref="O54:O110" si="7">IF(F54=0," ",F54)</f>
        <v>10.9</v>
      </c>
    </row>
    <row r="55" spans="1:18">
      <c r="C55" t="s">
        <v>19</v>
      </c>
      <c r="D55" t="s">
        <v>641</v>
      </c>
      <c r="E55">
        <v>9</v>
      </c>
      <c r="F55">
        <v>800.3</v>
      </c>
      <c r="H55" t="str">
        <f t="shared" si="2"/>
        <v>California</v>
      </c>
      <c r="I55" t="str">
        <f t="shared" si="3"/>
        <v>Amador County</v>
      </c>
      <c r="J55">
        <f t="shared" si="4"/>
        <v>9</v>
      </c>
      <c r="M55" t="str">
        <f t="shared" si="5"/>
        <v>California</v>
      </c>
      <c r="N55" t="str">
        <f t="shared" si="6"/>
        <v>Amador County</v>
      </c>
      <c r="O55">
        <f t="shared" si="7"/>
        <v>800.3</v>
      </c>
    </row>
    <row r="56" spans="1:18">
      <c r="C56" t="s">
        <v>19</v>
      </c>
      <c r="D56" t="s">
        <v>967</v>
      </c>
      <c r="E56">
        <v>35</v>
      </c>
      <c r="F56">
        <v>1062.5999999999999</v>
      </c>
      <c r="H56" t="str">
        <f t="shared" si="2"/>
        <v>California</v>
      </c>
      <c r="I56" t="str">
        <f t="shared" si="3"/>
        <v>Butte County</v>
      </c>
      <c r="J56">
        <f t="shared" si="4"/>
        <v>35</v>
      </c>
      <c r="M56" t="str">
        <f t="shared" si="5"/>
        <v>California</v>
      </c>
      <c r="N56" t="str">
        <f t="shared" si="6"/>
        <v>Butte County</v>
      </c>
      <c r="O56">
        <f t="shared" si="7"/>
        <v>1062.5999999999999</v>
      </c>
    </row>
    <row r="57" spans="1:18">
      <c r="C57" t="s">
        <v>19</v>
      </c>
      <c r="D57" t="s">
        <v>84</v>
      </c>
      <c r="E57">
        <v>12</v>
      </c>
      <c r="F57">
        <v>326.20000000000005</v>
      </c>
      <c r="H57" t="str">
        <f t="shared" si="2"/>
        <v>California</v>
      </c>
      <c r="I57" t="str">
        <f t="shared" si="3"/>
        <v>Calaveras County</v>
      </c>
      <c r="J57">
        <f t="shared" si="4"/>
        <v>12</v>
      </c>
      <c r="M57" t="str">
        <f t="shared" si="5"/>
        <v>California</v>
      </c>
      <c r="N57" t="str">
        <f t="shared" si="6"/>
        <v>Calaveras County</v>
      </c>
      <c r="O57">
        <f t="shared" si="7"/>
        <v>326.20000000000005</v>
      </c>
    </row>
    <row r="58" spans="1:18">
      <c r="C58" t="s">
        <v>19</v>
      </c>
      <c r="D58" t="s">
        <v>1383</v>
      </c>
      <c r="E58">
        <v>4</v>
      </c>
      <c r="F58">
        <v>167.5</v>
      </c>
      <c r="H58" t="str">
        <f t="shared" si="2"/>
        <v>California</v>
      </c>
      <c r="I58" t="str">
        <f t="shared" si="3"/>
        <v>Colusa County</v>
      </c>
      <c r="J58">
        <f t="shared" si="4"/>
        <v>4</v>
      </c>
      <c r="M58" t="str">
        <f t="shared" si="5"/>
        <v>California</v>
      </c>
      <c r="N58" t="str">
        <f t="shared" si="6"/>
        <v>Colusa County</v>
      </c>
      <c r="O58">
        <f t="shared" si="7"/>
        <v>167.5</v>
      </c>
    </row>
    <row r="59" spans="1:18">
      <c r="C59" t="s">
        <v>19</v>
      </c>
      <c r="D59" t="s">
        <v>24</v>
      </c>
      <c r="E59">
        <v>341</v>
      </c>
      <c r="F59">
        <v>16168.7</v>
      </c>
      <c r="H59" t="str">
        <f t="shared" si="2"/>
        <v>California</v>
      </c>
      <c r="I59" t="str">
        <f t="shared" si="3"/>
        <v>Contra Costa County</v>
      </c>
      <c r="J59">
        <f t="shared" si="4"/>
        <v>341</v>
      </c>
      <c r="M59" t="str">
        <f t="shared" si="5"/>
        <v>California</v>
      </c>
      <c r="N59" t="str">
        <f t="shared" si="6"/>
        <v>Contra Costa County</v>
      </c>
      <c r="O59">
        <f t="shared" si="7"/>
        <v>16168.7</v>
      </c>
    </row>
    <row r="60" spans="1:18">
      <c r="C60" t="s">
        <v>19</v>
      </c>
      <c r="D60" t="s">
        <v>2204</v>
      </c>
      <c r="E60">
        <v>13</v>
      </c>
      <c r="F60">
        <v>322.40000000000003</v>
      </c>
      <c r="H60" t="str">
        <f t="shared" si="2"/>
        <v>California</v>
      </c>
      <c r="I60" t="str">
        <f t="shared" si="3"/>
        <v>Del Norte County</v>
      </c>
      <c r="J60">
        <f t="shared" si="4"/>
        <v>13</v>
      </c>
      <c r="M60" t="str">
        <f t="shared" si="5"/>
        <v>California</v>
      </c>
      <c r="N60" t="str">
        <f t="shared" si="6"/>
        <v>Del Norte County</v>
      </c>
      <c r="O60">
        <f t="shared" si="7"/>
        <v>322.40000000000003</v>
      </c>
    </row>
    <row r="61" spans="1:18">
      <c r="C61" t="s">
        <v>19</v>
      </c>
      <c r="D61" t="s">
        <v>437</v>
      </c>
      <c r="E61">
        <v>31</v>
      </c>
      <c r="F61">
        <v>2092.8000000000002</v>
      </c>
      <c r="H61" t="str">
        <f t="shared" si="2"/>
        <v>California</v>
      </c>
      <c r="I61" t="str">
        <f t="shared" si="3"/>
        <v>El Dorado County</v>
      </c>
      <c r="J61">
        <f t="shared" si="4"/>
        <v>31</v>
      </c>
      <c r="M61" t="str">
        <f t="shared" si="5"/>
        <v>California</v>
      </c>
      <c r="N61" t="str">
        <f t="shared" si="6"/>
        <v>El Dorado County</v>
      </c>
      <c r="O61">
        <f t="shared" si="7"/>
        <v>2092.8000000000002</v>
      </c>
    </row>
    <row r="62" spans="1:18">
      <c r="C62" t="s">
        <v>19</v>
      </c>
      <c r="D62" t="s">
        <v>28</v>
      </c>
      <c r="E62">
        <v>279</v>
      </c>
      <c r="F62">
        <v>12662.500000000002</v>
      </c>
      <c r="H62" t="str">
        <f t="shared" si="2"/>
        <v>California</v>
      </c>
      <c r="I62" t="str">
        <f t="shared" si="3"/>
        <v>Fresno County</v>
      </c>
      <c r="J62">
        <f t="shared" si="4"/>
        <v>279</v>
      </c>
      <c r="M62" t="str">
        <f t="shared" si="5"/>
        <v>California</v>
      </c>
      <c r="N62" t="str">
        <f t="shared" si="6"/>
        <v>Fresno County</v>
      </c>
      <c r="O62">
        <f t="shared" si="7"/>
        <v>12662.500000000002</v>
      </c>
    </row>
    <row r="63" spans="1:18">
      <c r="C63" t="s">
        <v>19</v>
      </c>
      <c r="D63" t="s">
        <v>208</v>
      </c>
      <c r="E63">
        <v>9</v>
      </c>
      <c r="F63">
        <v>343.2</v>
      </c>
      <c r="H63" t="str">
        <f t="shared" si="2"/>
        <v>California</v>
      </c>
      <c r="I63" t="str">
        <f t="shared" si="3"/>
        <v>Glenn County</v>
      </c>
      <c r="J63">
        <f t="shared" si="4"/>
        <v>9</v>
      </c>
      <c r="M63" t="str">
        <f t="shared" si="5"/>
        <v>California</v>
      </c>
      <c r="N63" t="str">
        <f t="shared" si="6"/>
        <v>Glenn County</v>
      </c>
      <c r="O63">
        <f t="shared" si="7"/>
        <v>343.2</v>
      </c>
    </row>
    <row r="64" spans="1:18">
      <c r="C64" t="s">
        <v>19</v>
      </c>
      <c r="D64" t="s">
        <v>587</v>
      </c>
      <c r="E64">
        <v>49</v>
      </c>
      <c r="F64">
        <v>2188.2999999999997</v>
      </c>
      <c r="H64" t="str">
        <f t="shared" si="2"/>
        <v>California</v>
      </c>
      <c r="I64" t="str">
        <f t="shared" si="3"/>
        <v>Humboldt County</v>
      </c>
      <c r="J64">
        <f t="shared" si="4"/>
        <v>49</v>
      </c>
      <c r="M64" t="str">
        <f t="shared" si="5"/>
        <v>California</v>
      </c>
      <c r="N64" t="str">
        <f t="shared" si="6"/>
        <v>Humboldt County</v>
      </c>
      <c r="O64">
        <f t="shared" si="7"/>
        <v>2188.2999999999997</v>
      </c>
    </row>
    <row r="65" spans="3:15">
      <c r="C65" t="s">
        <v>19</v>
      </c>
      <c r="D65" t="s">
        <v>331</v>
      </c>
      <c r="E65">
        <v>59</v>
      </c>
      <c r="F65">
        <v>2661.5999999999995</v>
      </c>
      <c r="H65" t="str">
        <f t="shared" si="2"/>
        <v>California</v>
      </c>
      <c r="I65" t="str">
        <f t="shared" si="3"/>
        <v>Imperial County</v>
      </c>
      <c r="J65">
        <f t="shared" si="4"/>
        <v>59</v>
      </c>
      <c r="M65" t="str">
        <f t="shared" si="5"/>
        <v>California</v>
      </c>
      <c r="N65" t="str">
        <f t="shared" si="6"/>
        <v>Imperial County</v>
      </c>
      <c r="O65">
        <f t="shared" si="7"/>
        <v>2661.5999999999995</v>
      </c>
    </row>
    <row r="66" spans="3:15">
      <c r="C66" t="s">
        <v>19</v>
      </c>
      <c r="D66" t="s">
        <v>86</v>
      </c>
      <c r="E66">
        <v>8</v>
      </c>
      <c r="F66">
        <v>887.5</v>
      </c>
      <c r="H66" t="str">
        <f t="shared" si="2"/>
        <v>California</v>
      </c>
      <c r="I66" t="str">
        <f t="shared" si="3"/>
        <v>Inyo County</v>
      </c>
      <c r="J66">
        <f t="shared" si="4"/>
        <v>8</v>
      </c>
      <c r="M66" t="str">
        <f t="shared" si="5"/>
        <v>California</v>
      </c>
      <c r="N66" t="str">
        <f t="shared" si="6"/>
        <v>Inyo County</v>
      </c>
      <c r="O66">
        <f t="shared" si="7"/>
        <v>887.5</v>
      </c>
    </row>
    <row r="67" spans="3:15">
      <c r="C67" t="s">
        <v>19</v>
      </c>
      <c r="D67" t="s">
        <v>147</v>
      </c>
      <c r="E67">
        <v>222</v>
      </c>
      <c r="F67">
        <v>11354.199999999993</v>
      </c>
      <c r="H67" t="str">
        <f t="shared" si="2"/>
        <v>California</v>
      </c>
      <c r="I67" t="str">
        <f t="shared" si="3"/>
        <v>Kern County</v>
      </c>
      <c r="J67">
        <f t="shared" si="4"/>
        <v>222</v>
      </c>
      <c r="M67" t="str">
        <f t="shared" si="5"/>
        <v>California</v>
      </c>
      <c r="N67" t="str">
        <f t="shared" si="6"/>
        <v>Kern County</v>
      </c>
      <c r="O67">
        <f t="shared" si="7"/>
        <v>11354.199999999993</v>
      </c>
    </row>
    <row r="68" spans="3:15">
      <c r="C68" t="s">
        <v>19</v>
      </c>
      <c r="D68" t="s">
        <v>334</v>
      </c>
      <c r="E68">
        <v>36</v>
      </c>
      <c r="F68">
        <v>1558.4</v>
      </c>
      <c r="H68" t="str">
        <f t="shared" si="2"/>
        <v>California</v>
      </c>
      <c r="I68" t="str">
        <f t="shared" si="3"/>
        <v>Kings County</v>
      </c>
      <c r="J68">
        <f t="shared" si="4"/>
        <v>36</v>
      </c>
      <c r="M68" t="str">
        <f t="shared" si="5"/>
        <v>California</v>
      </c>
      <c r="N68" t="str">
        <f t="shared" si="6"/>
        <v>Kings County</v>
      </c>
      <c r="O68">
        <f t="shared" si="7"/>
        <v>1558.4</v>
      </c>
    </row>
    <row r="69" spans="3:15">
      <c r="C69" t="s">
        <v>19</v>
      </c>
      <c r="D69" t="s">
        <v>949</v>
      </c>
      <c r="E69">
        <v>30</v>
      </c>
      <c r="F69">
        <v>2223.9</v>
      </c>
      <c r="H69" t="str">
        <f t="shared" si="2"/>
        <v>California</v>
      </c>
      <c r="I69" t="str">
        <f t="shared" si="3"/>
        <v>Lake County</v>
      </c>
      <c r="J69">
        <f t="shared" si="4"/>
        <v>30</v>
      </c>
      <c r="M69" t="str">
        <f t="shared" si="5"/>
        <v>California</v>
      </c>
      <c r="N69" t="str">
        <f t="shared" si="6"/>
        <v>Lake County</v>
      </c>
      <c r="O69">
        <f t="shared" si="7"/>
        <v>2223.9</v>
      </c>
    </row>
    <row r="70" spans="3:15">
      <c r="C70" t="s">
        <v>19</v>
      </c>
      <c r="D70" t="s">
        <v>1426</v>
      </c>
      <c r="E70">
        <v>1</v>
      </c>
      <c r="F70">
        <v>26.2</v>
      </c>
      <c r="H70" t="str">
        <f t="shared" si="2"/>
        <v>California</v>
      </c>
      <c r="I70" t="str">
        <f t="shared" si="3"/>
        <v>Lassen County</v>
      </c>
      <c r="J70">
        <f t="shared" si="4"/>
        <v>1</v>
      </c>
      <c r="M70" t="str">
        <f t="shared" si="5"/>
        <v>California</v>
      </c>
      <c r="N70" t="str">
        <f t="shared" si="6"/>
        <v>Lassen County</v>
      </c>
      <c r="O70">
        <f t="shared" si="7"/>
        <v>26.2</v>
      </c>
    </row>
    <row r="71" spans="3:15">
      <c r="C71" t="s">
        <v>19</v>
      </c>
      <c r="D71" t="s">
        <v>33</v>
      </c>
      <c r="E71">
        <v>3991</v>
      </c>
      <c r="F71">
        <v>215551.19999999981</v>
      </c>
      <c r="H71" t="str">
        <f t="shared" si="2"/>
        <v>California</v>
      </c>
      <c r="I71" t="str">
        <f t="shared" si="3"/>
        <v>Los Angeles County</v>
      </c>
      <c r="J71">
        <f t="shared" si="4"/>
        <v>3991</v>
      </c>
      <c r="M71" t="str">
        <f t="shared" si="5"/>
        <v>California</v>
      </c>
      <c r="N71" t="str">
        <f t="shared" si="6"/>
        <v>Los Angeles County</v>
      </c>
      <c r="O71">
        <f t="shared" si="7"/>
        <v>215551.19999999981</v>
      </c>
    </row>
    <row r="72" spans="3:15">
      <c r="C72" t="s">
        <v>19</v>
      </c>
      <c r="D72" t="s">
        <v>364</v>
      </c>
      <c r="E72">
        <v>45</v>
      </c>
      <c r="F72">
        <v>2687.3999999999996</v>
      </c>
      <c r="H72" t="str">
        <f t="shared" si="2"/>
        <v>California</v>
      </c>
      <c r="I72" t="str">
        <f t="shared" si="3"/>
        <v>Madera County</v>
      </c>
      <c r="J72">
        <f t="shared" si="4"/>
        <v>45</v>
      </c>
      <c r="M72" t="str">
        <f t="shared" si="5"/>
        <v>California</v>
      </c>
      <c r="N72" t="str">
        <f t="shared" si="6"/>
        <v>Madera County</v>
      </c>
      <c r="O72">
        <f t="shared" si="7"/>
        <v>2687.3999999999996</v>
      </c>
    </row>
    <row r="73" spans="3:15">
      <c r="C73" t="s">
        <v>19</v>
      </c>
      <c r="D73" t="s">
        <v>545</v>
      </c>
      <c r="E73">
        <v>39</v>
      </c>
      <c r="F73">
        <v>1463.3000000000002</v>
      </c>
      <c r="H73" t="str">
        <f t="shared" si="2"/>
        <v>California</v>
      </c>
      <c r="I73" t="str">
        <f t="shared" si="3"/>
        <v>Marin County</v>
      </c>
      <c r="J73">
        <f t="shared" si="4"/>
        <v>39</v>
      </c>
      <c r="M73" t="str">
        <f t="shared" si="5"/>
        <v>California</v>
      </c>
      <c r="N73" t="str">
        <f t="shared" si="6"/>
        <v>Marin County</v>
      </c>
      <c r="O73">
        <f t="shared" si="7"/>
        <v>1463.3000000000002</v>
      </c>
    </row>
    <row r="74" spans="3:15">
      <c r="C74" t="s">
        <v>19</v>
      </c>
      <c r="D74" t="s">
        <v>416</v>
      </c>
      <c r="E74">
        <v>6</v>
      </c>
      <c r="F74">
        <v>445.79999999999995</v>
      </c>
      <c r="H74" t="str">
        <f t="shared" si="2"/>
        <v>California</v>
      </c>
      <c r="I74" t="str">
        <f t="shared" si="3"/>
        <v>Mariposa County</v>
      </c>
      <c r="J74">
        <f t="shared" si="4"/>
        <v>6</v>
      </c>
      <c r="M74" t="str">
        <f t="shared" si="5"/>
        <v>California</v>
      </c>
      <c r="N74" t="str">
        <f t="shared" si="6"/>
        <v>Mariposa County</v>
      </c>
      <c r="O74">
        <f t="shared" si="7"/>
        <v>445.79999999999995</v>
      </c>
    </row>
    <row r="75" spans="3:15">
      <c r="C75" t="s">
        <v>19</v>
      </c>
      <c r="D75" t="s">
        <v>258</v>
      </c>
      <c r="E75">
        <v>9</v>
      </c>
      <c r="F75">
        <v>273.59999999999997</v>
      </c>
      <c r="H75" t="str">
        <f t="shared" si="2"/>
        <v>California</v>
      </c>
      <c r="I75" t="str">
        <f t="shared" si="3"/>
        <v>Mendocino County</v>
      </c>
      <c r="J75">
        <f t="shared" si="4"/>
        <v>9</v>
      </c>
      <c r="M75" t="str">
        <f t="shared" si="5"/>
        <v>California</v>
      </c>
      <c r="N75" t="str">
        <f t="shared" si="6"/>
        <v>Mendocino County</v>
      </c>
      <c r="O75">
        <f t="shared" si="7"/>
        <v>273.59999999999997</v>
      </c>
    </row>
    <row r="76" spans="3:15">
      <c r="C76" t="s">
        <v>19</v>
      </c>
      <c r="D76" t="s">
        <v>186</v>
      </c>
      <c r="E76">
        <v>60</v>
      </c>
      <c r="F76">
        <v>2690.4</v>
      </c>
      <c r="H76" t="str">
        <f t="shared" si="2"/>
        <v>California</v>
      </c>
      <c r="I76" t="str">
        <f t="shared" si="3"/>
        <v>Merced County</v>
      </c>
      <c r="J76">
        <f t="shared" si="4"/>
        <v>60</v>
      </c>
      <c r="M76" t="str">
        <f t="shared" si="5"/>
        <v>California</v>
      </c>
      <c r="N76" t="str">
        <f t="shared" si="6"/>
        <v>Merced County</v>
      </c>
      <c r="O76">
        <f t="shared" si="7"/>
        <v>2690.4</v>
      </c>
    </row>
    <row r="77" spans="3:15">
      <c r="C77" t="s">
        <v>19</v>
      </c>
      <c r="D77" t="s">
        <v>392</v>
      </c>
      <c r="E77">
        <v>2</v>
      </c>
      <c r="F77">
        <v>28.4</v>
      </c>
      <c r="H77" t="str">
        <f t="shared" si="2"/>
        <v>California</v>
      </c>
      <c r="I77" t="str">
        <f t="shared" si="3"/>
        <v>Modoc County</v>
      </c>
      <c r="J77">
        <f t="shared" si="4"/>
        <v>2</v>
      </c>
      <c r="M77" t="str">
        <f t="shared" si="5"/>
        <v>California</v>
      </c>
      <c r="N77" t="str">
        <f t="shared" si="6"/>
        <v>Modoc County</v>
      </c>
      <c r="O77">
        <f t="shared" si="7"/>
        <v>28.4</v>
      </c>
    </row>
    <row r="78" spans="3:15">
      <c r="C78" t="s">
        <v>19</v>
      </c>
      <c r="D78" t="s">
        <v>670</v>
      </c>
      <c r="E78">
        <v>4</v>
      </c>
      <c r="F78">
        <v>204.8</v>
      </c>
      <c r="H78" t="str">
        <f t="shared" si="2"/>
        <v>California</v>
      </c>
      <c r="I78" t="str">
        <f t="shared" si="3"/>
        <v>Mono County</v>
      </c>
      <c r="J78">
        <f t="shared" si="4"/>
        <v>4</v>
      </c>
      <c r="M78" t="str">
        <f t="shared" si="5"/>
        <v>California</v>
      </c>
      <c r="N78" t="str">
        <f t="shared" si="6"/>
        <v>Mono County</v>
      </c>
      <c r="O78">
        <f t="shared" si="7"/>
        <v>204.8</v>
      </c>
    </row>
    <row r="79" spans="3:15">
      <c r="C79" t="s">
        <v>19</v>
      </c>
      <c r="D79" t="s">
        <v>802</v>
      </c>
      <c r="E79">
        <v>31</v>
      </c>
      <c r="F79">
        <v>1607.8999999999999</v>
      </c>
      <c r="H79" t="str">
        <f t="shared" si="2"/>
        <v>California</v>
      </c>
      <c r="I79" t="str">
        <f t="shared" si="3"/>
        <v>Monterey County</v>
      </c>
      <c r="J79">
        <f t="shared" si="4"/>
        <v>31</v>
      </c>
      <c r="M79" t="str">
        <f t="shared" si="5"/>
        <v>California</v>
      </c>
      <c r="N79" t="str">
        <f t="shared" si="6"/>
        <v>Monterey County</v>
      </c>
      <c r="O79">
        <f t="shared" si="7"/>
        <v>1607.8999999999999</v>
      </c>
    </row>
    <row r="80" spans="3:15">
      <c r="C80" t="s">
        <v>19</v>
      </c>
      <c r="D80" t="s">
        <v>98</v>
      </c>
      <c r="E80">
        <v>88</v>
      </c>
      <c r="F80">
        <v>6444.9</v>
      </c>
      <c r="H80" t="str">
        <f t="shared" si="2"/>
        <v>California</v>
      </c>
      <c r="I80" t="str">
        <f t="shared" si="3"/>
        <v>Napa County</v>
      </c>
      <c r="J80">
        <f t="shared" si="4"/>
        <v>88</v>
      </c>
      <c r="M80" t="str">
        <f t="shared" si="5"/>
        <v>California</v>
      </c>
      <c r="N80" t="str">
        <f t="shared" si="6"/>
        <v>Napa County</v>
      </c>
      <c r="O80">
        <f t="shared" si="7"/>
        <v>6444.9</v>
      </c>
    </row>
    <row r="81" spans="3:15">
      <c r="C81" t="s">
        <v>19</v>
      </c>
      <c r="D81" t="s">
        <v>49</v>
      </c>
      <c r="E81">
        <v>25</v>
      </c>
      <c r="F81">
        <v>1809.3</v>
      </c>
      <c r="H81" t="str">
        <f t="shared" si="2"/>
        <v>California</v>
      </c>
      <c r="I81" t="str">
        <f t="shared" si="3"/>
        <v>Nevada County</v>
      </c>
      <c r="J81">
        <f t="shared" si="4"/>
        <v>25</v>
      </c>
      <c r="M81" t="str">
        <f t="shared" si="5"/>
        <v>California</v>
      </c>
      <c r="N81" t="str">
        <f t="shared" si="6"/>
        <v>Nevada County</v>
      </c>
      <c r="O81">
        <f t="shared" si="7"/>
        <v>1809.3</v>
      </c>
    </row>
    <row r="82" spans="3:15">
      <c r="C82" t="s">
        <v>19</v>
      </c>
      <c r="D82" t="s">
        <v>188</v>
      </c>
      <c r="E82">
        <v>178</v>
      </c>
      <c r="F82">
        <v>9680.399999999996</v>
      </c>
      <c r="H82" t="str">
        <f t="shared" si="2"/>
        <v>California</v>
      </c>
      <c r="I82" t="str">
        <f t="shared" si="3"/>
        <v>Orange County</v>
      </c>
      <c r="J82">
        <f t="shared" si="4"/>
        <v>178</v>
      </c>
      <c r="M82" t="str">
        <f t="shared" si="5"/>
        <v>California</v>
      </c>
      <c r="N82" t="str">
        <f t="shared" si="6"/>
        <v>Orange County</v>
      </c>
      <c r="O82">
        <f t="shared" si="7"/>
        <v>9680.399999999996</v>
      </c>
    </row>
    <row r="83" spans="3:15">
      <c r="C83" t="s">
        <v>19</v>
      </c>
      <c r="D83" t="s">
        <v>52</v>
      </c>
      <c r="E83">
        <v>141</v>
      </c>
      <c r="F83">
        <v>9414.7999999999993</v>
      </c>
      <c r="H83" t="str">
        <f t="shared" si="2"/>
        <v>California</v>
      </c>
      <c r="I83" t="str">
        <f t="shared" si="3"/>
        <v>Placer County</v>
      </c>
      <c r="J83">
        <f t="shared" si="4"/>
        <v>141</v>
      </c>
      <c r="M83" t="str">
        <f t="shared" si="5"/>
        <v>California</v>
      </c>
      <c r="N83" t="str">
        <f t="shared" si="6"/>
        <v>Placer County</v>
      </c>
      <c r="O83">
        <f t="shared" si="7"/>
        <v>9414.7999999999993</v>
      </c>
    </row>
    <row r="84" spans="3:15">
      <c r="C84" t="s">
        <v>19</v>
      </c>
      <c r="D84" t="s">
        <v>338</v>
      </c>
      <c r="E84">
        <v>6</v>
      </c>
      <c r="F84">
        <v>206.1</v>
      </c>
      <c r="H84" t="str">
        <f t="shared" si="2"/>
        <v>California</v>
      </c>
      <c r="I84" t="str">
        <f t="shared" si="3"/>
        <v>Plumas County</v>
      </c>
      <c r="J84">
        <f t="shared" si="4"/>
        <v>6</v>
      </c>
      <c r="M84" t="str">
        <f t="shared" si="5"/>
        <v>California</v>
      </c>
      <c r="N84" t="str">
        <f t="shared" si="6"/>
        <v>Plumas County</v>
      </c>
      <c r="O84">
        <f t="shared" si="7"/>
        <v>206.1</v>
      </c>
    </row>
    <row r="85" spans="3:15">
      <c r="C85" t="s">
        <v>19</v>
      </c>
      <c r="D85" t="s">
        <v>158</v>
      </c>
      <c r="E85">
        <v>178</v>
      </c>
      <c r="F85">
        <v>7691.3</v>
      </c>
      <c r="H85" t="str">
        <f t="shared" si="2"/>
        <v>California</v>
      </c>
      <c r="I85" t="str">
        <f t="shared" si="3"/>
        <v>Riverside County</v>
      </c>
      <c r="J85">
        <f t="shared" si="4"/>
        <v>178</v>
      </c>
      <c r="M85" t="str">
        <f t="shared" si="5"/>
        <v>California</v>
      </c>
      <c r="N85" t="str">
        <f t="shared" si="6"/>
        <v>Riverside County</v>
      </c>
      <c r="O85">
        <f t="shared" si="7"/>
        <v>7691.3</v>
      </c>
    </row>
    <row r="86" spans="3:15">
      <c r="C86" t="s">
        <v>19</v>
      </c>
      <c r="D86" t="s">
        <v>55</v>
      </c>
      <c r="E86">
        <v>699</v>
      </c>
      <c r="F86">
        <v>37784.900000000016</v>
      </c>
      <c r="H86" t="str">
        <f t="shared" si="2"/>
        <v>California</v>
      </c>
      <c r="I86" t="str">
        <f t="shared" si="3"/>
        <v>Sacramento County</v>
      </c>
      <c r="J86">
        <f t="shared" si="4"/>
        <v>699</v>
      </c>
      <c r="M86" t="str">
        <f t="shared" si="5"/>
        <v>California</v>
      </c>
      <c r="N86" t="str">
        <f t="shared" si="6"/>
        <v>Sacramento County</v>
      </c>
      <c r="O86">
        <f t="shared" si="7"/>
        <v>37784.900000000016</v>
      </c>
    </row>
    <row r="87" spans="3:15">
      <c r="C87" t="s">
        <v>19</v>
      </c>
      <c r="D87" t="s">
        <v>342</v>
      </c>
      <c r="E87">
        <v>23</v>
      </c>
      <c r="F87">
        <v>1129.7</v>
      </c>
      <c r="H87" t="str">
        <f t="shared" si="2"/>
        <v>California</v>
      </c>
      <c r="I87" t="str">
        <f t="shared" si="3"/>
        <v>San Benito County</v>
      </c>
      <c r="J87">
        <f t="shared" si="4"/>
        <v>23</v>
      </c>
      <c r="M87" t="str">
        <f t="shared" si="5"/>
        <v>California</v>
      </c>
      <c r="N87" t="str">
        <f t="shared" si="6"/>
        <v>San Benito County</v>
      </c>
      <c r="O87">
        <f t="shared" si="7"/>
        <v>1129.7</v>
      </c>
    </row>
    <row r="88" spans="3:15">
      <c r="C88" t="s">
        <v>19</v>
      </c>
      <c r="D88" t="s">
        <v>59</v>
      </c>
      <c r="E88">
        <v>356</v>
      </c>
      <c r="F88">
        <v>20988.9</v>
      </c>
      <c r="H88" t="str">
        <f t="shared" si="2"/>
        <v>California</v>
      </c>
      <c r="I88" t="str">
        <f t="shared" si="3"/>
        <v>San Bernardino County</v>
      </c>
      <c r="J88">
        <f t="shared" si="4"/>
        <v>356</v>
      </c>
      <c r="M88" t="str">
        <f t="shared" si="5"/>
        <v>California</v>
      </c>
      <c r="N88" t="str">
        <f t="shared" si="6"/>
        <v>San Bernardino County</v>
      </c>
      <c r="O88">
        <f t="shared" si="7"/>
        <v>20988.9</v>
      </c>
    </row>
    <row r="89" spans="3:15">
      <c r="C89" t="s">
        <v>19</v>
      </c>
      <c r="D89" t="s">
        <v>62</v>
      </c>
      <c r="E89">
        <v>1768</v>
      </c>
      <c r="F89">
        <v>98367.099999999977</v>
      </c>
      <c r="H89" t="str">
        <f t="shared" si="2"/>
        <v>California</v>
      </c>
      <c r="I89" t="str">
        <f t="shared" si="3"/>
        <v>San Diego County</v>
      </c>
      <c r="J89">
        <f t="shared" si="4"/>
        <v>1768</v>
      </c>
      <c r="M89" t="str">
        <f t="shared" si="5"/>
        <v>California</v>
      </c>
      <c r="N89" t="str">
        <f t="shared" si="6"/>
        <v>San Diego County</v>
      </c>
      <c r="O89">
        <f t="shared" si="7"/>
        <v>98367.099999999977</v>
      </c>
    </row>
    <row r="90" spans="3:15">
      <c r="C90" t="s">
        <v>19</v>
      </c>
      <c r="D90" t="s">
        <v>103</v>
      </c>
      <c r="E90">
        <v>307</v>
      </c>
      <c r="F90">
        <v>21911.9</v>
      </c>
      <c r="H90" t="str">
        <f t="shared" si="2"/>
        <v>California</v>
      </c>
      <c r="I90" t="str">
        <f t="shared" si="3"/>
        <v>San Francisco</v>
      </c>
      <c r="J90">
        <f t="shared" si="4"/>
        <v>307</v>
      </c>
      <c r="M90" t="str">
        <f t="shared" si="5"/>
        <v>California</v>
      </c>
      <c r="N90" t="str">
        <f t="shared" si="6"/>
        <v>San Francisco</v>
      </c>
      <c r="O90">
        <f t="shared" si="7"/>
        <v>21911.9</v>
      </c>
    </row>
    <row r="91" spans="3:15">
      <c r="C91" t="s">
        <v>19</v>
      </c>
      <c r="D91" t="s">
        <v>201</v>
      </c>
      <c r="E91">
        <v>117</v>
      </c>
      <c r="F91">
        <v>5441.2</v>
      </c>
      <c r="H91" t="str">
        <f t="shared" si="2"/>
        <v>California</v>
      </c>
      <c r="I91" t="str">
        <f t="shared" si="3"/>
        <v>San Joaquin County</v>
      </c>
      <c r="J91">
        <f t="shared" si="4"/>
        <v>117</v>
      </c>
      <c r="M91" t="str">
        <f t="shared" si="5"/>
        <v>California</v>
      </c>
      <c r="N91" t="str">
        <f t="shared" si="6"/>
        <v>San Joaquin County</v>
      </c>
      <c r="O91">
        <f t="shared" si="7"/>
        <v>5441.2</v>
      </c>
    </row>
    <row r="92" spans="3:15">
      <c r="C92" t="s">
        <v>19</v>
      </c>
      <c r="D92" t="s">
        <v>429</v>
      </c>
      <c r="E92">
        <v>13</v>
      </c>
      <c r="F92">
        <v>392.8</v>
      </c>
      <c r="H92" t="str">
        <f t="shared" si="2"/>
        <v>California</v>
      </c>
      <c r="I92" t="str">
        <f t="shared" si="3"/>
        <v>San Luis Obispo County</v>
      </c>
      <c r="J92">
        <f t="shared" si="4"/>
        <v>13</v>
      </c>
      <c r="M92" t="str">
        <f t="shared" si="5"/>
        <v>California</v>
      </c>
      <c r="N92" t="str">
        <f t="shared" si="6"/>
        <v>San Luis Obispo County</v>
      </c>
      <c r="O92">
        <f t="shared" si="7"/>
        <v>392.8</v>
      </c>
    </row>
    <row r="93" spans="3:15">
      <c r="C93" t="s">
        <v>19</v>
      </c>
      <c r="D93" t="s">
        <v>72</v>
      </c>
      <c r="E93">
        <v>364</v>
      </c>
      <c r="F93">
        <v>16172.000000000005</v>
      </c>
      <c r="H93" t="str">
        <f t="shared" si="2"/>
        <v>California</v>
      </c>
      <c r="I93" t="str">
        <f t="shared" si="3"/>
        <v>San Mateo County</v>
      </c>
      <c r="J93">
        <f t="shared" si="4"/>
        <v>364</v>
      </c>
      <c r="M93" t="str">
        <f t="shared" si="5"/>
        <v>California</v>
      </c>
      <c r="N93" t="str">
        <f t="shared" si="6"/>
        <v>San Mateo County</v>
      </c>
      <c r="O93">
        <f t="shared" si="7"/>
        <v>16172.000000000005</v>
      </c>
    </row>
    <row r="94" spans="3:15">
      <c r="C94" t="s">
        <v>19</v>
      </c>
      <c r="D94" t="s">
        <v>74</v>
      </c>
      <c r="E94">
        <v>95</v>
      </c>
      <c r="F94">
        <v>4334.9999999999991</v>
      </c>
      <c r="H94" t="str">
        <f t="shared" si="2"/>
        <v>California</v>
      </c>
      <c r="I94" t="str">
        <f t="shared" si="3"/>
        <v>Santa Barbara County</v>
      </c>
      <c r="J94">
        <f t="shared" si="4"/>
        <v>95</v>
      </c>
      <c r="M94" t="str">
        <f t="shared" si="5"/>
        <v>California</v>
      </c>
      <c r="N94" t="str">
        <f t="shared" si="6"/>
        <v>Santa Barbara County</v>
      </c>
      <c r="O94">
        <f t="shared" si="7"/>
        <v>4334.9999999999991</v>
      </c>
    </row>
    <row r="95" spans="3:15">
      <c r="C95" t="s">
        <v>19</v>
      </c>
      <c r="D95" t="s">
        <v>77</v>
      </c>
      <c r="E95">
        <v>737</v>
      </c>
      <c r="F95">
        <v>37449.000000000007</v>
      </c>
      <c r="H95" t="str">
        <f t="shared" si="2"/>
        <v>California</v>
      </c>
      <c r="I95" t="str">
        <f t="shared" si="3"/>
        <v>Santa Clara County</v>
      </c>
      <c r="J95">
        <f t="shared" si="4"/>
        <v>737</v>
      </c>
      <c r="M95" t="str">
        <f t="shared" si="5"/>
        <v>California</v>
      </c>
      <c r="N95" t="str">
        <f t="shared" si="6"/>
        <v>Santa Clara County</v>
      </c>
      <c r="O95">
        <f t="shared" si="7"/>
        <v>37449.000000000007</v>
      </c>
    </row>
    <row r="96" spans="3:15">
      <c r="C96" t="s">
        <v>19</v>
      </c>
      <c r="D96" t="s">
        <v>309</v>
      </c>
      <c r="E96">
        <v>39</v>
      </c>
      <c r="F96">
        <v>2447.5</v>
      </c>
      <c r="H96" t="str">
        <f t="shared" si="2"/>
        <v>California</v>
      </c>
      <c r="I96" t="str">
        <f t="shared" si="3"/>
        <v>Santa Cruz County</v>
      </c>
      <c r="J96">
        <f t="shared" si="4"/>
        <v>39</v>
      </c>
      <c r="M96" t="str">
        <f t="shared" si="5"/>
        <v>California</v>
      </c>
      <c r="N96" t="str">
        <f t="shared" si="6"/>
        <v>Santa Cruz County</v>
      </c>
      <c r="O96">
        <f t="shared" si="7"/>
        <v>2447.5</v>
      </c>
    </row>
    <row r="97" spans="2:15">
      <c r="C97" t="s">
        <v>19</v>
      </c>
      <c r="D97" t="s">
        <v>1116</v>
      </c>
      <c r="E97">
        <v>56</v>
      </c>
      <c r="F97">
        <v>3391.1</v>
      </c>
      <c r="H97" t="str">
        <f t="shared" si="2"/>
        <v>California</v>
      </c>
      <c r="I97" t="str">
        <f t="shared" si="3"/>
        <v>Shasta County</v>
      </c>
      <c r="J97">
        <f t="shared" si="4"/>
        <v>56</v>
      </c>
      <c r="M97" t="str">
        <f t="shared" si="5"/>
        <v>California</v>
      </c>
      <c r="N97" t="str">
        <f t="shared" si="6"/>
        <v>Shasta County</v>
      </c>
      <c r="O97">
        <f t="shared" si="7"/>
        <v>3391.1</v>
      </c>
    </row>
    <row r="98" spans="2:15">
      <c r="C98" t="s">
        <v>19</v>
      </c>
      <c r="D98" t="s">
        <v>700</v>
      </c>
      <c r="E98">
        <v>2</v>
      </c>
      <c r="F98">
        <v>30.8</v>
      </c>
      <c r="H98" t="str">
        <f t="shared" si="2"/>
        <v>California</v>
      </c>
      <c r="I98" t="str">
        <f t="shared" si="3"/>
        <v>Sierra County</v>
      </c>
      <c r="J98">
        <f t="shared" si="4"/>
        <v>2</v>
      </c>
      <c r="M98" t="str">
        <f t="shared" si="5"/>
        <v>California</v>
      </c>
      <c r="N98" t="str">
        <f t="shared" si="6"/>
        <v>Sierra County</v>
      </c>
      <c r="O98">
        <f t="shared" si="7"/>
        <v>30.8</v>
      </c>
    </row>
    <row r="99" spans="2:15">
      <c r="C99" t="s">
        <v>19</v>
      </c>
      <c r="D99" t="s">
        <v>268</v>
      </c>
      <c r="E99">
        <v>8</v>
      </c>
      <c r="F99">
        <v>332.3</v>
      </c>
      <c r="H99" t="str">
        <f t="shared" si="2"/>
        <v>California</v>
      </c>
      <c r="I99" t="str">
        <f t="shared" si="3"/>
        <v>Siskiyou County</v>
      </c>
      <c r="J99">
        <f t="shared" si="4"/>
        <v>8</v>
      </c>
      <c r="M99" t="str">
        <f t="shared" si="5"/>
        <v>California</v>
      </c>
      <c r="N99" t="str">
        <f t="shared" si="6"/>
        <v>Siskiyou County</v>
      </c>
      <c r="O99">
        <f t="shared" si="7"/>
        <v>332.3</v>
      </c>
    </row>
    <row r="100" spans="2:15">
      <c r="C100" t="s">
        <v>19</v>
      </c>
      <c r="D100" t="s">
        <v>377</v>
      </c>
      <c r="E100">
        <v>52</v>
      </c>
      <c r="F100">
        <v>3175.9999999999995</v>
      </c>
      <c r="H100" t="str">
        <f t="shared" si="2"/>
        <v>California</v>
      </c>
      <c r="I100" t="str">
        <f t="shared" si="3"/>
        <v>Solano County</v>
      </c>
      <c r="J100">
        <f t="shared" si="4"/>
        <v>52</v>
      </c>
      <c r="M100" t="str">
        <f t="shared" si="5"/>
        <v>California</v>
      </c>
      <c r="N100" t="str">
        <f t="shared" si="6"/>
        <v>Solano County</v>
      </c>
      <c r="O100">
        <f t="shared" si="7"/>
        <v>3175.9999999999995</v>
      </c>
    </row>
    <row r="101" spans="2:15">
      <c r="C101" t="s">
        <v>19</v>
      </c>
      <c r="D101" t="s">
        <v>108</v>
      </c>
      <c r="E101">
        <v>295</v>
      </c>
      <c r="F101">
        <v>20939.600000000002</v>
      </c>
      <c r="H101" t="str">
        <f t="shared" si="2"/>
        <v>California</v>
      </c>
      <c r="I101" t="str">
        <f t="shared" si="3"/>
        <v>Sonoma County</v>
      </c>
      <c r="J101">
        <f t="shared" si="4"/>
        <v>295</v>
      </c>
      <c r="M101" t="str">
        <f t="shared" si="5"/>
        <v>California</v>
      </c>
      <c r="N101" t="str">
        <f t="shared" si="6"/>
        <v>Sonoma County</v>
      </c>
      <c r="O101">
        <f t="shared" si="7"/>
        <v>20939.600000000002</v>
      </c>
    </row>
    <row r="102" spans="2:15">
      <c r="C102" t="s">
        <v>19</v>
      </c>
      <c r="D102" t="s">
        <v>110</v>
      </c>
      <c r="E102">
        <v>195</v>
      </c>
      <c r="F102">
        <v>10185.899999999996</v>
      </c>
      <c r="H102" t="str">
        <f t="shared" si="2"/>
        <v>California</v>
      </c>
      <c r="I102" t="str">
        <f t="shared" si="3"/>
        <v>Stanislaus County</v>
      </c>
      <c r="J102">
        <f t="shared" si="4"/>
        <v>195</v>
      </c>
      <c r="M102" t="str">
        <f t="shared" si="5"/>
        <v>California</v>
      </c>
      <c r="N102" t="str">
        <f t="shared" si="6"/>
        <v>Stanislaus County</v>
      </c>
      <c r="O102">
        <f t="shared" si="7"/>
        <v>10185.899999999996</v>
      </c>
    </row>
    <row r="103" spans="2:15">
      <c r="C103" t="s">
        <v>19</v>
      </c>
      <c r="D103" t="s">
        <v>292</v>
      </c>
      <c r="E103">
        <v>20</v>
      </c>
      <c r="F103">
        <v>958.7</v>
      </c>
      <c r="H103" t="str">
        <f t="shared" si="2"/>
        <v>California</v>
      </c>
      <c r="I103" t="str">
        <f t="shared" si="3"/>
        <v>Sutter County</v>
      </c>
      <c r="J103">
        <f t="shared" si="4"/>
        <v>20</v>
      </c>
      <c r="M103" t="str">
        <f t="shared" si="5"/>
        <v>California</v>
      </c>
      <c r="N103" t="str">
        <f t="shared" si="6"/>
        <v>Sutter County</v>
      </c>
      <c r="O103">
        <f t="shared" si="7"/>
        <v>958.7</v>
      </c>
    </row>
    <row r="104" spans="2:15">
      <c r="C104" t="s">
        <v>19</v>
      </c>
      <c r="D104" t="s">
        <v>79</v>
      </c>
      <c r="E104">
        <v>6</v>
      </c>
      <c r="F104">
        <v>323</v>
      </c>
      <c r="H104" t="str">
        <f t="shared" si="2"/>
        <v>California</v>
      </c>
      <c r="I104" t="str">
        <f t="shared" si="3"/>
        <v>Tehama County</v>
      </c>
      <c r="J104">
        <f t="shared" si="4"/>
        <v>6</v>
      </c>
      <c r="M104" t="str">
        <f t="shared" si="5"/>
        <v>California</v>
      </c>
      <c r="N104" t="str">
        <f t="shared" si="6"/>
        <v>Tehama County</v>
      </c>
      <c r="O104">
        <f t="shared" si="7"/>
        <v>323</v>
      </c>
    </row>
    <row r="105" spans="2:15">
      <c r="C105" t="s">
        <v>19</v>
      </c>
      <c r="D105" t="s">
        <v>608</v>
      </c>
      <c r="E105">
        <v>5</v>
      </c>
      <c r="F105">
        <v>167.70000000000002</v>
      </c>
      <c r="H105" t="str">
        <f t="shared" si="2"/>
        <v>California</v>
      </c>
      <c r="I105" t="str">
        <f t="shared" si="3"/>
        <v>Trinity County</v>
      </c>
      <c r="J105">
        <f t="shared" si="4"/>
        <v>5</v>
      </c>
      <c r="M105" t="str">
        <f t="shared" si="5"/>
        <v>California</v>
      </c>
      <c r="N105" t="str">
        <f t="shared" si="6"/>
        <v>Trinity County</v>
      </c>
      <c r="O105">
        <f t="shared" si="7"/>
        <v>167.70000000000002</v>
      </c>
    </row>
    <row r="106" spans="2:15">
      <c r="C106" t="s">
        <v>19</v>
      </c>
      <c r="D106" t="s">
        <v>113</v>
      </c>
      <c r="E106">
        <v>94</v>
      </c>
      <c r="F106">
        <v>3978.5</v>
      </c>
      <c r="H106" t="str">
        <f t="shared" si="2"/>
        <v>California</v>
      </c>
      <c r="I106" t="str">
        <f t="shared" si="3"/>
        <v>Tulare County</v>
      </c>
      <c r="J106">
        <f t="shared" si="4"/>
        <v>94</v>
      </c>
      <c r="M106" t="str">
        <f t="shared" si="5"/>
        <v>California</v>
      </c>
      <c r="N106" t="str">
        <f t="shared" si="6"/>
        <v>Tulare County</v>
      </c>
      <c r="O106">
        <f t="shared" si="7"/>
        <v>3978.5</v>
      </c>
    </row>
    <row r="107" spans="2:15">
      <c r="C107" t="s">
        <v>19</v>
      </c>
      <c r="D107" t="s">
        <v>997</v>
      </c>
      <c r="E107">
        <v>28</v>
      </c>
      <c r="F107">
        <v>1405</v>
      </c>
      <c r="H107" t="str">
        <f t="shared" si="2"/>
        <v>California</v>
      </c>
      <c r="I107" t="str">
        <f t="shared" si="3"/>
        <v>Tuolumne County</v>
      </c>
      <c r="J107">
        <f t="shared" si="4"/>
        <v>28</v>
      </c>
      <c r="M107" t="str">
        <f t="shared" si="5"/>
        <v>California</v>
      </c>
      <c r="N107" t="str">
        <f t="shared" si="6"/>
        <v>Tuolumne County</v>
      </c>
      <c r="O107">
        <f t="shared" si="7"/>
        <v>1405</v>
      </c>
    </row>
    <row r="108" spans="2:15">
      <c r="C108" t="s">
        <v>19</v>
      </c>
      <c r="D108" t="s">
        <v>82</v>
      </c>
      <c r="E108">
        <v>179</v>
      </c>
      <c r="F108">
        <v>9869.0999999999985</v>
      </c>
      <c r="H108" t="str">
        <f t="shared" si="2"/>
        <v>California</v>
      </c>
      <c r="I108" t="str">
        <f t="shared" si="3"/>
        <v>Ventura County</v>
      </c>
      <c r="J108">
        <f t="shared" si="4"/>
        <v>179</v>
      </c>
      <c r="M108" t="str">
        <f t="shared" si="5"/>
        <v>California</v>
      </c>
      <c r="N108" t="str">
        <f t="shared" si="6"/>
        <v>Ventura County</v>
      </c>
      <c r="O108">
        <f t="shared" si="7"/>
        <v>9869.0999999999985</v>
      </c>
    </row>
    <row r="109" spans="2:15">
      <c r="C109" t="s">
        <v>19</v>
      </c>
      <c r="D109" t="s">
        <v>243</v>
      </c>
      <c r="E109">
        <v>15</v>
      </c>
      <c r="F109">
        <v>615.29999999999995</v>
      </c>
      <c r="H109" t="str">
        <f t="shared" si="2"/>
        <v>California</v>
      </c>
      <c r="I109" t="str">
        <f t="shared" si="3"/>
        <v>Yolo County</v>
      </c>
      <c r="J109">
        <f t="shared" si="4"/>
        <v>15</v>
      </c>
      <c r="M109" t="str">
        <f t="shared" si="5"/>
        <v>California</v>
      </c>
      <c r="N109" t="str">
        <f t="shared" si="6"/>
        <v>Yolo County</v>
      </c>
      <c r="O109">
        <f t="shared" si="7"/>
        <v>615.29999999999995</v>
      </c>
    </row>
    <row r="110" spans="2:15">
      <c r="C110" t="s">
        <v>19</v>
      </c>
      <c r="D110" t="s">
        <v>1911</v>
      </c>
      <c r="E110">
        <v>3</v>
      </c>
      <c r="F110">
        <v>285</v>
      </c>
      <c r="H110" t="str">
        <f t="shared" si="2"/>
        <v>California</v>
      </c>
      <c r="I110" t="str">
        <f t="shared" si="3"/>
        <v>Yuba County</v>
      </c>
      <c r="J110">
        <f t="shared" si="4"/>
        <v>3</v>
      </c>
      <c r="M110" t="str">
        <f t="shared" si="5"/>
        <v>California</v>
      </c>
      <c r="N110" t="str">
        <f t="shared" si="6"/>
        <v>Yuba County</v>
      </c>
      <c r="O110">
        <f t="shared" si="7"/>
        <v>285</v>
      </c>
    </row>
    <row r="112" spans="2:15" ht="15">
      <c r="B112" s="15" t="s">
        <v>2568</v>
      </c>
      <c r="C112" s="15"/>
      <c r="F112" s="15" t="s">
        <v>2569</v>
      </c>
      <c r="G112" s="15"/>
      <c r="H112" s="15"/>
      <c r="I112" s="15"/>
      <c r="J112" s="15"/>
      <c r="K112" s="15"/>
      <c r="L112" s="15"/>
    </row>
    <row r="113" spans="2:12">
      <c r="B113" s="5" t="s">
        <v>2</v>
      </c>
      <c r="C113" t="s">
        <v>2522</v>
      </c>
      <c r="F113" s="5" t="s">
        <v>2522</v>
      </c>
      <c r="G113" s="5" t="s">
        <v>2527</v>
      </c>
    </row>
    <row r="114" spans="2:12">
      <c r="B114" s="6">
        <v>0</v>
      </c>
      <c r="C114">
        <v>175</v>
      </c>
      <c r="F114" s="5" t="s">
        <v>2</v>
      </c>
      <c r="G114">
        <v>1</v>
      </c>
      <c r="H114">
        <v>2</v>
      </c>
      <c r="I114">
        <v>3</v>
      </c>
      <c r="J114">
        <v>4</v>
      </c>
      <c r="K114">
        <v>5</v>
      </c>
      <c r="L114" t="s">
        <v>2521</v>
      </c>
    </row>
    <row r="115" spans="2:12">
      <c r="B115" s="6">
        <v>1</v>
      </c>
      <c r="C115">
        <v>888</v>
      </c>
      <c r="F115" s="6" t="s">
        <v>2548</v>
      </c>
      <c r="G115">
        <v>7</v>
      </c>
      <c r="H115">
        <v>37</v>
      </c>
      <c r="I115">
        <v>150</v>
      </c>
      <c r="J115">
        <v>312</v>
      </c>
      <c r="K115">
        <v>224</v>
      </c>
      <c r="L115">
        <v>730</v>
      </c>
    </row>
    <row r="116" spans="2:12">
      <c r="B116" s="6">
        <v>2</v>
      </c>
      <c r="C116">
        <v>538</v>
      </c>
      <c r="F116" s="6" t="s">
        <v>2549</v>
      </c>
      <c r="G116">
        <v>8</v>
      </c>
      <c r="H116">
        <v>51</v>
      </c>
      <c r="I116">
        <v>182</v>
      </c>
      <c r="J116">
        <v>373</v>
      </c>
      <c r="K116">
        <v>247</v>
      </c>
      <c r="L116">
        <v>861</v>
      </c>
    </row>
    <row r="117" spans="2:12">
      <c r="B117" s="6">
        <v>3</v>
      </c>
      <c r="C117">
        <v>344</v>
      </c>
      <c r="F117" s="6" t="s">
        <v>2550</v>
      </c>
      <c r="G117">
        <v>6</v>
      </c>
      <c r="H117">
        <v>39</v>
      </c>
      <c r="I117">
        <v>163</v>
      </c>
      <c r="J117">
        <v>351</v>
      </c>
      <c r="K117">
        <v>250</v>
      </c>
      <c r="L117">
        <v>809</v>
      </c>
    </row>
    <row r="118" spans="2:12">
      <c r="B118" s="6">
        <v>4</v>
      </c>
      <c r="C118">
        <v>200</v>
      </c>
      <c r="F118" s="6" t="s">
        <v>2521</v>
      </c>
      <c r="G118">
        <v>21</v>
      </c>
      <c r="H118">
        <v>127</v>
      </c>
      <c r="I118">
        <v>495</v>
      </c>
      <c r="J118">
        <v>1036</v>
      </c>
      <c r="K118">
        <v>721</v>
      </c>
      <c r="L118">
        <v>2400</v>
      </c>
    </row>
    <row r="119" spans="2:12">
      <c r="B119" s="6">
        <v>5</v>
      </c>
      <c r="C119">
        <v>94</v>
      </c>
    </row>
    <row r="120" spans="2:12">
      <c r="B120" s="6" t="s">
        <v>2546</v>
      </c>
      <c r="C120">
        <v>83</v>
      </c>
    </row>
    <row r="121" spans="2:12">
      <c r="B121" s="6" t="s">
        <v>2560</v>
      </c>
      <c r="C121">
        <v>40</v>
      </c>
    </row>
    <row r="122" spans="2:12">
      <c r="B122" s="6" t="s">
        <v>2547</v>
      </c>
      <c r="C122">
        <v>38</v>
      </c>
    </row>
    <row r="123" spans="2:12">
      <c r="B123" s="6" t="s">
        <v>2521</v>
      </c>
      <c r="C123">
        <v>2400</v>
      </c>
    </row>
    <row r="126" spans="2:12" ht="15">
      <c r="C126" s="15" t="s">
        <v>2570</v>
      </c>
      <c r="D126" s="15"/>
      <c r="E126" s="15"/>
      <c r="F126" s="15"/>
    </row>
    <row r="128" spans="2:12">
      <c r="C128" s="5" t="s">
        <v>8</v>
      </c>
      <c r="D128" t="s">
        <v>2551</v>
      </c>
    </row>
    <row r="129" spans="3:16">
      <c r="C129" s="5" t="s">
        <v>14</v>
      </c>
      <c r="D129" t="s">
        <v>2551</v>
      </c>
    </row>
    <row r="131" spans="3:16">
      <c r="C131" t="s">
        <v>2522</v>
      </c>
      <c r="D131" t="s">
        <v>2524</v>
      </c>
      <c r="E131" t="s">
        <v>2526</v>
      </c>
      <c r="F131" t="s">
        <v>2536</v>
      </c>
      <c r="G131" t="s">
        <v>2523</v>
      </c>
      <c r="L131" t="s">
        <v>2518</v>
      </c>
      <c r="M131" t="s">
        <v>2</v>
      </c>
      <c r="N131" t="s">
        <v>4</v>
      </c>
      <c r="O131" t="s">
        <v>2537</v>
      </c>
      <c r="P131" t="s">
        <v>2538</v>
      </c>
    </row>
    <row r="132" spans="3:16">
      <c r="C132">
        <v>2400</v>
      </c>
      <c r="D132">
        <v>11997</v>
      </c>
      <c r="E132">
        <v>649019.80000000144</v>
      </c>
      <c r="F132">
        <v>3.9620833333333332</v>
      </c>
      <c r="G132">
        <v>2.3424999999999998</v>
      </c>
      <c r="L132" t="str">
        <f>IF(AND($D$129="(All)",$D$128="(All)")," ",TEXT(Pivot!C132,"#,##"))</f>
        <v xml:space="preserve"> </v>
      </c>
      <c r="M132" t="str">
        <f>IF(AND($D$129="(All)",$D$128="(All)")," ",TEXT(Pivot!D132,"#,##"))</f>
        <v xml:space="preserve"> </v>
      </c>
      <c r="N132" t="str">
        <f>IF(AND($D$129="(All)",$D$128="(All)")," ",TEXT(Pivot!E132,"$ #,##,.0 K"))</f>
        <v xml:space="preserve"> </v>
      </c>
      <c r="O132" t="str">
        <f>IF(AND($D$129="(All)",$D$128="(All)")," ",TEXT(Pivot!F132,"0.0"))</f>
        <v xml:space="preserve"> </v>
      </c>
      <c r="P132" t="str">
        <f>IF(AND($D$129="(All)",$D$128="(All)")," ",TEXT(Pivot!G132,"0.0"))</f>
        <v xml:space="preserve"> </v>
      </c>
    </row>
    <row r="147" spans="1:5" ht="15">
      <c r="A147" s="13"/>
      <c r="B147" s="13"/>
      <c r="C147" s="13"/>
      <c r="D147" s="13"/>
      <c r="E147" s="13"/>
    </row>
    <row r="151" spans="1:5" ht="15">
      <c r="A151" s="13"/>
      <c r="B151" s="13"/>
      <c r="C151" s="13"/>
      <c r="D151" s="13"/>
      <c r="E151" s="13"/>
    </row>
    <row r="153" spans="1:5">
      <c r="A153" s="5" t="s">
        <v>2552</v>
      </c>
      <c r="B153" s="6">
        <v>2</v>
      </c>
    </row>
    <row r="155" spans="1:5">
      <c r="A155" s="5" t="s">
        <v>2520</v>
      </c>
      <c r="B155" t="s">
        <v>2522</v>
      </c>
    </row>
    <row r="156" spans="1:5">
      <c r="A156" s="6">
        <v>8</v>
      </c>
      <c r="B156">
        <v>58</v>
      </c>
    </row>
    <row r="157" spans="1:5">
      <c r="A157" s="6">
        <v>4</v>
      </c>
      <c r="B157">
        <v>51</v>
      </c>
    </row>
    <row r="158" spans="1:5">
      <c r="A158" s="6">
        <v>6</v>
      </c>
      <c r="B158">
        <v>50</v>
      </c>
    </row>
    <row r="159" spans="1:5">
      <c r="A159" s="6">
        <v>12</v>
      </c>
      <c r="B159">
        <v>47</v>
      </c>
    </row>
    <row r="160" spans="1:5">
      <c r="A160" s="6">
        <v>9</v>
      </c>
      <c r="B160">
        <v>47</v>
      </c>
    </row>
    <row r="161" spans="1:2">
      <c r="A161" s="6">
        <v>13</v>
      </c>
      <c r="B161">
        <v>46</v>
      </c>
    </row>
    <row r="162" spans="1:2">
      <c r="A162" s="6">
        <v>11</v>
      </c>
      <c r="B162">
        <v>44</v>
      </c>
    </row>
    <row r="163" spans="1:2">
      <c r="A163" s="6">
        <v>10</v>
      </c>
      <c r="B163">
        <v>42</v>
      </c>
    </row>
    <row r="164" spans="1:2">
      <c r="A164" s="6">
        <v>7</v>
      </c>
      <c r="B164">
        <v>42</v>
      </c>
    </row>
    <row r="165" spans="1:2">
      <c r="A165" s="6">
        <v>5</v>
      </c>
      <c r="B165">
        <v>41</v>
      </c>
    </row>
    <row r="166" spans="1:2">
      <c r="A166" s="6">
        <v>2</v>
      </c>
      <c r="B166">
        <v>30</v>
      </c>
    </row>
    <row r="167" spans="1:2">
      <c r="A167" s="6">
        <v>3</v>
      </c>
      <c r="B167">
        <v>24</v>
      </c>
    </row>
    <row r="168" spans="1:2">
      <c r="A168" s="6">
        <v>1</v>
      </c>
      <c r="B168">
        <v>18</v>
      </c>
    </row>
    <row r="169" spans="1:2">
      <c r="A169" s="6" t="s">
        <v>2521</v>
      </c>
      <c r="B169">
        <v>540</v>
      </c>
    </row>
  </sheetData>
  <mergeCells count="9">
    <mergeCell ref="C51:F51"/>
    <mergeCell ref="B112:C112"/>
    <mergeCell ref="F112:L112"/>
    <mergeCell ref="C126:F126"/>
    <mergeCell ref="A2:D2"/>
    <mergeCell ref="A6:C6"/>
    <mergeCell ref="E6:F6"/>
    <mergeCell ref="A25:F25"/>
    <mergeCell ref="H25:I25"/>
  </mergeCells>
  <pageMargins left="0.7" right="0.7" top="0.75" bottom="0.75" header="0.3" footer="0.3"/>
  <pageSetup paperSize="9" orientation="portrait" r:id="rId12"/>
  <drawing r:id="rId13"/>
  <extLst>
    <ext xmlns:x14="http://schemas.microsoft.com/office/spreadsheetml/2009/9/main" uri="{A8765BA9-456A-4dab-B4F3-ACF838C121DE}">
      <x14:slicerList>
        <x14:slicer r:id="rId14"/>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330498-B7A8-4CAD-BF22-B5AC8258D08B}">
  <sheetPr codeName="Sheet6"/>
  <dimension ref="A1:L20"/>
  <sheetViews>
    <sheetView showGridLines="0" workbookViewId="0">
      <selection activeCell="G13" sqref="G13"/>
    </sheetView>
  </sheetViews>
  <sheetFormatPr defaultRowHeight="14.25"/>
  <cols>
    <col min="1" max="1" width="14" bestFit="1" customWidth="1"/>
    <col min="2" max="2" width="16.125" bestFit="1" customWidth="1"/>
    <col min="3" max="3" width="7" bestFit="1" customWidth="1"/>
    <col min="4" max="4" width="6" bestFit="1" customWidth="1"/>
    <col min="5" max="5" width="9.125" bestFit="1" customWidth="1"/>
    <col min="6" max="6" width="11.375" bestFit="1" customWidth="1"/>
    <col min="8" max="8" width="12" customWidth="1"/>
    <col min="9" max="9" width="9.375" customWidth="1"/>
    <col min="10" max="10" width="8.25" customWidth="1"/>
    <col min="11" max="11" width="7.875" customWidth="1"/>
    <col min="12" max="12" width="9.375" customWidth="1"/>
  </cols>
  <sheetData>
    <row r="1" spans="1:12" ht="15">
      <c r="A1" s="15" t="s">
        <v>2562</v>
      </c>
      <c r="B1" s="15"/>
      <c r="C1" s="15"/>
      <c r="D1" s="15"/>
      <c r="E1" s="15"/>
      <c r="F1" s="15"/>
      <c r="H1" t="s">
        <v>2543</v>
      </c>
    </row>
    <row r="3" spans="1:12" ht="15" thickBot="1">
      <c r="A3" s="5" t="s">
        <v>2526</v>
      </c>
      <c r="B3" s="5" t="s">
        <v>2527</v>
      </c>
    </row>
    <row r="4" spans="1:12" ht="20.25" customHeight="1" thickTop="1" thickBot="1">
      <c r="A4" s="5" t="s">
        <v>2520</v>
      </c>
      <c r="B4" t="s">
        <v>2528</v>
      </c>
      <c r="C4" t="s">
        <v>2529</v>
      </c>
      <c r="D4" t="s">
        <v>2530</v>
      </c>
      <c r="E4" t="s">
        <v>2531</v>
      </c>
      <c r="F4" t="s">
        <v>2521</v>
      </c>
      <c r="H4" s="10"/>
      <c r="I4" s="12" t="str">
        <f>B4</f>
        <v>Female</v>
      </c>
      <c r="J4" s="12" t="str">
        <f t="shared" ref="J4:L9" si="0">C4</f>
        <v>Male</v>
      </c>
      <c r="K4" s="12" t="str">
        <f t="shared" si="0"/>
        <v>Other</v>
      </c>
      <c r="L4" s="12" t="str">
        <f t="shared" si="0"/>
        <v>Unknown</v>
      </c>
    </row>
    <row r="5" spans="1:12" ht="20.25" customHeight="1" thickTop="1" thickBot="1">
      <c r="A5" s="6" t="s">
        <v>18</v>
      </c>
      <c r="B5" s="9">
        <v>0.18961825201634841</v>
      </c>
      <c r="C5" s="9">
        <v>0.12262322351336576</v>
      </c>
      <c r="D5" s="9">
        <v>1.060537752469185E-2</v>
      </c>
      <c r="E5" s="9">
        <v>3.0599220547662797E-2</v>
      </c>
      <c r="F5" s="9">
        <v>0.35344607360206881</v>
      </c>
      <c r="H5" s="12" t="str">
        <f>A5</f>
        <v>App</v>
      </c>
      <c r="I5" s="11">
        <f t="shared" ref="I5:I9" si="1">B5</f>
        <v>0.18961825201634841</v>
      </c>
      <c r="J5" s="11">
        <f t="shared" si="0"/>
        <v>0.12262322351336576</v>
      </c>
      <c r="K5" s="11">
        <f t="shared" si="0"/>
        <v>1.060537752469185E-2</v>
      </c>
      <c r="L5" s="11">
        <f t="shared" si="0"/>
        <v>3.0599220547662797E-2</v>
      </c>
    </row>
    <row r="6" spans="1:12" ht="20.25" customHeight="1" thickTop="1" thickBot="1">
      <c r="A6" s="6" t="s">
        <v>51</v>
      </c>
      <c r="B6" s="9">
        <v>5.0283982091147303E-2</v>
      </c>
      <c r="C6" s="9">
        <v>4.3060781812819873E-2</v>
      </c>
      <c r="D6" s="9">
        <v>1.5320025675641944E-3</v>
      </c>
      <c r="E6" s="9">
        <v>1.7794988689097006E-2</v>
      </c>
      <c r="F6" s="9">
        <v>0.11267175516062837</v>
      </c>
      <c r="H6" s="12" t="str">
        <f t="shared" ref="H6:H9" si="2">A6</f>
        <v>Instagram</v>
      </c>
      <c r="I6" s="11">
        <f t="shared" si="1"/>
        <v>5.0283982091147303E-2</v>
      </c>
      <c r="J6" s="11">
        <f t="shared" si="0"/>
        <v>4.3060781812819873E-2</v>
      </c>
      <c r="K6" s="11">
        <f t="shared" si="0"/>
        <v>1.5320025675641944E-3</v>
      </c>
      <c r="L6" s="11">
        <f t="shared" si="0"/>
        <v>1.7794988689097006E-2</v>
      </c>
    </row>
    <row r="7" spans="1:12" ht="20.25" customHeight="1" thickTop="1" thickBot="1">
      <c r="A7" s="6" t="s">
        <v>70</v>
      </c>
      <c r="B7" s="9">
        <v>6.3496059750411282E-2</v>
      </c>
      <c r="C7" s="9">
        <v>4.6071629863988765E-2</v>
      </c>
      <c r="D7" s="9">
        <v>2.306247051322625E-3</v>
      </c>
      <c r="E7" s="9">
        <v>3.8927934093844286E-3</v>
      </c>
      <c r="F7" s="9">
        <v>0.11576673007510711</v>
      </c>
      <c r="H7" s="12" t="str">
        <f t="shared" si="2"/>
        <v>Partner App</v>
      </c>
      <c r="I7" s="11">
        <f t="shared" si="1"/>
        <v>6.3496059750411282E-2</v>
      </c>
      <c r="J7" s="11">
        <f t="shared" si="0"/>
        <v>4.6071629863988765E-2</v>
      </c>
      <c r="K7" s="11">
        <f t="shared" si="0"/>
        <v>2.306247051322625E-3</v>
      </c>
      <c r="L7" s="11">
        <f t="shared" si="0"/>
        <v>3.8927934093844286E-3</v>
      </c>
    </row>
    <row r="8" spans="1:12" ht="18.75" customHeight="1" thickTop="1" thickBot="1">
      <c r="A8" s="6" t="s">
        <v>40</v>
      </c>
      <c r="B8" s="9">
        <v>9.6337892927149532E-2</v>
      </c>
      <c r="C8" s="9">
        <v>6.7920115842382611E-2</v>
      </c>
      <c r="D8" s="9">
        <v>5.4979832664581261E-3</v>
      </c>
      <c r="E8" s="9">
        <v>1.2933041488102518E-2</v>
      </c>
      <c r="F8" s="9">
        <v>0.1826890335240928</v>
      </c>
      <c r="H8" s="12" t="str">
        <f t="shared" si="2"/>
        <v>Target.com</v>
      </c>
      <c r="I8" s="11">
        <f t="shared" si="1"/>
        <v>9.6337892927149532E-2</v>
      </c>
      <c r="J8" s="11">
        <f t="shared" si="0"/>
        <v>6.7920115842382611E-2</v>
      </c>
      <c r="K8" s="11">
        <f t="shared" si="0"/>
        <v>5.4979832664581261E-3</v>
      </c>
      <c r="L8" s="11">
        <f t="shared" si="0"/>
        <v>1.2933041488102518E-2</v>
      </c>
    </row>
    <row r="9" spans="1:12" ht="16.5" thickTop="1" thickBot="1">
      <c r="A9" s="6" t="s">
        <v>35</v>
      </c>
      <c r="B9" s="9">
        <v>0.12522098709469262</v>
      </c>
      <c r="C9" s="9">
        <v>9.1492740283116228E-2</v>
      </c>
      <c r="D9" s="9">
        <v>6.3042760790965081E-3</v>
      </c>
      <c r="E9" s="9">
        <v>1.2408404181197551E-2</v>
      </c>
      <c r="F9" s="9">
        <v>0.23542640763810288</v>
      </c>
      <c r="H9" s="12" t="str">
        <f t="shared" si="2"/>
        <v>Website</v>
      </c>
      <c r="I9" s="11">
        <f t="shared" si="1"/>
        <v>0.12522098709469262</v>
      </c>
      <c r="J9" s="11">
        <f t="shared" si="0"/>
        <v>9.1492740283116228E-2</v>
      </c>
      <c r="K9" s="11">
        <f t="shared" si="0"/>
        <v>6.3042760790965081E-3</v>
      </c>
      <c r="L9" s="11">
        <f t="shared" si="0"/>
        <v>1.2408404181197551E-2</v>
      </c>
    </row>
    <row r="10" spans="1:12" ht="15" thickTop="1">
      <c r="A10" s="6" t="s">
        <v>2521</v>
      </c>
      <c r="B10" s="9">
        <v>0.52495717387974916</v>
      </c>
      <c r="C10" s="9">
        <v>0.3711684913156732</v>
      </c>
      <c r="D10" s="9">
        <v>2.6245886489133303E-2</v>
      </c>
      <c r="E10" s="9">
        <v>7.7628448315444312E-2</v>
      </c>
      <c r="F10" s="9">
        <v>1</v>
      </c>
    </row>
    <row r="12" spans="1:12" ht="15">
      <c r="A12" s="15" t="s">
        <v>2563</v>
      </c>
      <c r="B12" s="15"/>
      <c r="C12" s="15"/>
      <c r="D12" s="15"/>
      <c r="E12" s="15"/>
      <c r="F12" s="15"/>
    </row>
    <row r="13" spans="1:12">
      <c r="A13" s="5" t="s">
        <v>2522</v>
      </c>
      <c r="B13" s="5" t="s">
        <v>2527</v>
      </c>
    </row>
    <row r="14" spans="1:12">
      <c r="A14" s="5" t="s">
        <v>2520</v>
      </c>
      <c r="B14" t="s">
        <v>2528</v>
      </c>
      <c r="C14" t="s">
        <v>2529</v>
      </c>
      <c r="D14" t="s">
        <v>2530</v>
      </c>
      <c r="E14" t="s">
        <v>2531</v>
      </c>
      <c r="F14" t="s">
        <v>2521</v>
      </c>
      <c r="I14" t="str">
        <f>B14</f>
        <v>Female</v>
      </c>
      <c r="J14" t="str">
        <f t="shared" ref="J14:L14" si="3">C14</f>
        <v>Male</v>
      </c>
      <c r="K14" t="str">
        <f t="shared" si="3"/>
        <v>Other</v>
      </c>
      <c r="L14" t="str">
        <f t="shared" si="3"/>
        <v>Unknown</v>
      </c>
    </row>
    <row r="15" spans="1:12">
      <c r="A15" s="6" t="s">
        <v>18</v>
      </c>
      <c r="B15" s="9">
        <v>0.19</v>
      </c>
      <c r="C15" s="9">
        <v>0.13958333333333334</v>
      </c>
      <c r="D15" s="9">
        <v>1.1666666666666667E-2</v>
      </c>
      <c r="E15" s="9">
        <v>2.0416666666666666E-2</v>
      </c>
      <c r="F15" s="9">
        <v>0.36166666666666669</v>
      </c>
      <c r="H15" t="str">
        <f>A15</f>
        <v>App</v>
      </c>
      <c r="I15" s="14">
        <f>B15</f>
        <v>0.19</v>
      </c>
      <c r="J15" s="14">
        <f t="shared" ref="J15:L15" si="4">C15</f>
        <v>0.13958333333333334</v>
      </c>
      <c r="K15" s="14">
        <f t="shared" si="4"/>
        <v>1.1666666666666667E-2</v>
      </c>
      <c r="L15" s="14">
        <f t="shared" si="4"/>
        <v>2.0416666666666666E-2</v>
      </c>
    </row>
    <row r="16" spans="1:12">
      <c r="A16" s="6" t="s">
        <v>51</v>
      </c>
      <c r="B16" s="9">
        <v>4.9583333333333333E-2</v>
      </c>
      <c r="C16" s="9">
        <v>4.5416666666666668E-2</v>
      </c>
      <c r="D16" s="9">
        <v>1.6666666666666668E-3</v>
      </c>
      <c r="E16" s="9">
        <v>6.6666666666666671E-3</v>
      </c>
      <c r="F16" s="9">
        <v>0.10333333333333333</v>
      </c>
      <c r="H16" t="str">
        <f t="shared" ref="H16:H19" si="5">A16</f>
        <v>Instagram</v>
      </c>
      <c r="I16" s="14">
        <f t="shared" ref="I16:I19" si="6">B16</f>
        <v>4.9583333333333333E-2</v>
      </c>
      <c r="J16" s="14">
        <f t="shared" ref="J16:J19" si="7">C16</f>
        <v>4.5416666666666668E-2</v>
      </c>
      <c r="K16" s="14">
        <f t="shared" ref="K16:K19" si="8">D16</f>
        <v>1.6666666666666668E-3</v>
      </c>
      <c r="L16" s="14">
        <f t="shared" ref="L16:L19" si="9">E16</f>
        <v>6.6666666666666671E-3</v>
      </c>
    </row>
    <row r="17" spans="1:12">
      <c r="A17" s="6" t="s">
        <v>70</v>
      </c>
      <c r="B17" s="9">
        <v>5.7916666666666665E-2</v>
      </c>
      <c r="C17" s="9">
        <v>4.2083333333333334E-2</v>
      </c>
      <c r="D17" s="9">
        <v>4.5833333333333334E-3</v>
      </c>
      <c r="E17" s="9">
        <v>4.5833333333333334E-3</v>
      </c>
      <c r="F17" s="9">
        <v>0.10916666666666666</v>
      </c>
      <c r="H17" t="str">
        <f t="shared" si="5"/>
        <v>Partner App</v>
      </c>
      <c r="I17" s="14">
        <f t="shared" si="6"/>
        <v>5.7916666666666665E-2</v>
      </c>
      <c r="J17" s="14">
        <f t="shared" si="7"/>
        <v>4.2083333333333334E-2</v>
      </c>
      <c r="K17" s="14">
        <f t="shared" si="8"/>
        <v>4.5833333333333334E-3</v>
      </c>
      <c r="L17" s="14">
        <f t="shared" si="9"/>
        <v>4.5833333333333334E-3</v>
      </c>
    </row>
    <row r="18" spans="1:12">
      <c r="A18" s="6" t="s">
        <v>40</v>
      </c>
      <c r="B18" s="9">
        <v>9.4166666666666662E-2</v>
      </c>
      <c r="C18" s="9">
        <v>7.6249999999999998E-2</v>
      </c>
      <c r="D18" s="9">
        <v>6.6666666666666671E-3</v>
      </c>
      <c r="E18" s="9">
        <v>1.1666666666666667E-2</v>
      </c>
      <c r="F18" s="9">
        <v>0.18875</v>
      </c>
      <c r="H18" t="str">
        <f t="shared" si="5"/>
        <v>Target.com</v>
      </c>
      <c r="I18" s="14">
        <f t="shared" si="6"/>
        <v>9.4166666666666662E-2</v>
      </c>
      <c r="J18" s="14">
        <f t="shared" si="7"/>
        <v>7.6249999999999998E-2</v>
      </c>
      <c r="K18" s="14">
        <f t="shared" si="8"/>
        <v>6.6666666666666671E-3</v>
      </c>
      <c r="L18" s="14">
        <f t="shared" si="9"/>
        <v>1.1666666666666667E-2</v>
      </c>
    </row>
    <row r="19" spans="1:12">
      <c r="A19" s="6" t="s">
        <v>35</v>
      </c>
      <c r="B19" s="9">
        <v>0.12125</v>
      </c>
      <c r="C19" s="9">
        <v>9.6250000000000002E-2</v>
      </c>
      <c r="D19" s="9">
        <v>6.6666666666666671E-3</v>
      </c>
      <c r="E19" s="9">
        <v>1.2916666666666667E-2</v>
      </c>
      <c r="F19" s="9">
        <v>0.23708333333333334</v>
      </c>
      <c r="H19" t="str">
        <f t="shared" si="5"/>
        <v>Website</v>
      </c>
      <c r="I19" s="14">
        <f t="shared" si="6"/>
        <v>0.12125</v>
      </c>
      <c r="J19" s="14">
        <f t="shared" si="7"/>
        <v>9.6250000000000002E-2</v>
      </c>
      <c r="K19" s="14">
        <f t="shared" si="8"/>
        <v>6.6666666666666671E-3</v>
      </c>
      <c r="L19" s="14">
        <f t="shared" si="9"/>
        <v>1.2916666666666667E-2</v>
      </c>
    </row>
    <row r="20" spans="1:12">
      <c r="A20" s="6" t="s">
        <v>2521</v>
      </c>
      <c r="B20" s="9">
        <v>0.51291666666666669</v>
      </c>
      <c r="C20" s="9">
        <v>0.39958333333333335</v>
      </c>
      <c r="D20" s="9">
        <v>3.125E-2</v>
      </c>
      <c r="E20" s="9">
        <v>5.6250000000000001E-2</v>
      </c>
      <c r="F20" s="9">
        <v>1</v>
      </c>
    </row>
  </sheetData>
  <mergeCells count="2">
    <mergeCell ref="A1:F1"/>
    <mergeCell ref="A12:F12"/>
  </mergeCells>
  <conditionalFormatting sqref="H4:L9">
    <cfRule type="colorScale" priority="2">
      <colorScale>
        <cfvo type="min"/>
        <cfvo type="percentile" val="50"/>
        <cfvo type="max"/>
        <color rgb="FFF8696B"/>
        <color rgb="FFFCFCFF"/>
        <color rgb="FF5A8AC6"/>
      </colorScale>
    </cfRule>
  </conditionalFormatting>
  <conditionalFormatting sqref="I15:L19">
    <cfRule type="colorScale" priority="1">
      <colorScale>
        <cfvo type="min"/>
        <cfvo type="percentile" val="50"/>
        <cfvo type="max"/>
        <color rgb="FFF8696B"/>
        <color rgb="FFFCFCFF"/>
        <color rgb="FF5A8AC6"/>
      </colorScale>
    </cfRule>
  </conditionalFormatting>
  <pageMargins left="0.7" right="0.7" top="0.75" bottom="0.75" header="0.3" footer="0.3"/>
  <pageSetup paperSize="9" orientation="portrait"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3B2F0D-BBD8-49CE-BBEC-ADAAF95874BE}">
  <sheetPr codeName="Sheet8"/>
  <dimension ref="A2:BM196"/>
  <sheetViews>
    <sheetView zoomScale="110" zoomScaleNormal="110" workbookViewId="0">
      <selection activeCell="H184" sqref="H184"/>
    </sheetView>
  </sheetViews>
  <sheetFormatPr defaultRowHeight="14.25"/>
  <cols>
    <col min="1" max="1" width="19.625" bestFit="1" customWidth="1"/>
    <col min="2" max="2" width="16.125" bestFit="1" customWidth="1"/>
    <col min="3" max="3" width="11.625" customWidth="1"/>
    <col min="4" max="4" width="19.625" bestFit="1" customWidth="1"/>
    <col min="5" max="5" width="14" bestFit="1" customWidth="1"/>
    <col min="6" max="6" width="14.25" bestFit="1" customWidth="1"/>
    <col min="7" max="7" width="15" bestFit="1" customWidth="1"/>
    <col min="8" max="8" width="16.875" bestFit="1" customWidth="1"/>
    <col min="9" max="9" width="18.375" bestFit="1" customWidth="1"/>
    <col min="10" max="10" width="18" bestFit="1" customWidth="1"/>
    <col min="11" max="11" width="15.125" bestFit="1" customWidth="1"/>
    <col min="12" max="12" width="13.5" bestFit="1" customWidth="1"/>
    <col min="13" max="13" width="21.875" bestFit="1" customWidth="1"/>
    <col min="14" max="14" width="14.875" bestFit="1" customWidth="1"/>
    <col min="15" max="15" width="17.25" bestFit="1" customWidth="1"/>
    <col min="16" max="16" width="19.5" bestFit="1" customWidth="1"/>
    <col min="17" max="17" width="14" bestFit="1" customWidth="1"/>
    <col min="18" max="18" width="12" bestFit="1" customWidth="1"/>
    <col min="19" max="19" width="16.875" bestFit="1" customWidth="1"/>
    <col min="20" max="20" width="14.625" bestFit="1" customWidth="1"/>
    <col min="21" max="21" width="14.375" bestFit="1" customWidth="1"/>
    <col min="22" max="22" width="13.375" bestFit="1" customWidth="1"/>
    <col min="23" max="23" width="16.375" bestFit="1" customWidth="1"/>
    <col min="24" max="24" width="12.125" bestFit="1" customWidth="1"/>
    <col min="25" max="25" width="18.75" bestFit="1" customWidth="1"/>
    <col min="26" max="26" width="20.375" bestFit="1" customWidth="1"/>
    <col min="27" max="27" width="13.5" bestFit="1" customWidth="1"/>
    <col min="28" max="28" width="13.75" bestFit="1" customWidth="1"/>
    <col min="29" max="29" width="13.875" bestFit="1" customWidth="1"/>
    <col min="30" max="30" width="14.5" bestFit="1" customWidth="1"/>
    <col min="31" max="31" width="14.375" bestFit="1" customWidth="1"/>
    <col min="32" max="32" width="14.75" bestFit="1" customWidth="1"/>
    <col min="33" max="33" width="17.625" bestFit="1" customWidth="1"/>
    <col min="34" max="34" width="11.875" bestFit="1" customWidth="1"/>
    <col min="35" max="35" width="16.25" bestFit="1" customWidth="1"/>
    <col min="36" max="36" width="16.5" bestFit="1" customWidth="1"/>
    <col min="37" max="37" width="14.5" bestFit="1" customWidth="1"/>
    <col min="38" max="38" width="16.125" bestFit="1" customWidth="1"/>
    <col min="39" max="39" width="12.75" bestFit="1" customWidth="1"/>
    <col min="40" max="40" width="12.625" bestFit="1" customWidth="1"/>
    <col min="41" max="41" width="16.625" bestFit="1" customWidth="1"/>
    <col min="42" max="42" width="17.625" bestFit="1" customWidth="1"/>
    <col min="43" max="43" width="12.5" bestFit="1" customWidth="1"/>
    <col min="44" max="44" width="13.25" bestFit="1" customWidth="1"/>
    <col min="45" max="45" width="11.25" bestFit="1" customWidth="1"/>
    <col min="46" max="46" width="14.375" bestFit="1" customWidth="1"/>
    <col min="47" max="47" width="11.625" bestFit="1" customWidth="1"/>
    <col min="48" max="48" width="15.875" bestFit="1" customWidth="1"/>
    <col min="49" max="49" width="22.5" bestFit="1" customWidth="1"/>
    <col min="50" max="50" width="13.125" bestFit="1" customWidth="1"/>
    <col min="51" max="51" width="15.125" bestFit="1" customWidth="1"/>
    <col min="52" max="52" width="16.625" bestFit="1" customWidth="1"/>
    <col min="53" max="53" width="14.75" bestFit="1" customWidth="1"/>
    <col min="54" max="54" width="16.25" bestFit="1" customWidth="1"/>
    <col min="55" max="55" width="12.125" bestFit="1" customWidth="1"/>
    <col min="56" max="56" width="17.75" bestFit="1" customWidth="1"/>
    <col min="57" max="57" width="14.125" bestFit="1" customWidth="1"/>
    <col min="58" max="58" width="12.625" bestFit="1" customWidth="1"/>
    <col min="59" max="59" width="13.375" bestFit="1" customWidth="1"/>
    <col min="60" max="60" width="13.875" bestFit="1" customWidth="1"/>
    <col min="61" max="61" width="13.125" bestFit="1" customWidth="1"/>
    <col min="62" max="62" width="13.75" bestFit="1" customWidth="1"/>
    <col min="63" max="63" width="14.125" bestFit="1" customWidth="1"/>
    <col min="64" max="64" width="13.25" bestFit="1" customWidth="1"/>
    <col min="65" max="65" width="11.375" bestFit="1" customWidth="1"/>
    <col min="66" max="66" width="12.625" bestFit="1" customWidth="1"/>
    <col min="67" max="67" width="14.375" bestFit="1" customWidth="1"/>
    <col min="68" max="68" width="17.75" bestFit="1" customWidth="1"/>
    <col min="69" max="69" width="11.625" bestFit="1" customWidth="1"/>
    <col min="70" max="70" width="12.625" bestFit="1" customWidth="1"/>
    <col min="71" max="71" width="14.75" bestFit="1" customWidth="1"/>
    <col min="72" max="72" width="16.625" bestFit="1" customWidth="1"/>
    <col min="73" max="73" width="13.25" bestFit="1" customWidth="1"/>
    <col min="74" max="74" width="12.75" bestFit="1" customWidth="1"/>
    <col min="75" max="75" width="12.125" bestFit="1" customWidth="1"/>
    <col min="76" max="76" width="14.375" bestFit="1" customWidth="1"/>
    <col min="77" max="77" width="20" bestFit="1" customWidth="1"/>
    <col min="78" max="78" width="18.75" bestFit="1" customWidth="1"/>
    <col min="79" max="79" width="21.875" bestFit="1" customWidth="1"/>
    <col min="80" max="80" width="16.875" bestFit="1" customWidth="1"/>
    <col min="81" max="81" width="14.375" bestFit="1" customWidth="1"/>
    <col min="82" max="82" width="12" bestFit="1" customWidth="1"/>
    <col min="83" max="83" width="15.125" bestFit="1" customWidth="1"/>
    <col min="84" max="84" width="18.375" bestFit="1" customWidth="1"/>
    <col min="85" max="85" width="18" bestFit="1" customWidth="1"/>
    <col min="86" max="86" width="16.375" bestFit="1" customWidth="1"/>
    <col min="87" max="87" width="12.75" bestFit="1" customWidth="1"/>
    <col min="88" max="88" width="17.25" bestFit="1" customWidth="1"/>
    <col min="89" max="89" width="14.375" bestFit="1" customWidth="1"/>
    <col min="90" max="90" width="16.625" bestFit="1" customWidth="1"/>
    <col min="91" max="91" width="12.125" bestFit="1" customWidth="1"/>
    <col min="92" max="92" width="13.5" bestFit="1" customWidth="1"/>
    <col min="93" max="93" width="14.125" bestFit="1" customWidth="1"/>
    <col min="94" max="94" width="16.25" bestFit="1" customWidth="1"/>
    <col min="95" max="95" width="14.5" bestFit="1" customWidth="1"/>
    <col min="96" max="96" width="14.125" bestFit="1" customWidth="1"/>
    <col min="97" max="97" width="16.5" bestFit="1" customWidth="1"/>
    <col min="98" max="98" width="15.375" bestFit="1" customWidth="1"/>
    <col min="99" max="99" width="18.75" bestFit="1" customWidth="1"/>
    <col min="100" max="100" width="15.125" bestFit="1" customWidth="1"/>
    <col min="101" max="101" width="18.375" bestFit="1" customWidth="1"/>
    <col min="102" max="102" width="21.875" bestFit="1" customWidth="1"/>
    <col min="103" max="103" width="14.375" bestFit="1" customWidth="1"/>
    <col min="104" max="104" width="16.875" bestFit="1" customWidth="1"/>
    <col min="105" max="105" width="18" bestFit="1" customWidth="1"/>
    <col min="106" max="106" width="14.625" bestFit="1" customWidth="1"/>
    <col min="107" max="107" width="12" bestFit="1" customWidth="1"/>
    <col min="108" max="108" width="14.5" bestFit="1" customWidth="1"/>
    <col min="109" max="109" width="13.5" bestFit="1" customWidth="1"/>
    <col min="110" max="110" width="14" bestFit="1" customWidth="1"/>
    <col min="111" max="111" width="14.875" bestFit="1" customWidth="1"/>
    <col min="112" max="112" width="16.375" bestFit="1" customWidth="1"/>
    <col min="113" max="113" width="16.875" bestFit="1" customWidth="1"/>
    <col min="114" max="114" width="20.375" bestFit="1" customWidth="1"/>
    <col min="115" max="115" width="12.125" bestFit="1" customWidth="1"/>
    <col min="116" max="116" width="18.75" bestFit="1" customWidth="1"/>
    <col min="117" max="117" width="13.5" bestFit="1" customWidth="1"/>
    <col min="118" max="118" width="12.5" bestFit="1" customWidth="1"/>
    <col min="119" max="119" width="16.5" bestFit="1" customWidth="1"/>
    <col min="120" max="120" width="17.25" bestFit="1" customWidth="1"/>
    <col min="121" max="121" width="19.5" bestFit="1" customWidth="1"/>
    <col min="122" max="122" width="13.375" bestFit="1" customWidth="1"/>
    <col min="123" max="123" width="12.625" bestFit="1" customWidth="1"/>
    <col min="124" max="124" width="15.125" bestFit="1" customWidth="1"/>
    <col min="125" max="125" width="11.625" bestFit="1" customWidth="1"/>
    <col min="126" max="126" width="18.125" bestFit="1" customWidth="1"/>
    <col min="127" max="127" width="23.125" bestFit="1" customWidth="1"/>
    <col min="128" max="128" width="16.875" bestFit="1" customWidth="1"/>
    <col min="129" max="129" width="18.375" bestFit="1" customWidth="1"/>
    <col min="130" max="130" width="18" bestFit="1" customWidth="1"/>
    <col min="131" max="131" width="13.5" bestFit="1" customWidth="1"/>
    <col min="132" max="132" width="13.375" bestFit="1" customWidth="1"/>
    <col min="133" max="133" width="15.125" bestFit="1" customWidth="1"/>
    <col min="134" max="134" width="19.5" bestFit="1" customWidth="1"/>
    <col min="135" max="135" width="17.25" bestFit="1" customWidth="1"/>
    <col min="136" max="136" width="16.875" bestFit="1" customWidth="1"/>
    <col min="137" max="137" width="13.75" bestFit="1" customWidth="1"/>
    <col min="138" max="138" width="14.875" bestFit="1" customWidth="1"/>
    <col min="139" max="139" width="14.375" bestFit="1" customWidth="1"/>
    <col min="140" max="140" width="14.75" bestFit="1" customWidth="1"/>
    <col min="141" max="141" width="14.375" bestFit="1" customWidth="1"/>
    <col min="142" max="142" width="14.625" bestFit="1" customWidth="1"/>
    <col min="143" max="143" width="12.625" bestFit="1" customWidth="1"/>
    <col min="144" max="144" width="12.75" bestFit="1" customWidth="1"/>
    <col min="145" max="145" width="17.625" bestFit="1" customWidth="1"/>
    <col min="146" max="146" width="21.875" bestFit="1" customWidth="1"/>
    <col min="147" max="147" width="17.625" bestFit="1" customWidth="1"/>
    <col min="148" max="148" width="12" bestFit="1" customWidth="1"/>
    <col min="149" max="149" width="14" bestFit="1" customWidth="1"/>
    <col min="150" max="150" width="26.5" bestFit="1" customWidth="1"/>
    <col min="151" max="151" width="18.75" bestFit="1" customWidth="1"/>
    <col min="152" max="152" width="16.875" bestFit="1" customWidth="1"/>
    <col min="153" max="153" width="18.375" bestFit="1" customWidth="1"/>
    <col min="154" max="154" width="15.125" bestFit="1" customWidth="1"/>
    <col min="155" max="155" width="13.375" bestFit="1" customWidth="1"/>
    <col min="156" max="156" width="18" bestFit="1" customWidth="1"/>
    <col min="157" max="157" width="21.875" bestFit="1" customWidth="1"/>
    <col min="158" max="158" width="17.25" bestFit="1" customWidth="1"/>
    <col min="159" max="159" width="19.5" bestFit="1" customWidth="1"/>
    <col min="160" max="160" width="14.875" bestFit="1" customWidth="1"/>
    <col min="161" max="161" width="13.875" bestFit="1" customWidth="1"/>
    <col min="162" max="162" width="16.375" bestFit="1" customWidth="1"/>
    <col min="163" max="163" width="12" bestFit="1" customWidth="1"/>
    <col min="164" max="164" width="16.125" bestFit="1" customWidth="1"/>
    <col min="165" max="165" width="11.875" bestFit="1" customWidth="1"/>
    <col min="166" max="166" width="14.625" bestFit="1" customWidth="1"/>
    <col min="167" max="167" width="14" bestFit="1" customWidth="1"/>
    <col min="168" max="168" width="13.5" bestFit="1" customWidth="1"/>
    <col min="169" max="169" width="14.375" bestFit="1" customWidth="1"/>
    <col min="170" max="170" width="13.75" bestFit="1" customWidth="1"/>
    <col min="171" max="171" width="12.125" bestFit="1" customWidth="1"/>
    <col min="172" max="172" width="18.75" bestFit="1" customWidth="1"/>
    <col min="173" max="173" width="14.5" bestFit="1" customWidth="1"/>
    <col min="174" max="174" width="20.375" bestFit="1" customWidth="1"/>
    <col min="175" max="175" width="13.5" bestFit="1" customWidth="1"/>
    <col min="176" max="176" width="14.375" bestFit="1" customWidth="1"/>
    <col min="177" max="177" width="16.875" bestFit="1" customWidth="1"/>
    <col min="178" max="178" width="17.625" bestFit="1" customWidth="1"/>
    <col min="179" max="179" width="14.375" bestFit="1" customWidth="1"/>
    <col min="180" max="180" width="16.5" bestFit="1" customWidth="1"/>
    <col min="181" max="181" width="13.25" bestFit="1" customWidth="1"/>
    <col min="182" max="182" width="14.75" bestFit="1" customWidth="1"/>
    <col min="183" max="183" width="14.5" bestFit="1" customWidth="1"/>
    <col min="184" max="184" width="13.375" bestFit="1" customWidth="1"/>
    <col min="185" max="185" width="13.875" bestFit="1" customWidth="1"/>
    <col min="186" max="186" width="15.125" bestFit="1" customWidth="1"/>
    <col min="187" max="187" width="11.125" bestFit="1" customWidth="1"/>
    <col min="188" max="188" width="18.75" bestFit="1" customWidth="1"/>
    <col min="189" max="189" width="14.875" bestFit="1" customWidth="1"/>
    <col min="190" max="190" width="16.875" bestFit="1" customWidth="1"/>
    <col min="191" max="191" width="19.5" bestFit="1" customWidth="1"/>
    <col min="192" max="192" width="18.375" bestFit="1" customWidth="1"/>
    <col min="193" max="193" width="17.25" bestFit="1" customWidth="1"/>
    <col min="194" max="194" width="12.75" bestFit="1" customWidth="1"/>
    <col min="195" max="195" width="14.625" bestFit="1" customWidth="1"/>
    <col min="196" max="196" width="12" bestFit="1" customWidth="1"/>
    <col min="197" max="197" width="13.375" bestFit="1" customWidth="1"/>
    <col min="198" max="198" width="15.125" bestFit="1" customWidth="1"/>
    <col min="199" max="199" width="18" bestFit="1" customWidth="1"/>
    <col min="200" max="200" width="14" bestFit="1" customWidth="1"/>
    <col min="201" max="201" width="12.625" bestFit="1" customWidth="1"/>
    <col min="202" max="202" width="18.75" bestFit="1" customWidth="1"/>
    <col min="203" max="203" width="14.875" bestFit="1" customWidth="1"/>
    <col min="204" max="204" width="16.875" bestFit="1" customWidth="1"/>
    <col min="205" max="205" width="21.875" bestFit="1" customWidth="1"/>
    <col min="206" max="206" width="15.125" bestFit="1" customWidth="1"/>
    <col min="207" max="207" width="18" bestFit="1" customWidth="1"/>
    <col min="208" max="208" width="19.5" bestFit="1" customWidth="1"/>
    <col min="209" max="209" width="17.25" bestFit="1" customWidth="1"/>
    <col min="210" max="210" width="16.375" bestFit="1" customWidth="1"/>
    <col min="211" max="211" width="13.25" bestFit="1" customWidth="1"/>
    <col min="212" max="212" width="14" bestFit="1" customWidth="1"/>
    <col min="213" max="213" width="18.375" bestFit="1" customWidth="1"/>
    <col min="214" max="214" width="14.375" bestFit="1" customWidth="1"/>
    <col min="215" max="215" width="20.375" bestFit="1" customWidth="1"/>
    <col min="216" max="216" width="14.75" bestFit="1" customWidth="1"/>
    <col min="217" max="217" width="12" bestFit="1" customWidth="1"/>
    <col min="218" max="218" width="14.625" bestFit="1" customWidth="1"/>
    <col min="219" max="219" width="14.5" bestFit="1" customWidth="1"/>
    <col min="220" max="220" width="11.625" bestFit="1" customWidth="1"/>
    <col min="221" max="221" width="16.875" bestFit="1" customWidth="1"/>
    <col min="222" max="222" width="14.375" bestFit="1" customWidth="1"/>
    <col min="223" max="223" width="13.5" bestFit="1" customWidth="1"/>
    <col min="224" max="224" width="13.375" bestFit="1" customWidth="1"/>
    <col min="225" max="225" width="14.25" bestFit="1" customWidth="1"/>
    <col min="226" max="226" width="18.75" bestFit="1" customWidth="1"/>
    <col min="227" max="227" width="16.875" bestFit="1" customWidth="1"/>
    <col min="228" max="228" width="18.375" bestFit="1" customWidth="1"/>
    <col min="229" max="229" width="18" bestFit="1" customWidth="1"/>
    <col min="230" max="230" width="17.25" bestFit="1" customWidth="1"/>
    <col min="231" max="231" width="13.375" bestFit="1" customWidth="1"/>
    <col min="232" max="232" width="15.125" bestFit="1" customWidth="1"/>
    <col min="233" max="233" width="12.75" bestFit="1" customWidth="1"/>
    <col min="234" max="234" width="14" bestFit="1" customWidth="1"/>
    <col min="235" max="235" width="19.5" bestFit="1" customWidth="1"/>
    <col min="236" max="236" width="16.625" bestFit="1" customWidth="1"/>
    <col min="237" max="237" width="12" bestFit="1" customWidth="1"/>
    <col min="238" max="238" width="14.625" bestFit="1" customWidth="1"/>
    <col min="239" max="239" width="14.75" bestFit="1" customWidth="1"/>
    <col min="240" max="240" width="16.375" bestFit="1" customWidth="1"/>
    <col min="241" max="241" width="16.25" bestFit="1" customWidth="1"/>
    <col min="242" max="242" width="14.375" bestFit="1" customWidth="1"/>
    <col min="243" max="243" width="13.5" bestFit="1" customWidth="1"/>
    <col min="244" max="244" width="13.125" bestFit="1" customWidth="1"/>
    <col min="245" max="245" width="18.125" bestFit="1" customWidth="1"/>
    <col min="246" max="246" width="18.75" bestFit="1" customWidth="1"/>
    <col min="247" max="247" width="18" bestFit="1" customWidth="1"/>
    <col min="248" max="248" width="13.5" bestFit="1" customWidth="1"/>
    <col min="249" max="250" width="16.875" bestFit="1" customWidth="1"/>
    <col min="251" max="251" width="16.25" bestFit="1" customWidth="1"/>
    <col min="252" max="252" width="19.5" bestFit="1" customWidth="1"/>
    <col min="253" max="253" width="14" bestFit="1" customWidth="1"/>
    <col min="254" max="254" width="12.5" bestFit="1" customWidth="1"/>
    <col min="255" max="255" width="17.625" bestFit="1" customWidth="1"/>
    <col min="256" max="256" width="14.375" bestFit="1" customWidth="1"/>
    <col min="257" max="257" width="17.25" bestFit="1" customWidth="1"/>
    <col min="258" max="258" width="20.375" bestFit="1" customWidth="1"/>
    <col min="259" max="259" width="12" bestFit="1" customWidth="1"/>
    <col min="260" max="260" width="15.125" bestFit="1" customWidth="1"/>
    <col min="261" max="261" width="18.375" bestFit="1" customWidth="1"/>
    <col min="262" max="262" width="14.5" bestFit="1" customWidth="1"/>
    <col min="263" max="263" width="21.875" bestFit="1" customWidth="1"/>
    <col min="264" max="264" width="16.75" bestFit="1" customWidth="1"/>
    <col min="265" max="265" width="18.75" bestFit="1" customWidth="1"/>
    <col min="266" max="266" width="15.125" bestFit="1" customWidth="1"/>
    <col min="267" max="267" width="16.875" bestFit="1" customWidth="1"/>
    <col min="268" max="268" width="18.375" bestFit="1" customWidth="1"/>
    <col min="269" max="269" width="13.5" bestFit="1" customWidth="1"/>
    <col min="270" max="270" width="14.375" bestFit="1" customWidth="1"/>
    <col min="271" max="271" width="18" bestFit="1" customWidth="1"/>
    <col min="272" max="272" width="14.75" bestFit="1" customWidth="1"/>
    <col min="273" max="273" width="14.5" bestFit="1" customWidth="1"/>
    <col min="274" max="274" width="17.25" bestFit="1" customWidth="1"/>
    <col min="275" max="275" width="21.875" bestFit="1" customWidth="1"/>
    <col min="276" max="276" width="14.625" bestFit="1" customWidth="1"/>
    <col min="277" max="277" width="14.875" bestFit="1" customWidth="1"/>
    <col min="278" max="278" width="18.75" bestFit="1" customWidth="1"/>
    <col min="279" max="279" width="13.875" bestFit="1" customWidth="1"/>
    <col min="280" max="280" width="16.875" bestFit="1" customWidth="1"/>
    <col min="281" max="281" width="12.125" bestFit="1" customWidth="1"/>
    <col min="282" max="282" width="11.875" bestFit="1" customWidth="1"/>
    <col min="283" max="283" width="14.375" bestFit="1" customWidth="1"/>
    <col min="284" max="284" width="16.625" bestFit="1" customWidth="1"/>
    <col min="285" max="285" width="12" bestFit="1" customWidth="1"/>
    <col min="286" max="286" width="14" bestFit="1" customWidth="1"/>
    <col min="287" max="287" width="20.375" bestFit="1" customWidth="1"/>
    <col min="288" max="288" width="11.625" bestFit="1" customWidth="1"/>
    <col min="289" max="289" width="16.25" bestFit="1" customWidth="1"/>
    <col min="290" max="290" width="16.375" bestFit="1" customWidth="1"/>
    <col min="291" max="291" width="19.5" bestFit="1" customWidth="1"/>
    <col min="292" max="292" width="13.25" bestFit="1" customWidth="1"/>
    <col min="293" max="293" width="13" bestFit="1" customWidth="1"/>
    <col min="294" max="294" width="18.75" bestFit="1" customWidth="1"/>
    <col min="295" max="295" width="16.875" bestFit="1" customWidth="1"/>
    <col min="296" max="296" width="15.125" bestFit="1" customWidth="1"/>
    <col min="297" max="297" width="17.25" bestFit="1" customWidth="1"/>
    <col min="298" max="298" width="18.375" bestFit="1" customWidth="1"/>
    <col min="299" max="299" width="12" bestFit="1" customWidth="1"/>
    <col min="300" max="300" width="14.875" bestFit="1" customWidth="1"/>
    <col min="301" max="301" width="19.5" bestFit="1" customWidth="1"/>
    <col min="302" max="302" width="14" bestFit="1" customWidth="1"/>
    <col min="303" max="303" width="13.5" bestFit="1" customWidth="1"/>
    <col min="304" max="304" width="21.875" bestFit="1" customWidth="1"/>
    <col min="305" max="305" width="14.375" bestFit="1" customWidth="1"/>
    <col min="306" max="306" width="17.625" bestFit="1" customWidth="1"/>
    <col min="307" max="307" width="11.625" bestFit="1" customWidth="1"/>
    <col min="308" max="308" width="14.625" bestFit="1" customWidth="1"/>
    <col min="309" max="309" width="22.5" bestFit="1" customWidth="1"/>
    <col min="310" max="310" width="13.5" bestFit="1" customWidth="1"/>
    <col min="311" max="311" width="18" bestFit="1" customWidth="1"/>
    <col min="312" max="312" width="14.375" bestFit="1" customWidth="1"/>
    <col min="313" max="313" width="17.75" bestFit="1" customWidth="1"/>
    <col min="314" max="314" width="16.875" bestFit="1" customWidth="1"/>
    <col min="315" max="315" width="12.125" bestFit="1" customWidth="1"/>
    <col min="316" max="316" width="17.625" bestFit="1" customWidth="1"/>
    <col min="317" max="317" width="16.125" bestFit="1" customWidth="1"/>
    <col min="318" max="318" width="13.125" bestFit="1" customWidth="1"/>
    <col min="319" max="319" width="14.5" bestFit="1" customWidth="1"/>
    <col min="320" max="321" width="13.375" bestFit="1" customWidth="1"/>
    <col min="322" max="322" width="13.25" bestFit="1" customWidth="1"/>
    <col min="323" max="323" width="11.75" bestFit="1" customWidth="1"/>
    <col min="324" max="324" width="18.75" bestFit="1" customWidth="1"/>
    <col min="325" max="325" width="16.875" bestFit="1" customWidth="1"/>
    <col min="326" max="326" width="13.5" bestFit="1" customWidth="1"/>
    <col min="327" max="327" width="18" bestFit="1" customWidth="1"/>
    <col min="328" max="328" width="18.375" bestFit="1" customWidth="1"/>
    <col min="329" max="329" width="21.875" bestFit="1" customWidth="1"/>
    <col min="330" max="330" width="14.875" bestFit="1" customWidth="1"/>
    <col min="331" max="331" width="15.125" bestFit="1" customWidth="1"/>
    <col min="332" max="332" width="19.5" bestFit="1" customWidth="1"/>
    <col min="333" max="333" width="12.125" bestFit="1" customWidth="1"/>
    <col min="334" max="334" width="14" bestFit="1" customWidth="1"/>
    <col min="335" max="335" width="16.875" bestFit="1" customWidth="1"/>
    <col min="336" max="336" width="14.625" bestFit="1" customWidth="1"/>
    <col min="337" max="337" width="12" bestFit="1" customWidth="1"/>
    <col min="338" max="338" width="17.25" bestFit="1" customWidth="1"/>
    <col min="339" max="339" width="17.625" bestFit="1" customWidth="1"/>
    <col min="340" max="340" width="16.5" bestFit="1" customWidth="1"/>
    <col min="341" max="341" width="13.375" bestFit="1" customWidth="1"/>
    <col min="342" max="342" width="16.375" bestFit="1" customWidth="1"/>
    <col min="343" max="343" width="13.75" bestFit="1" customWidth="1"/>
    <col min="344" max="344" width="11.25" bestFit="1" customWidth="1"/>
    <col min="345" max="345" width="13.5" bestFit="1" customWidth="1"/>
    <col min="346" max="346" width="16.25" bestFit="1" customWidth="1"/>
    <col min="347" max="347" width="18.75" bestFit="1" customWidth="1"/>
    <col min="348" max="348" width="14.5" bestFit="1" customWidth="1"/>
    <col min="349" max="351" width="14.375" bestFit="1" customWidth="1"/>
    <col min="352" max="352" width="12.125" bestFit="1" customWidth="1"/>
    <col min="353" max="353" width="14.5" bestFit="1" customWidth="1"/>
    <col min="354" max="354" width="12.625" bestFit="1" customWidth="1"/>
    <col min="355" max="355" width="20.375" bestFit="1" customWidth="1"/>
    <col min="356" max="356" width="22.5" bestFit="1" customWidth="1"/>
    <col min="357" max="357" width="17.625" bestFit="1" customWidth="1"/>
    <col min="358" max="358" width="14.125" bestFit="1" customWidth="1"/>
    <col min="359" max="359" width="14.375" bestFit="1" customWidth="1"/>
    <col min="360" max="360" width="18.75" bestFit="1" customWidth="1"/>
    <col min="361" max="361" width="16.875" bestFit="1" customWidth="1"/>
    <col min="362" max="362" width="14" bestFit="1" customWidth="1"/>
    <col min="363" max="363" width="18.375" bestFit="1" customWidth="1"/>
    <col min="364" max="364" width="17.25" bestFit="1" customWidth="1"/>
    <col min="365" max="365" width="18" bestFit="1" customWidth="1"/>
    <col min="366" max="366" width="19.5" bestFit="1" customWidth="1"/>
    <col min="367" max="367" width="16.625" bestFit="1" customWidth="1"/>
    <col min="368" max="368" width="15.125" bestFit="1" customWidth="1"/>
    <col min="369" max="369" width="13.5" bestFit="1" customWidth="1"/>
    <col min="370" max="370" width="21.875" bestFit="1" customWidth="1"/>
    <col min="371" max="371" width="14.625" bestFit="1" customWidth="1"/>
    <col min="372" max="372" width="16.875" bestFit="1" customWidth="1"/>
    <col min="373" max="373" width="16.375" bestFit="1" customWidth="1"/>
    <col min="374" max="375" width="16.25" bestFit="1" customWidth="1"/>
    <col min="376" max="376" width="12.625" bestFit="1" customWidth="1"/>
    <col min="377" max="377" width="14.75" bestFit="1" customWidth="1"/>
    <col min="378" max="378" width="20.375" bestFit="1" customWidth="1"/>
    <col min="379" max="379" width="13.5" bestFit="1" customWidth="1"/>
    <col min="380" max="380" width="14.375" bestFit="1" customWidth="1"/>
    <col min="381" max="381" width="12.5" bestFit="1" customWidth="1"/>
    <col min="382" max="382" width="12" bestFit="1" customWidth="1"/>
    <col min="383" max="383" width="18.75" bestFit="1" customWidth="1"/>
    <col min="384" max="384" width="12.75" bestFit="1" customWidth="1"/>
    <col min="385" max="385" width="14.375" bestFit="1" customWidth="1"/>
    <col min="386" max="386" width="14.75" bestFit="1" customWidth="1"/>
    <col min="387" max="387" width="16.625" bestFit="1" customWidth="1"/>
    <col min="388" max="388" width="18.75" bestFit="1" customWidth="1"/>
    <col min="389" max="389" width="18" bestFit="1" customWidth="1"/>
    <col min="390" max="390" width="18.375" bestFit="1" customWidth="1"/>
    <col min="391" max="391" width="15.125" bestFit="1" customWidth="1"/>
    <col min="392" max="392" width="16.875" bestFit="1" customWidth="1"/>
    <col min="393" max="393" width="14.375" bestFit="1" customWidth="1"/>
    <col min="394" max="394" width="14" bestFit="1" customWidth="1"/>
    <col min="395" max="395" width="13.5" bestFit="1" customWidth="1"/>
    <col min="396" max="396" width="14.875" bestFit="1" customWidth="1"/>
    <col min="397" max="397" width="21.875" bestFit="1" customWidth="1"/>
    <col min="398" max="398" width="17.25" bestFit="1" customWidth="1"/>
    <col min="399" max="399" width="13.5" bestFit="1" customWidth="1"/>
    <col min="400" max="400" width="16.875" bestFit="1" customWidth="1"/>
    <col min="401" max="401" width="14.625" bestFit="1" customWidth="1"/>
    <col min="402" max="402" width="13.375" bestFit="1" customWidth="1"/>
    <col min="403" max="403" width="18.75" bestFit="1" customWidth="1"/>
    <col min="404" max="404" width="19.5" bestFit="1" customWidth="1"/>
    <col min="405" max="405" width="13.75" bestFit="1" customWidth="1"/>
    <col min="406" max="406" width="12" bestFit="1" customWidth="1"/>
    <col min="407" max="407" width="14.375" bestFit="1" customWidth="1"/>
    <col min="408" max="408" width="16.25" bestFit="1" customWidth="1"/>
    <col min="409" max="409" width="18.75" bestFit="1" customWidth="1"/>
    <col min="410" max="410" width="16.875" bestFit="1" customWidth="1"/>
    <col min="411" max="411" width="18" bestFit="1" customWidth="1"/>
    <col min="412" max="412" width="18.375" bestFit="1" customWidth="1"/>
    <col min="413" max="413" width="17.25" bestFit="1" customWidth="1"/>
    <col min="414" max="414" width="21.875" bestFit="1" customWidth="1"/>
    <col min="415" max="415" width="14.875" bestFit="1" customWidth="1"/>
    <col min="416" max="416" width="14.375" bestFit="1" customWidth="1"/>
    <col min="417" max="417" width="19.5" bestFit="1" customWidth="1"/>
    <col min="418" max="418" width="15.125" bestFit="1" customWidth="1"/>
    <col min="419" max="419" width="12.125" bestFit="1" customWidth="1"/>
    <col min="420" max="420" width="16.875" bestFit="1" customWidth="1"/>
    <col min="421" max="421" width="13.5" bestFit="1" customWidth="1"/>
    <col min="422" max="422" width="13.375" bestFit="1" customWidth="1"/>
    <col min="423" max="423" width="12" bestFit="1" customWidth="1"/>
    <col min="424" max="424" width="20.375" bestFit="1" customWidth="1"/>
    <col min="425" max="425" width="14.5" bestFit="1" customWidth="1"/>
    <col min="426" max="426" width="14.625" bestFit="1" customWidth="1"/>
    <col min="427" max="427" width="14" bestFit="1" customWidth="1"/>
    <col min="428" max="428" width="16.25" bestFit="1" customWidth="1"/>
    <col min="429" max="429" width="16.375" bestFit="1" customWidth="1"/>
    <col min="430" max="430" width="13.5" bestFit="1" customWidth="1"/>
    <col min="431" max="431" width="13.875" bestFit="1" customWidth="1"/>
    <col min="432" max="432" width="12.5" bestFit="1" customWidth="1"/>
    <col min="433" max="433" width="18.75" bestFit="1" customWidth="1"/>
    <col min="434" max="434" width="15.875" bestFit="1" customWidth="1"/>
    <col min="435" max="435" width="14.5" bestFit="1" customWidth="1"/>
    <col min="436" max="436" width="14.375" bestFit="1" customWidth="1"/>
    <col min="437" max="437" width="12.75" bestFit="1" customWidth="1"/>
    <col min="438" max="438" width="15.375" bestFit="1" customWidth="1"/>
    <col min="439" max="439" width="18.75" bestFit="1" customWidth="1"/>
    <col min="440" max="440" width="18" bestFit="1" customWidth="1"/>
    <col min="441" max="441" width="16.875" bestFit="1" customWidth="1"/>
    <col min="442" max="442" width="18.375" bestFit="1" customWidth="1"/>
    <col min="443" max="443" width="14.625" bestFit="1" customWidth="1"/>
    <col min="444" max="444" width="14.875" bestFit="1" customWidth="1"/>
    <col min="445" max="445" width="14.75" bestFit="1" customWidth="1"/>
    <col min="446" max="446" width="19.5" bestFit="1" customWidth="1"/>
    <col min="447" max="447" width="13.5" bestFit="1" customWidth="1"/>
    <col min="448" max="448" width="14.5" bestFit="1" customWidth="1"/>
    <col min="449" max="449" width="13.5" bestFit="1" customWidth="1"/>
    <col min="450" max="450" width="15.125" bestFit="1" customWidth="1"/>
    <col min="451" max="451" width="18.75" bestFit="1" customWidth="1"/>
    <col min="452" max="452" width="16.875" bestFit="1" customWidth="1"/>
    <col min="453" max="453" width="18.375" bestFit="1" customWidth="1"/>
    <col min="454" max="454" width="18" bestFit="1" customWidth="1"/>
    <col min="455" max="455" width="16.875" bestFit="1" customWidth="1"/>
    <col min="456" max="456" width="19.5" bestFit="1" customWidth="1"/>
    <col min="457" max="457" width="15.125" bestFit="1" customWidth="1"/>
    <col min="458" max="458" width="17.25" bestFit="1" customWidth="1"/>
    <col min="459" max="459" width="16.375" bestFit="1" customWidth="1"/>
    <col min="460" max="460" width="21.875" bestFit="1" customWidth="1"/>
    <col min="461" max="461" width="18.75" bestFit="1" customWidth="1"/>
    <col min="462" max="462" width="14" bestFit="1" customWidth="1"/>
    <col min="463" max="463" width="14.375" bestFit="1" customWidth="1"/>
    <col min="464" max="464" width="12" bestFit="1" customWidth="1"/>
    <col min="465" max="465" width="14.875" bestFit="1" customWidth="1"/>
    <col min="466" max="466" width="13.5" bestFit="1" customWidth="1"/>
    <col min="467" max="467" width="12.625" bestFit="1" customWidth="1"/>
    <col min="468" max="468" width="14.75" bestFit="1" customWidth="1"/>
    <col min="469" max="469" width="11.875" bestFit="1" customWidth="1"/>
    <col min="470" max="470" width="20.375" bestFit="1" customWidth="1"/>
    <col min="471" max="471" width="17.625" bestFit="1" customWidth="1"/>
    <col min="472" max="472" width="12.75" bestFit="1" customWidth="1"/>
    <col min="473" max="473" width="14.625" bestFit="1" customWidth="1"/>
    <col min="474" max="474" width="13.5" bestFit="1" customWidth="1"/>
    <col min="475" max="475" width="15.125" bestFit="1" customWidth="1"/>
    <col min="476" max="476" width="16.25" bestFit="1" customWidth="1"/>
    <col min="477" max="477" width="16.625" bestFit="1" customWidth="1"/>
    <col min="478" max="478" width="17.625" bestFit="1" customWidth="1"/>
    <col min="479" max="479" width="12.125" bestFit="1" customWidth="1"/>
    <col min="480" max="480" width="13.125" bestFit="1" customWidth="1"/>
    <col min="481" max="481" width="13.75" bestFit="1" customWidth="1"/>
    <col min="482" max="482" width="22.5" bestFit="1" customWidth="1"/>
    <col min="483" max="483" width="12.5" bestFit="1" customWidth="1"/>
    <col min="484" max="484" width="11.25" bestFit="1" customWidth="1"/>
    <col min="485" max="485" width="17.75" bestFit="1" customWidth="1"/>
    <col min="486" max="486" width="16.125" bestFit="1" customWidth="1"/>
    <col min="487" max="487" width="14.5" bestFit="1" customWidth="1"/>
    <col min="488" max="488" width="13.25" bestFit="1" customWidth="1"/>
    <col min="489" max="489" width="13.375" bestFit="1" customWidth="1"/>
    <col min="490" max="490" width="14.5" bestFit="1" customWidth="1"/>
    <col min="491" max="491" width="13.125" bestFit="1" customWidth="1"/>
    <col min="492" max="492" width="18.75" bestFit="1" customWidth="1"/>
    <col min="493" max="493" width="15.125" bestFit="1" customWidth="1"/>
    <col min="494" max="494" width="16.875" bestFit="1" customWidth="1"/>
    <col min="495" max="495" width="18" bestFit="1" customWidth="1"/>
    <col min="496" max="496" width="17.25" bestFit="1" customWidth="1"/>
    <col min="497" max="497" width="21.875" bestFit="1" customWidth="1"/>
    <col min="498" max="498" width="14.875" bestFit="1" customWidth="1"/>
    <col min="499" max="499" width="18.375" bestFit="1" customWidth="1"/>
    <col min="500" max="500" width="13.5" bestFit="1" customWidth="1"/>
    <col min="501" max="501" width="12" bestFit="1" customWidth="1"/>
    <col min="502" max="502" width="15.875" bestFit="1" customWidth="1"/>
    <col min="503" max="503" width="14.5" bestFit="1" customWidth="1"/>
    <col min="504" max="504" width="14" bestFit="1" customWidth="1"/>
    <col min="505" max="505" width="16.875" bestFit="1" customWidth="1"/>
    <col min="506" max="506" width="19.5" bestFit="1" customWidth="1"/>
    <col min="507" max="507" width="17.625" bestFit="1" customWidth="1"/>
    <col min="508" max="508" width="13.5" bestFit="1" customWidth="1"/>
    <col min="509" max="509" width="20.375" bestFit="1" customWidth="1"/>
    <col min="510" max="510" width="13.875" bestFit="1" customWidth="1"/>
    <col min="511" max="511" width="18.5" bestFit="1" customWidth="1"/>
    <col min="512" max="512" width="11.375" bestFit="1" customWidth="1"/>
    <col min="513" max="513" width="10" bestFit="1" customWidth="1"/>
    <col min="514" max="514" width="13.375" bestFit="1" customWidth="1"/>
    <col min="515" max="515" width="13.625" bestFit="1" customWidth="1"/>
    <col min="516" max="516" width="10.25" bestFit="1" customWidth="1"/>
    <col min="517" max="517" width="18.625" bestFit="1" customWidth="1"/>
    <col min="518" max="518" width="18.375" bestFit="1" customWidth="1"/>
    <col min="519" max="519" width="6.875" bestFit="1" customWidth="1"/>
    <col min="520" max="520" width="11.5" bestFit="1" customWidth="1"/>
    <col min="521" max="521" width="14.875" bestFit="1" customWidth="1"/>
    <col min="522" max="522" width="13" bestFit="1" customWidth="1"/>
    <col min="523" max="523" width="21.875" bestFit="1" customWidth="1"/>
    <col min="524" max="524" width="16.375" bestFit="1" customWidth="1"/>
    <col min="525" max="525" width="6.875" bestFit="1" customWidth="1"/>
    <col min="526" max="526" width="13" bestFit="1" customWidth="1"/>
    <col min="527" max="527" width="9.25" bestFit="1" customWidth="1"/>
    <col min="528" max="528" width="7.875" bestFit="1" customWidth="1"/>
    <col min="529" max="529" width="10.25" bestFit="1" customWidth="1"/>
    <col min="530" max="530" width="14.875" bestFit="1" customWidth="1"/>
    <col min="531" max="531" width="8" bestFit="1" customWidth="1"/>
    <col min="532" max="532" width="21.375" bestFit="1" customWidth="1"/>
    <col min="533" max="533" width="6.75" bestFit="1" customWidth="1"/>
    <col min="534" max="534" width="11.5" bestFit="1" customWidth="1"/>
    <col min="535" max="535" width="13" bestFit="1" customWidth="1"/>
    <col min="536" max="536" width="10" bestFit="1" customWidth="1"/>
    <col min="537" max="537" width="7.625" bestFit="1" customWidth="1"/>
    <col min="538" max="538" width="13.625" bestFit="1" customWidth="1"/>
    <col min="539" max="539" width="11.125" bestFit="1" customWidth="1"/>
    <col min="540" max="540" width="9.125" bestFit="1" customWidth="1"/>
    <col min="541" max="541" width="19.75" bestFit="1" customWidth="1"/>
    <col min="542" max="542" width="13.375" bestFit="1" customWidth="1"/>
    <col min="543" max="543" width="14.875" bestFit="1" customWidth="1"/>
    <col min="544" max="544" width="6.75" bestFit="1" customWidth="1"/>
    <col min="545" max="545" width="13" bestFit="1" customWidth="1"/>
    <col min="546" max="546" width="9.125" bestFit="1" customWidth="1"/>
    <col min="547" max="547" width="16.75" bestFit="1" customWidth="1"/>
    <col min="548" max="548" width="13.875" bestFit="1" customWidth="1"/>
    <col min="549" max="549" width="17.375" bestFit="1" customWidth="1"/>
    <col min="550" max="550" width="11.375" bestFit="1" customWidth="1"/>
  </cols>
  <sheetData>
    <row r="2" spans="1:65" ht="15">
      <c r="A2" s="15" t="s">
        <v>2571</v>
      </c>
      <c r="B2" s="15"/>
      <c r="C2" s="15"/>
      <c r="D2" s="15"/>
      <c r="F2" s="15" t="s">
        <v>2572</v>
      </c>
      <c r="G2" s="15"/>
      <c r="H2" s="15"/>
      <c r="I2" s="15"/>
      <c r="J2" s="15"/>
      <c r="K2" s="15"/>
      <c r="L2" s="15"/>
      <c r="M2" s="15"/>
      <c r="N2" s="15"/>
      <c r="O2" s="15"/>
    </row>
    <row r="3" spans="1:65">
      <c r="A3" s="5" t="s">
        <v>2520</v>
      </c>
      <c r="B3" t="s">
        <v>2524</v>
      </c>
      <c r="C3" t="s">
        <v>2525</v>
      </c>
      <c r="D3" t="s">
        <v>2526</v>
      </c>
      <c r="F3" s="5" t="s">
        <v>2526</v>
      </c>
      <c r="G3" s="5" t="s">
        <v>2527</v>
      </c>
    </row>
    <row r="4" spans="1:65">
      <c r="A4" s="6" t="s">
        <v>26</v>
      </c>
      <c r="B4">
        <v>1186</v>
      </c>
      <c r="C4">
        <v>105.71578947368427</v>
      </c>
      <c r="D4">
        <v>127637.5</v>
      </c>
      <c r="F4" s="5" t="s">
        <v>2520</v>
      </c>
      <c r="G4" t="s">
        <v>33</v>
      </c>
      <c r="H4" t="s">
        <v>62</v>
      </c>
      <c r="I4" t="s">
        <v>55</v>
      </c>
      <c r="J4" t="s">
        <v>77</v>
      </c>
      <c r="K4" t="s">
        <v>115</v>
      </c>
      <c r="L4" t="s">
        <v>103</v>
      </c>
      <c r="M4" t="s">
        <v>59</v>
      </c>
      <c r="N4" t="s">
        <v>108</v>
      </c>
      <c r="O4" t="s">
        <v>72</v>
      </c>
      <c r="P4" t="s">
        <v>24</v>
      </c>
      <c r="Q4" t="s">
        <v>28</v>
      </c>
      <c r="R4" t="s">
        <v>147</v>
      </c>
      <c r="S4" t="s">
        <v>110</v>
      </c>
      <c r="T4" t="s">
        <v>82</v>
      </c>
      <c r="U4" t="s">
        <v>188</v>
      </c>
      <c r="V4" t="s">
        <v>52</v>
      </c>
      <c r="W4" t="s">
        <v>158</v>
      </c>
      <c r="X4" t="s">
        <v>98</v>
      </c>
      <c r="Y4" t="s">
        <v>201</v>
      </c>
      <c r="Z4" t="s">
        <v>74</v>
      </c>
      <c r="AA4" t="s">
        <v>113</v>
      </c>
      <c r="AB4" t="s">
        <v>1116</v>
      </c>
      <c r="AC4" t="s">
        <v>377</v>
      </c>
      <c r="AD4" t="s">
        <v>186</v>
      </c>
      <c r="AE4" t="s">
        <v>364</v>
      </c>
      <c r="AF4" t="s">
        <v>331</v>
      </c>
      <c r="AG4" t="s">
        <v>309</v>
      </c>
      <c r="AH4" t="s">
        <v>949</v>
      </c>
      <c r="AI4" t="s">
        <v>587</v>
      </c>
      <c r="AJ4" t="s">
        <v>437</v>
      </c>
      <c r="AK4" t="s">
        <v>49</v>
      </c>
      <c r="AL4" t="s">
        <v>802</v>
      </c>
      <c r="AM4" t="s">
        <v>334</v>
      </c>
      <c r="AN4" t="s">
        <v>545</v>
      </c>
      <c r="AO4" t="s">
        <v>997</v>
      </c>
      <c r="AP4" t="s">
        <v>342</v>
      </c>
      <c r="AQ4" t="s">
        <v>967</v>
      </c>
      <c r="AR4" t="s">
        <v>292</v>
      </c>
      <c r="AS4" t="s">
        <v>86</v>
      </c>
      <c r="AT4" t="s">
        <v>641</v>
      </c>
      <c r="AU4" t="s">
        <v>243</v>
      </c>
      <c r="AV4" t="s">
        <v>416</v>
      </c>
      <c r="AW4" t="s">
        <v>429</v>
      </c>
      <c r="AX4" t="s">
        <v>208</v>
      </c>
      <c r="AY4" t="s">
        <v>268</v>
      </c>
      <c r="AZ4" t="s">
        <v>84</v>
      </c>
      <c r="BA4" t="s">
        <v>79</v>
      </c>
      <c r="BB4" t="s">
        <v>2204</v>
      </c>
      <c r="BC4" t="s">
        <v>1911</v>
      </c>
      <c r="BD4" t="s">
        <v>258</v>
      </c>
      <c r="BE4" t="s">
        <v>338</v>
      </c>
      <c r="BF4" t="s">
        <v>670</v>
      </c>
      <c r="BG4" t="s">
        <v>608</v>
      </c>
      <c r="BH4" t="s">
        <v>1383</v>
      </c>
      <c r="BI4" t="s">
        <v>700</v>
      </c>
      <c r="BJ4" t="s">
        <v>392</v>
      </c>
      <c r="BK4" t="s">
        <v>1426</v>
      </c>
      <c r="BL4" t="s">
        <v>20</v>
      </c>
      <c r="BM4" t="s">
        <v>2521</v>
      </c>
    </row>
    <row r="5" spans="1:65">
      <c r="A5" s="6" t="s">
        <v>39</v>
      </c>
      <c r="B5">
        <v>1546</v>
      </c>
      <c r="C5">
        <v>70.540909090909125</v>
      </c>
      <c r="D5">
        <v>112893.19999999998</v>
      </c>
      <c r="F5" s="6" t="s">
        <v>26</v>
      </c>
      <c r="G5">
        <v>35896.300000000003</v>
      </c>
      <c r="H5">
        <v>16473.399999999998</v>
      </c>
      <c r="I5">
        <v>6866.6999999999989</v>
      </c>
      <c r="J5">
        <v>8583.2000000000007</v>
      </c>
      <c r="K5">
        <v>4318.7999999999993</v>
      </c>
      <c r="L5">
        <v>11332.5</v>
      </c>
      <c r="M5">
        <v>6520.9000000000005</v>
      </c>
      <c r="N5">
        <v>5481</v>
      </c>
      <c r="O5">
        <v>1693.2</v>
      </c>
      <c r="P5">
        <v>3701.9000000000005</v>
      </c>
      <c r="Q5">
        <v>3157.5000000000005</v>
      </c>
      <c r="R5">
        <v>2448.1999999999998</v>
      </c>
      <c r="S5">
        <v>2978.1</v>
      </c>
      <c r="T5">
        <v>2758.1</v>
      </c>
      <c r="U5">
        <v>315.3</v>
      </c>
      <c r="V5">
        <v>1347.5</v>
      </c>
      <c r="W5">
        <v>1232.5</v>
      </c>
      <c r="X5">
        <v>3242.7999999999997</v>
      </c>
      <c r="Y5">
        <v>401.20000000000005</v>
      </c>
      <c r="Z5">
        <v>225.6</v>
      </c>
      <c r="AA5">
        <v>530.4</v>
      </c>
      <c r="AB5">
        <v>1208.5999999999999</v>
      </c>
      <c r="AD5">
        <v>399.5</v>
      </c>
      <c r="AE5">
        <v>317.70000000000005</v>
      </c>
      <c r="AG5">
        <v>1672</v>
      </c>
      <c r="AI5">
        <v>488.79999999999995</v>
      </c>
      <c r="AJ5">
        <v>1589.7</v>
      </c>
      <c r="AK5">
        <v>248.4</v>
      </c>
      <c r="AN5">
        <v>248.2</v>
      </c>
      <c r="AP5">
        <v>189.4</v>
      </c>
      <c r="AS5">
        <v>830.5</v>
      </c>
      <c r="AT5">
        <v>348.2</v>
      </c>
      <c r="AW5">
        <v>213.8</v>
      </c>
      <c r="BC5">
        <v>285</v>
      </c>
      <c r="BE5">
        <v>92.6</v>
      </c>
      <c r="BM5">
        <v>127637.5</v>
      </c>
    </row>
    <row r="6" spans="1:65">
      <c r="A6" s="6" t="s">
        <v>69</v>
      </c>
      <c r="B6">
        <v>370</v>
      </c>
      <c r="C6">
        <v>65.886666666666684</v>
      </c>
      <c r="D6">
        <v>24664.600000000002</v>
      </c>
      <c r="F6" s="6" t="s">
        <v>22</v>
      </c>
      <c r="G6">
        <v>16899.799999999996</v>
      </c>
      <c r="H6">
        <v>10212</v>
      </c>
      <c r="I6">
        <v>3091.2</v>
      </c>
      <c r="J6">
        <v>5930.9000000000005</v>
      </c>
      <c r="K6">
        <v>1544.3999999999999</v>
      </c>
      <c r="L6">
        <v>300.39999999999998</v>
      </c>
      <c r="M6">
        <v>2058.0000000000005</v>
      </c>
      <c r="N6">
        <v>1816.9</v>
      </c>
      <c r="O6">
        <v>2543.5999999999995</v>
      </c>
      <c r="P6">
        <v>1551.7000000000003</v>
      </c>
      <c r="Q6">
        <v>539.9</v>
      </c>
      <c r="R6">
        <v>847.2</v>
      </c>
      <c r="S6">
        <v>1084.8000000000002</v>
      </c>
      <c r="T6">
        <v>588.19999999999993</v>
      </c>
      <c r="U6">
        <v>1740</v>
      </c>
      <c r="V6">
        <v>998</v>
      </c>
      <c r="W6">
        <v>308.60000000000002</v>
      </c>
      <c r="X6">
        <v>1457.5</v>
      </c>
      <c r="Y6">
        <v>213.39999999999998</v>
      </c>
      <c r="Z6">
        <v>706.8</v>
      </c>
      <c r="AA6">
        <v>1050</v>
      </c>
      <c r="AC6">
        <v>255.2</v>
      </c>
      <c r="AD6">
        <v>614.6</v>
      </c>
      <c r="AI6">
        <v>441.59999999999997</v>
      </c>
      <c r="AK6">
        <v>84.8</v>
      </c>
      <c r="AM6">
        <v>47.1</v>
      </c>
      <c r="AQ6">
        <v>253.5</v>
      </c>
      <c r="AT6">
        <v>48</v>
      </c>
      <c r="AV6">
        <v>165.89999999999998</v>
      </c>
      <c r="BM6">
        <v>57394</v>
      </c>
    </row>
    <row r="7" spans="1:65">
      <c r="A7" s="6" t="s">
        <v>30</v>
      </c>
      <c r="B7">
        <v>272</v>
      </c>
      <c r="C7">
        <v>63.582258064516125</v>
      </c>
      <c r="D7">
        <v>16668.2</v>
      </c>
      <c r="F7" s="6" t="s">
        <v>39</v>
      </c>
      <c r="G7">
        <v>35472.199999999997</v>
      </c>
      <c r="H7">
        <v>22916.799999999999</v>
      </c>
      <c r="I7">
        <v>9013.8000000000011</v>
      </c>
      <c r="J7">
        <v>3899.8999999999996</v>
      </c>
      <c r="K7">
        <v>6582.7</v>
      </c>
      <c r="L7">
        <v>1015.6</v>
      </c>
      <c r="M7">
        <v>3350.4</v>
      </c>
      <c r="N7">
        <v>2237.8000000000002</v>
      </c>
      <c r="O7">
        <v>2867.0000000000005</v>
      </c>
      <c r="P7">
        <v>2740.7</v>
      </c>
      <c r="Q7">
        <v>1279.5</v>
      </c>
      <c r="R7">
        <v>1624.1999999999998</v>
      </c>
      <c r="S7">
        <v>394.59999999999997</v>
      </c>
      <c r="T7">
        <v>1445.3999999999999</v>
      </c>
      <c r="U7">
        <v>928.19999999999993</v>
      </c>
      <c r="V7">
        <v>4119.6000000000004</v>
      </c>
      <c r="W7">
        <v>1700.1999999999998</v>
      </c>
      <c r="X7">
        <v>716.8</v>
      </c>
      <c r="Y7">
        <v>624</v>
      </c>
      <c r="Z7">
        <v>502.4</v>
      </c>
      <c r="AA7">
        <v>433.7</v>
      </c>
      <c r="AB7">
        <v>751.4</v>
      </c>
      <c r="AC7">
        <v>2235</v>
      </c>
      <c r="AD7">
        <v>190.2</v>
      </c>
      <c r="AE7">
        <v>422.6</v>
      </c>
      <c r="AH7">
        <v>1484.4</v>
      </c>
      <c r="AJ7">
        <v>322.2</v>
      </c>
      <c r="AK7">
        <v>513.4</v>
      </c>
      <c r="AL7">
        <v>1536.6</v>
      </c>
      <c r="AP7">
        <v>355.5</v>
      </c>
      <c r="AR7">
        <v>261.60000000000002</v>
      </c>
      <c r="AT7">
        <v>323.39999999999998</v>
      </c>
      <c r="AY7">
        <v>103.6</v>
      </c>
      <c r="BA7">
        <v>254.5</v>
      </c>
      <c r="BG7">
        <v>146.10000000000002</v>
      </c>
      <c r="BH7">
        <v>127.19999999999999</v>
      </c>
      <c r="BM7">
        <v>112893.2</v>
      </c>
    </row>
    <row r="8" spans="1:65">
      <c r="A8" s="6" t="s">
        <v>22</v>
      </c>
      <c r="B8">
        <v>912</v>
      </c>
      <c r="C8">
        <v>62.734224598930489</v>
      </c>
      <c r="D8">
        <v>57394.000000000022</v>
      </c>
      <c r="F8" s="6" t="s">
        <v>54</v>
      </c>
      <c r="G8">
        <v>11427.900000000003</v>
      </c>
      <c r="H8">
        <v>4888.0000000000009</v>
      </c>
      <c r="I8">
        <v>1659.8999999999999</v>
      </c>
      <c r="J8">
        <v>2727.7999999999997</v>
      </c>
      <c r="K8">
        <v>1780.6999999999998</v>
      </c>
      <c r="L8">
        <v>903.2</v>
      </c>
      <c r="M8">
        <v>436</v>
      </c>
      <c r="N8">
        <v>807.6</v>
      </c>
      <c r="O8">
        <v>366</v>
      </c>
      <c r="P8">
        <v>1668.5000000000002</v>
      </c>
      <c r="Q8">
        <v>465</v>
      </c>
      <c r="R8">
        <v>265.39999999999998</v>
      </c>
      <c r="S8">
        <v>499.20000000000005</v>
      </c>
      <c r="T8">
        <v>613.70000000000005</v>
      </c>
      <c r="V8">
        <v>369.6</v>
      </c>
      <c r="W8">
        <v>621.59999999999991</v>
      </c>
      <c r="Z8">
        <v>243</v>
      </c>
      <c r="AA8">
        <v>22.3</v>
      </c>
      <c r="AC8">
        <v>272.20000000000005</v>
      </c>
      <c r="AD8">
        <v>204.1</v>
      </c>
      <c r="AI8">
        <v>78.2</v>
      </c>
      <c r="AM8">
        <v>93.4</v>
      </c>
      <c r="AO8">
        <v>132.5</v>
      </c>
      <c r="AR8">
        <v>126</v>
      </c>
      <c r="AX8">
        <v>165</v>
      </c>
      <c r="BM8">
        <v>30836.800000000003</v>
      </c>
    </row>
    <row r="9" spans="1:65">
      <c r="A9" s="6" t="s">
        <v>42</v>
      </c>
      <c r="B9">
        <v>606</v>
      </c>
      <c r="C9">
        <v>60.217796610169515</v>
      </c>
      <c r="D9">
        <v>35240.5</v>
      </c>
      <c r="F9" s="6" t="s">
        <v>30</v>
      </c>
      <c r="G9">
        <v>3486.7</v>
      </c>
      <c r="H9">
        <v>2760.1000000000004</v>
      </c>
      <c r="I9">
        <v>564</v>
      </c>
      <c r="J9">
        <v>2269.8000000000002</v>
      </c>
      <c r="K9">
        <v>2779.8999999999996</v>
      </c>
      <c r="L9">
        <v>563.79999999999995</v>
      </c>
      <c r="M9">
        <v>680.2</v>
      </c>
      <c r="N9">
        <v>622.70000000000005</v>
      </c>
      <c r="O9">
        <v>947</v>
      </c>
      <c r="P9">
        <v>168.8</v>
      </c>
      <c r="Q9">
        <v>263.90000000000003</v>
      </c>
      <c r="R9">
        <v>405.40000000000003</v>
      </c>
      <c r="S9">
        <v>241.79999999999998</v>
      </c>
      <c r="Z9">
        <v>61.4</v>
      </c>
      <c r="AA9">
        <v>101.39999999999999</v>
      </c>
      <c r="AD9">
        <v>277.5</v>
      </c>
      <c r="AG9">
        <v>153.60000000000002</v>
      </c>
      <c r="AV9">
        <v>279.89999999999998</v>
      </c>
      <c r="BH9">
        <v>40.299999999999997</v>
      </c>
      <c r="BM9">
        <v>16668.200000000004</v>
      </c>
    </row>
    <row r="10" spans="1:65">
      <c r="A10" s="6" t="s">
        <v>146</v>
      </c>
      <c r="B10">
        <v>398</v>
      </c>
      <c r="C10">
        <v>56.942028985507235</v>
      </c>
      <c r="D10">
        <v>25206.500000000004</v>
      </c>
      <c r="F10" s="6" t="s">
        <v>44</v>
      </c>
      <c r="G10">
        <v>17082.899999999994</v>
      </c>
      <c r="H10">
        <v>9516.2000000000007</v>
      </c>
      <c r="I10">
        <v>3333.5000000000005</v>
      </c>
      <c r="J10">
        <v>2234</v>
      </c>
      <c r="K10">
        <v>1784</v>
      </c>
      <c r="L10">
        <v>215.2</v>
      </c>
      <c r="M10">
        <v>971.3</v>
      </c>
      <c r="N10">
        <v>601.6</v>
      </c>
      <c r="O10">
        <v>1122.7</v>
      </c>
      <c r="P10">
        <v>2100.8999999999996</v>
      </c>
      <c r="Q10">
        <v>796.1</v>
      </c>
      <c r="R10">
        <v>640.89999999999986</v>
      </c>
      <c r="S10">
        <v>2116.1</v>
      </c>
      <c r="T10">
        <v>224.2</v>
      </c>
      <c r="U10">
        <v>744.6</v>
      </c>
      <c r="V10">
        <v>22</v>
      </c>
      <c r="W10">
        <v>1082.7</v>
      </c>
      <c r="X10">
        <v>97.5</v>
      </c>
      <c r="Y10">
        <v>933.3</v>
      </c>
      <c r="Z10">
        <v>385.59999999999997</v>
      </c>
      <c r="AA10">
        <v>586.9</v>
      </c>
      <c r="AB10">
        <v>80</v>
      </c>
      <c r="AD10">
        <v>33.799999999999997</v>
      </c>
      <c r="AF10">
        <v>422.6</v>
      </c>
      <c r="AG10">
        <v>108</v>
      </c>
      <c r="AH10">
        <v>407.1</v>
      </c>
      <c r="AI10">
        <v>152.39999999999998</v>
      </c>
      <c r="AK10">
        <v>21.9</v>
      </c>
      <c r="AL10">
        <v>39.299999999999997</v>
      </c>
      <c r="AM10">
        <v>254.60000000000002</v>
      </c>
      <c r="AN10">
        <v>450.70000000000005</v>
      </c>
      <c r="AP10">
        <v>315.2</v>
      </c>
      <c r="AQ10">
        <v>73.8</v>
      </c>
      <c r="AR10">
        <v>32</v>
      </c>
      <c r="AS10">
        <v>57</v>
      </c>
      <c r="AW10">
        <v>76.8</v>
      </c>
      <c r="AX10">
        <v>80.599999999999994</v>
      </c>
      <c r="AY10">
        <v>169.90000000000003</v>
      </c>
      <c r="AZ10">
        <v>133.70000000000002</v>
      </c>
      <c r="BD10">
        <v>54.300000000000004</v>
      </c>
      <c r="BM10">
        <v>49555.899999999987</v>
      </c>
    </row>
    <row r="11" spans="1:65">
      <c r="A11" s="6" t="s">
        <v>128</v>
      </c>
      <c r="B11">
        <v>195</v>
      </c>
      <c r="C11">
        <v>55.313333333333333</v>
      </c>
      <c r="D11">
        <v>10705.5</v>
      </c>
      <c r="F11" s="6" t="s">
        <v>42</v>
      </c>
      <c r="G11">
        <v>12600.1</v>
      </c>
      <c r="H11">
        <v>7943.0999999999995</v>
      </c>
      <c r="I11">
        <v>2201.8000000000002</v>
      </c>
      <c r="J11">
        <v>1664.8</v>
      </c>
      <c r="K11">
        <v>1110.4000000000001</v>
      </c>
      <c r="L11">
        <v>1609.8999999999996</v>
      </c>
      <c r="M11">
        <v>109.80000000000001</v>
      </c>
      <c r="N11">
        <v>563.6</v>
      </c>
      <c r="O11">
        <v>877.5</v>
      </c>
      <c r="P11">
        <v>962.69999999999993</v>
      </c>
      <c r="Q11">
        <v>47.1</v>
      </c>
      <c r="R11">
        <v>58.4</v>
      </c>
      <c r="S11">
        <v>855.2</v>
      </c>
      <c r="T11">
        <v>363.2</v>
      </c>
      <c r="U11">
        <v>548.6</v>
      </c>
      <c r="V11">
        <v>1358</v>
      </c>
      <c r="AB11">
        <v>581</v>
      </c>
      <c r="AE11">
        <v>489.59999999999997</v>
      </c>
      <c r="AF11">
        <v>543.59999999999991</v>
      </c>
      <c r="AG11">
        <v>137.69999999999999</v>
      </c>
      <c r="AM11">
        <v>235.2</v>
      </c>
      <c r="AN11">
        <v>270.60000000000002</v>
      </c>
      <c r="AP11">
        <v>108.6</v>
      </c>
      <c r="BM11">
        <v>35240.499999999985</v>
      </c>
    </row>
    <row r="12" spans="1:65">
      <c r="A12" s="6" t="s">
        <v>37</v>
      </c>
      <c r="B12">
        <v>603</v>
      </c>
      <c r="C12">
        <v>53.748648648648647</v>
      </c>
      <c r="D12">
        <v>31608.100000000009</v>
      </c>
      <c r="F12" s="6" t="s">
        <v>76</v>
      </c>
      <c r="G12">
        <v>2499</v>
      </c>
      <c r="H12">
        <v>753.8</v>
      </c>
      <c r="I12">
        <v>575.5</v>
      </c>
      <c r="J12">
        <v>1632.4</v>
      </c>
      <c r="L12">
        <v>75</v>
      </c>
      <c r="N12">
        <v>154.19999999999999</v>
      </c>
      <c r="P12">
        <v>86.4</v>
      </c>
      <c r="T12">
        <v>297.5</v>
      </c>
      <c r="AA12">
        <v>40.200000000000003</v>
      </c>
      <c r="AF12">
        <v>117.6</v>
      </c>
      <c r="AK12">
        <v>57</v>
      </c>
      <c r="BM12">
        <v>6288.6</v>
      </c>
    </row>
    <row r="13" spans="1:65">
      <c r="A13" s="6" t="s">
        <v>46</v>
      </c>
      <c r="B13">
        <v>700</v>
      </c>
      <c r="C13">
        <v>47.813157894736847</v>
      </c>
      <c r="D13">
        <v>32052.80000000001</v>
      </c>
      <c r="F13" s="6" t="s">
        <v>128</v>
      </c>
      <c r="G13">
        <v>2533.7000000000003</v>
      </c>
      <c r="H13">
        <v>627.20000000000005</v>
      </c>
      <c r="I13">
        <v>705.5</v>
      </c>
      <c r="J13">
        <v>1532</v>
      </c>
      <c r="K13">
        <v>638.70000000000005</v>
      </c>
      <c r="L13">
        <v>462</v>
      </c>
      <c r="M13">
        <v>372.9</v>
      </c>
      <c r="N13">
        <v>433.5</v>
      </c>
      <c r="O13">
        <v>338</v>
      </c>
      <c r="P13">
        <v>195.29999999999998</v>
      </c>
      <c r="Q13">
        <v>556.70000000000005</v>
      </c>
      <c r="R13">
        <v>134.80000000000001</v>
      </c>
      <c r="S13">
        <v>300.3</v>
      </c>
      <c r="T13">
        <v>253.5</v>
      </c>
      <c r="U13">
        <v>129.19999999999999</v>
      </c>
      <c r="V13">
        <v>224</v>
      </c>
      <c r="Y13">
        <v>204.60000000000002</v>
      </c>
      <c r="AA13">
        <v>333</v>
      </c>
      <c r="AB13">
        <v>138.60000000000002</v>
      </c>
      <c r="AE13">
        <v>592</v>
      </c>
      <c r="BM13">
        <v>10705.5</v>
      </c>
    </row>
    <row r="14" spans="1:65">
      <c r="A14" s="6" t="s">
        <v>67</v>
      </c>
      <c r="B14">
        <v>258</v>
      </c>
      <c r="C14">
        <v>45.031999999999989</v>
      </c>
      <c r="D14">
        <v>11025.199999999997</v>
      </c>
      <c r="F14" s="6" t="s">
        <v>32</v>
      </c>
      <c r="G14">
        <v>9527</v>
      </c>
      <c r="H14">
        <v>1117.2999999999997</v>
      </c>
      <c r="I14">
        <v>1359.9</v>
      </c>
      <c r="J14">
        <v>1101.5999999999999</v>
      </c>
      <c r="K14">
        <v>1379.5</v>
      </c>
      <c r="L14">
        <v>207.60000000000002</v>
      </c>
      <c r="M14">
        <v>1244</v>
      </c>
      <c r="N14">
        <v>471</v>
      </c>
      <c r="O14">
        <v>150.5</v>
      </c>
      <c r="P14">
        <v>142.30000000000001</v>
      </c>
      <c r="Q14">
        <v>495.40000000000003</v>
      </c>
      <c r="R14">
        <v>655.29999999999995</v>
      </c>
      <c r="S14">
        <v>375.1</v>
      </c>
      <c r="T14">
        <v>677.2</v>
      </c>
      <c r="U14">
        <v>1120.5</v>
      </c>
      <c r="V14">
        <v>76</v>
      </c>
      <c r="W14">
        <v>400.79999999999995</v>
      </c>
      <c r="X14">
        <v>302.39999999999998</v>
      </c>
      <c r="Y14">
        <v>240</v>
      </c>
      <c r="Z14">
        <v>363.6</v>
      </c>
      <c r="AA14">
        <v>519.29999999999995</v>
      </c>
      <c r="AD14">
        <v>545.79999999999995</v>
      </c>
      <c r="AJ14">
        <v>160.29999999999998</v>
      </c>
      <c r="AN14">
        <v>65</v>
      </c>
      <c r="AQ14">
        <v>192.6</v>
      </c>
      <c r="AU14">
        <v>39.799999999999997</v>
      </c>
      <c r="AY14">
        <v>58.8</v>
      </c>
      <c r="BM14">
        <v>22988.599999999991</v>
      </c>
    </row>
    <row r="15" spans="1:65">
      <c r="A15" s="6" t="s">
        <v>123</v>
      </c>
      <c r="B15">
        <v>437</v>
      </c>
      <c r="C15">
        <v>44.669736842105273</v>
      </c>
      <c r="D15">
        <v>20170.399999999998</v>
      </c>
      <c r="F15" s="6" t="s">
        <v>37</v>
      </c>
      <c r="G15">
        <v>11504.399999999998</v>
      </c>
      <c r="H15">
        <v>2686.5000000000005</v>
      </c>
      <c r="I15">
        <v>2182.3999999999996</v>
      </c>
      <c r="J15">
        <v>1076.4000000000001</v>
      </c>
      <c r="K15">
        <v>3993.7999999999997</v>
      </c>
      <c r="L15">
        <v>1526.8999999999999</v>
      </c>
      <c r="M15">
        <v>563.90000000000009</v>
      </c>
      <c r="N15">
        <v>435.8</v>
      </c>
      <c r="O15">
        <v>579.4</v>
      </c>
      <c r="P15">
        <v>118.8</v>
      </c>
      <c r="Q15">
        <v>204.4</v>
      </c>
      <c r="R15">
        <v>245</v>
      </c>
      <c r="S15">
        <v>392.1</v>
      </c>
      <c r="T15">
        <v>511.8</v>
      </c>
      <c r="U15">
        <v>1229.4000000000001</v>
      </c>
      <c r="W15">
        <v>135.80000000000001</v>
      </c>
      <c r="X15">
        <v>344</v>
      </c>
      <c r="Y15">
        <v>432.9</v>
      </c>
      <c r="Z15">
        <v>161.69999999999999</v>
      </c>
      <c r="AC15">
        <v>413.6</v>
      </c>
      <c r="AE15">
        <v>267.5</v>
      </c>
      <c r="AF15">
        <v>832</v>
      </c>
      <c r="AH15">
        <v>332.4</v>
      </c>
      <c r="AI15">
        <v>146.5</v>
      </c>
      <c r="AK15">
        <v>830.19999999999993</v>
      </c>
      <c r="AO15">
        <v>259.20000000000005</v>
      </c>
      <c r="AR15">
        <v>41.8</v>
      </c>
      <c r="AU15">
        <v>159.5</v>
      </c>
      <c r="BM15">
        <v>31608.100000000002</v>
      </c>
    </row>
    <row r="16" spans="1:65">
      <c r="A16" s="6" t="s">
        <v>135</v>
      </c>
      <c r="B16">
        <v>270</v>
      </c>
      <c r="C16">
        <v>41.650000000000006</v>
      </c>
      <c r="D16">
        <v>11263.6</v>
      </c>
      <c r="F16" s="6" t="s">
        <v>135</v>
      </c>
      <c r="G16">
        <v>5193.1000000000004</v>
      </c>
      <c r="H16">
        <v>528.9</v>
      </c>
      <c r="I16">
        <v>170</v>
      </c>
      <c r="J16">
        <v>1018</v>
      </c>
      <c r="K16">
        <v>216.8</v>
      </c>
      <c r="L16">
        <v>548.70000000000005</v>
      </c>
      <c r="M16">
        <v>143.6</v>
      </c>
      <c r="O16">
        <v>306.8</v>
      </c>
      <c r="P16">
        <v>368.59999999999997</v>
      </c>
      <c r="Q16">
        <v>355.3</v>
      </c>
      <c r="R16">
        <v>226</v>
      </c>
      <c r="S16">
        <v>381.6</v>
      </c>
      <c r="U16">
        <v>343</v>
      </c>
      <c r="Z16">
        <v>240.2</v>
      </c>
      <c r="AD16">
        <v>147.30000000000001</v>
      </c>
      <c r="AG16">
        <v>344</v>
      </c>
      <c r="AI16">
        <v>378.90000000000003</v>
      </c>
      <c r="AQ16">
        <v>352.79999999999995</v>
      </c>
      <c r="BM16">
        <v>11263.600000000002</v>
      </c>
    </row>
    <row r="17" spans="1:65">
      <c r="A17" s="6" t="s">
        <v>54</v>
      </c>
      <c r="B17">
        <v>807</v>
      </c>
      <c r="C17">
        <v>39.046296296296305</v>
      </c>
      <c r="D17">
        <v>30836.800000000003</v>
      </c>
      <c r="F17" s="6" t="s">
        <v>46</v>
      </c>
      <c r="G17">
        <v>13042.2</v>
      </c>
      <c r="H17">
        <v>4801.4000000000005</v>
      </c>
      <c r="I17">
        <v>2358.5</v>
      </c>
      <c r="J17">
        <v>1012.3999999999997</v>
      </c>
      <c r="K17">
        <v>595.60000000000014</v>
      </c>
      <c r="L17">
        <v>556.5</v>
      </c>
      <c r="M17">
        <v>505.9</v>
      </c>
      <c r="O17">
        <v>1128.5999999999999</v>
      </c>
      <c r="P17">
        <v>703.80000000000007</v>
      </c>
      <c r="Q17">
        <v>3033.7</v>
      </c>
      <c r="R17">
        <v>187.8</v>
      </c>
      <c r="S17">
        <v>371.6</v>
      </c>
      <c r="T17">
        <v>402.2</v>
      </c>
      <c r="U17">
        <v>214.9</v>
      </c>
      <c r="W17">
        <v>335.7</v>
      </c>
      <c r="Y17">
        <v>133.80000000000001</v>
      </c>
      <c r="Z17">
        <v>237.1</v>
      </c>
      <c r="AA17">
        <v>221.8</v>
      </c>
      <c r="AF17">
        <v>237.29999999999998</v>
      </c>
      <c r="AI17">
        <v>297.7</v>
      </c>
      <c r="AM17">
        <v>86.300000000000011</v>
      </c>
      <c r="AN17">
        <v>296.5</v>
      </c>
      <c r="AO17">
        <v>630</v>
      </c>
      <c r="AQ17">
        <v>189.9</v>
      </c>
      <c r="AT17">
        <v>80.699999999999989</v>
      </c>
      <c r="BA17">
        <v>68.5</v>
      </c>
      <c r="BB17">
        <v>322.40000000000003</v>
      </c>
      <c r="BM17">
        <v>32052.800000000003</v>
      </c>
    </row>
    <row r="18" spans="1:65">
      <c r="A18" s="6" t="s">
        <v>76</v>
      </c>
      <c r="B18">
        <v>188</v>
      </c>
      <c r="C18">
        <v>36.963636363636368</v>
      </c>
      <c r="D18">
        <v>6288.5999999999995</v>
      </c>
      <c r="F18" s="6" t="s">
        <v>69</v>
      </c>
      <c r="G18">
        <v>6672.1</v>
      </c>
      <c r="H18">
        <v>3531.1</v>
      </c>
      <c r="I18">
        <v>462.6</v>
      </c>
      <c r="J18">
        <v>804.6</v>
      </c>
      <c r="K18">
        <v>1500.3999999999999</v>
      </c>
      <c r="L18">
        <v>1827.1999999999998</v>
      </c>
      <c r="M18">
        <v>318.29999999999995</v>
      </c>
      <c r="N18">
        <v>653</v>
      </c>
      <c r="O18">
        <v>326.10000000000002</v>
      </c>
      <c r="Q18">
        <v>341.8</v>
      </c>
      <c r="R18">
        <v>1028.1999999999998</v>
      </c>
      <c r="T18">
        <v>904.6</v>
      </c>
      <c r="U18">
        <v>176.39999999999998</v>
      </c>
      <c r="V18">
        <v>306.60000000000002</v>
      </c>
      <c r="W18">
        <v>828</v>
      </c>
      <c r="X18">
        <v>80.7</v>
      </c>
      <c r="Y18">
        <v>2258</v>
      </c>
      <c r="Z18">
        <v>888.4</v>
      </c>
      <c r="AB18">
        <v>631.5</v>
      </c>
      <c r="AE18">
        <v>60.6</v>
      </c>
      <c r="AF18">
        <v>131.6</v>
      </c>
      <c r="AM18">
        <v>84.2</v>
      </c>
      <c r="AN18">
        <v>132.30000000000001</v>
      </c>
      <c r="AO18">
        <v>111.30000000000001</v>
      </c>
      <c r="AR18">
        <v>86.4</v>
      </c>
      <c r="AU18">
        <v>141.6</v>
      </c>
      <c r="BD18">
        <v>172.2</v>
      </c>
      <c r="BF18">
        <v>204.8</v>
      </c>
      <c r="BM18">
        <v>24664.599999999995</v>
      </c>
    </row>
    <row r="19" spans="1:65">
      <c r="A19" s="6" t="s">
        <v>32</v>
      </c>
      <c r="B19">
        <v>647</v>
      </c>
      <c r="C19">
        <v>35.067968749999991</v>
      </c>
      <c r="D19">
        <v>22988.6</v>
      </c>
      <c r="F19" s="6" t="s">
        <v>146</v>
      </c>
      <c r="G19">
        <v>10494.499999999998</v>
      </c>
      <c r="H19">
        <v>1831.6</v>
      </c>
      <c r="I19">
        <v>373.79999999999995</v>
      </c>
      <c r="J19">
        <v>665.9</v>
      </c>
      <c r="K19">
        <v>756.40000000000009</v>
      </c>
      <c r="L19">
        <v>64.900000000000006</v>
      </c>
      <c r="M19">
        <v>1110.5999999999999</v>
      </c>
      <c r="N19">
        <v>5829.4</v>
      </c>
      <c r="O19">
        <v>534.5</v>
      </c>
      <c r="P19">
        <v>635.20000000000005</v>
      </c>
      <c r="Q19">
        <v>396.90000000000003</v>
      </c>
      <c r="R19">
        <v>184</v>
      </c>
      <c r="S19">
        <v>148.4</v>
      </c>
      <c r="T19">
        <v>168.4</v>
      </c>
      <c r="U19">
        <v>77.8</v>
      </c>
      <c r="V19">
        <v>51.4</v>
      </c>
      <c r="W19">
        <v>476.8</v>
      </c>
      <c r="Z19">
        <v>207</v>
      </c>
      <c r="AD19">
        <v>158.39999999999998</v>
      </c>
      <c r="AE19">
        <v>275.8</v>
      </c>
      <c r="AF19">
        <v>195.89999999999998</v>
      </c>
      <c r="AR19">
        <v>410.90000000000003</v>
      </c>
      <c r="AU19">
        <v>158</v>
      </c>
      <c r="BM19">
        <v>25206.5</v>
      </c>
    </row>
    <row r="20" spans="1:65">
      <c r="A20" s="6" t="s">
        <v>44</v>
      </c>
      <c r="B20">
        <v>1645</v>
      </c>
      <c r="C20">
        <v>30.238153846153875</v>
      </c>
      <c r="D20">
        <v>49555.900000000023</v>
      </c>
      <c r="F20" s="6" t="s">
        <v>67</v>
      </c>
      <c r="G20">
        <v>4017.2000000000003</v>
      </c>
      <c r="H20">
        <v>1665.4999999999998</v>
      </c>
      <c r="I20">
        <v>949.7</v>
      </c>
      <c r="J20">
        <v>500.29999999999995</v>
      </c>
      <c r="K20">
        <v>372</v>
      </c>
      <c r="L20">
        <v>108.4</v>
      </c>
      <c r="O20">
        <v>499.6</v>
      </c>
      <c r="P20">
        <v>319.60000000000002</v>
      </c>
      <c r="Q20">
        <v>339.5</v>
      </c>
      <c r="R20">
        <v>246.8</v>
      </c>
      <c r="T20">
        <v>210.2</v>
      </c>
      <c r="U20">
        <v>116.5</v>
      </c>
      <c r="V20">
        <v>479.5</v>
      </c>
      <c r="W20">
        <v>164</v>
      </c>
      <c r="AF20">
        <v>181</v>
      </c>
      <c r="AI20">
        <v>145.4</v>
      </c>
      <c r="AM20">
        <v>340.4</v>
      </c>
      <c r="AO20">
        <v>272</v>
      </c>
      <c r="AX20">
        <v>97.6</v>
      </c>
      <c r="BM20">
        <v>11025.199999999999</v>
      </c>
    </row>
    <row r="21" spans="1:65">
      <c r="A21" s="6" t="s">
        <v>81</v>
      </c>
      <c r="B21">
        <v>147</v>
      </c>
      <c r="C21">
        <v>28.725714285714282</v>
      </c>
      <c r="D21">
        <v>4597</v>
      </c>
      <c r="F21" s="6" t="s">
        <v>123</v>
      </c>
      <c r="G21">
        <v>7712.0000000000018</v>
      </c>
      <c r="H21">
        <v>2187.3000000000002</v>
      </c>
      <c r="I21">
        <v>1025.7</v>
      </c>
      <c r="J21">
        <v>473.6</v>
      </c>
      <c r="K21">
        <v>1072.3000000000002</v>
      </c>
      <c r="L21">
        <v>144.80000000000001</v>
      </c>
      <c r="M21">
        <v>2333.0999999999995</v>
      </c>
      <c r="O21">
        <v>346.3</v>
      </c>
      <c r="R21">
        <v>1464.4</v>
      </c>
      <c r="U21">
        <v>1833.7</v>
      </c>
      <c r="W21">
        <v>382</v>
      </c>
      <c r="X21">
        <v>166</v>
      </c>
      <c r="AE21">
        <v>206.4</v>
      </c>
      <c r="AI21">
        <v>58.8</v>
      </c>
      <c r="AJ21">
        <v>20.6</v>
      </c>
      <c r="AK21">
        <v>53.6</v>
      </c>
      <c r="AM21">
        <v>357.6</v>
      </c>
      <c r="AZ21">
        <v>192.5</v>
      </c>
      <c r="BE21">
        <v>113.5</v>
      </c>
      <c r="BK21">
        <v>26.2</v>
      </c>
      <c r="BM21">
        <v>20170.399999999998</v>
      </c>
    </row>
    <row r="22" spans="1:65">
      <c r="A22" s="6" t="s">
        <v>171</v>
      </c>
      <c r="B22">
        <v>65</v>
      </c>
      <c r="C22">
        <v>25.900000000000002</v>
      </c>
      <c r="D22">
        <v>1906.4</v>
      </c>
      <c r="F22" s="6" t="s">
        <v>81</v>
      </c>
      <c r="G22">
        <v>1409.2000000000003</v>
      </c>
      <c r="H22">
        <v>1484.0000000000002</v>
      </c>
      <c r="J22">
        <v>196.70000000000002</v>
      </c>
      <c r="K22">
        <v>79</v>
      </c>
      <c r="L22">
        <v>152.39999999999998</v>
      </c>
      <c r="M22">
        <v>92</v>
      </c>
      <c r="N22">
        <v>27</v>
      </c>
      <c r="O22">
        <v>396</v>
      </c>
      <c r="P22">
        <v>171.9</v>
      </c>
      <c r="T22">
        <v>287</v>
      </c>
      <c r="W22">
        <v>22.6</v>
      </c>
      <c r="Z22">
        <v>112.19999999999999</v>
      </c>
      <c r="AA22">
        <v>42.6</v>
      </c>
      <c r="AD22">
        <v>96</v>
      </c>
      <c r="BJ22">
        <v>28.4</v>
      </c>
      <c r="BM22">
        <v>4597.0000000000009</v>
      </c>
    </row>
    <row r="23" spans="1:65">
      <c r="A23" s="6" t="s">
        <v>16</v>
      </c>
      <c r="B23">
        <v>745</v>
      </c>
      <c r="C23">
        <v>22.061290322580632</v>
      </c>
      <c r="D23">
        <v>16316.4</v>
      </c>
      <c r="F23" s="6" t="s">
        <v>16</v>
      </c>
      <c r="G23">
        <v>7416.0999999999995</v>
      </c>
      <c r="H23">
        <v>2222.2000000000003</v>
      </c>
      <c r="I23">
        <v>776.4</v>
      </c>
      <c r="J23">
        <v>91.9</v>
      </c>
      <c r="K23">
        <v>1345.6</v>
      </c>
      <c r="L23">
        <v>296.89999999999998</v>
      </c>
      <c r="M23">
        <v>178</v>
      </c>
      <c r="N23">
        <v>425.6</v>
      </c>
      <c r="O23">
        <v>1055.8</v>
      </c>
      <c r="P23">
        <v>411.6</v>
      </c>
      <c r="Q23">
        <v>362.2</v>
      </c>
      <c r="R23">
        <v>638.20000000000005</v>
      </c>
      <c r="S23">
        <v>47</v>
      </c>
      <c r="T23">
        <v>108.5</v>
      </c>
      <c r="U23">
        <v>162.30000000000001</v>
      </c>
      <c r="V23">
        <v>11.4</v>
      </c>
      <c r="X23">
        <v>37.200000000000003</v>
      </c>
      <c r="AA23">
        <v>96.899999999999991</v>
      </c>
      <c r="AD23">
        <v>23.2</v>
      </c>
      <c r="AE23">
        <v>55.2</v>
      </c>
      <c r="AG23">
        <v>32.200000000000003</v>
      </c>
      <c r="AL23">
        <v>32</v>
      </c>
      <c r="AP23">
        <v>161</v>
      </c>
      <c r="AU23">
        <v>116.4</v>
      </c>
      <c r="AW23">
        <v>102.2</v>
      </c>
      <c r="BD23">
        <v>47.099999999999994</v>
      </c>
      <c r="BG23">
        <v>21.6</v>
      </c>
      <c r="BI23">
        <v>30.8</v>
      </c>
      <c r="BL23">
        <v>10.9</v>
      </c>
      <c r="BM23">
        <v>16316.4</v>
      </c>
    </row>
    <row r="24" spans="1:65">
      <c r="A24" s="6" t="s">
        <v>2521</v>
      </c>
      <c r="B24">
        <v>11997</v>
      </c>
      <c r="C24">
        <v>53.82754166666669</v>
      </c>
      <c r="D24">
        <v>649019.80000000144</v>
      </c>
      <c r="F24" s="6" t="s">
        <v>171</v>
      </c>
      <c r="G24">
        <v>664.8</v>
      </c>
      <c r="H24">
        <v>220.7</v>
      </c>
      <c r="I24">
        <v>114</v>
      </c>
      <c r="J24">
        <v>32.799999999999997</v>
      </c>
      <c r="K24">
        <v>34</v>
      </c>
      <c r="N24">
        <v>378.90000000000003</v>
      </c>
      <c r="O24">
        <v>93.399999999999991</v>
      </c>
      <c r="P24">
        <v>120</v>
      </c>
      <c r="Q24">
        <v>27.6</v>
      </c>
      <c r="R24">
        <v>54</v>
      </c>
      <c r="T24">
        <v>55.4</v>
      </c>
      <c r="V24">
        <v>51.2</v>
      </c>
      <c r="AM24">
        <v>59.6</v>
      </c>
      <c r="BM24">
        <v>1906.4000000000003</v>
      </c>
    </row>
    <row r="25" spans="1:65">
      <c r="F25" s="6" t="s">
        <v>2521</v>
      </c>
      <c r="G25">
        <v>215551.20000000004</v>
      </c>
      <c r="H25">
        <v>98367.099999999991</v>
      </c>
      <c r="I25">
        <v>37784.899999999994</v>
      </c>
      <c r="J25">
        <v>37449.000000000007</v>
      </c>
      <c r="K25">
        <v>31885</v>
      </c>
      <c r="L25">
        <v>21911.9</v>
      </c>
      <c r="M25">
        <v>20988.900000000005</v>
      </c>
      <c r="N25">
        <v>20939.599999999999</v>
      </c>
      <c r="O25">
        <v>16172</v>
      </c>
      <c r="P25">
        <v>16168.7</v>
      </c>
      <c r="Q25">
        <v>12662.500000000002</v>
      </c>
      <c r="R25">
        <v>11354.199999999997</v>
      </c>
      <c r="S25">
        <v>10185.9</v>
      </c>
      <c r="T25">
        <v>9869.1</v>
      </c>
      <c r="U25">
        <v>9680.4</v>
      </c>
      <c r="V25">
        <v>9414.7999999999993</v>
      </c>
      <c r="W25">
        <v>7691.3</v>
      </c>
      <c r="X25">
        <v>6444.9</v>
      </c>
      <c r="Y25">
        <v>5441.2000000000007</v>
      </c>
      <c r="Z25">
        <v>4334.9999999999991</v>
      </c>
      <c r="AA25">
        <v>3978.5</v>
      </c>
      <c r="AB25">
        <v>3391.1</v>
      </c>
      <c r="AC25">
        <v>3175.9999999999995</v>
      </c>
      <c r="AD25">
        <v>2690.4</v>
      </c>
      <c r="AE25">
        <v>2687.3999999999996</v>
      </c>
      <c r="AF25">
        <v>2661.6</v>
      </c>
      <c r="AG25">
        <v>2447.5</v>
      </c>
      <c r="AH25">
        <v>2223.9</v>
      </c>
      <c r="AI25">
        <v>2188.2999999999997</v>
      </c>
      <c r="AJ25">
        <v>2092.8000000000002</v>
      </c>
      <c r="AK25">
        <v>1809.3</v>
      </c>
      <c r="AL25">
        <v>1607.8999999999999</v>
      </c>
      <c r="AM25">
        <v>1558.4</v>
      </c>
      <c r="AN25">
        <v>1463.3000000000002</v>
      </c>
      <c r="AO25">
        <v>1405</v>
      </c>
      <c r="AP25">
        <v>1129.7</v>
      </c>
      <c r="AQ25">
        <v>1062.5999999999999</v>
      </c>
      <c r="AR25">
        <v>958.7</v>
      </c>
      <c r="AS25">
        <v>887.5</v>
      </c>
      <c r="AT25">
        <v>800.3</v>
      </c>
      <c r="AU25">
        <v>615.29999999999995</v>
      </c>
      <c r="AV25">
        <v>445.79999999999995</v>
      </c>
      <c r="AW25">
        <v>392.8</v>
      </c>
      <c r="AX25">
        <v>343.20000000000005</v>
      </c>
      <c r="AY25">
        <v>332.3</v>
      </c>
      <c r="AZ25">
        <v>326.20000000000005</v>
      </c>
      <c r="BA25">
        <v>323</v>
      </c>
      <c r="BB25">
        <v>322.40000000000003</v>
      </c>
      <c r="BC25">
        <v>285</v>
      </c>
      <c r="BD25">
        <v>273.59999999999997</v>
      </c>
      <c r="BE25">
        <v>206.1</v>
      </c>
      <c r="BF25">
        <v>204.8</v>
      </c>
      <c r="BG25">
        <v>167.70000000000002</v>
      </c>
      <c r="BH25">
        <v>167.5</v>
      </c>
      <c r="BI25">
        <v>30.8</v>
      </c>
      <c r="BJ25">
        <v>28.4</v>
      </c>
      <c r="BK25">
        <v>26.2</v>
      </c>
      <c r="BL25">
        <v>10.9</v>
      </c>
      <c r="BM25">
        <v>649019.79999999993</v>
      </c>
    </row>
    <row r="30" spans="1:65" ht="15">
      <c r="A30" s="15" t="s">
        <v>2573</v>
      </c>
      <c r="B30" s="15"/>
      <c r="C30" s="15"/>
      <c r="D30" s="15"/>
      <c r="E30" s="15"/>
      <c r="F30" s="15"/>
      <c r="H30" s="15" t="s">
        <v>2574</v>
      </c>
      <c r="I30" s="15"/>
    </row>
    <row r="32" spans="1:65" ht="30">
      <c r="A32" s="5" t="s">
        <v>2522</v>
      </c>
      <c r="B32" s="5" t="s">
        <v>2527</v>
      </c>
      <c r="H32" s="5" t="s">
        <v>2539</v>
      </c>
      <c r="I32" s="7" t="s">
        <v>2540</v>
      </c>
    </row>
    <row r="33" spans="1:9">
      <c r="A33" s="5" t="s">
        <v>2520</v>
      </c>
      <c r="B33" t="s">
        <v>2528</v>
      </c>
      <c r="C33" t="s">
        <v>2529</v>
      </c>
      <c r="D33" t="s">
        <v>2530</v>
      </c>
      <c r="E33" t="s">
        <v>2531</v>
      </c>
      <c r="F33" t="s">
        <v>2521</v>
      </c>
      <c r="H33" s="6">
        <v>1</v>
      </c>
      <c r="I33">
        <v>41</v>
      </c>
    </row>
    <row r="34" spans="1:9">
      <c r="A34" s="6" t="s">
        <v>44</v>
      </c>
      <c r="B34">
        <v>151</v>
      </c>
      <c r="C34">
        <v>141</v>
      </c>
      <c r="D34">
        <v>15</v>
      </c>
      <c r="E34">
        <v>18</v>
      </c>
      <c r="F34">
        <v>325</v>
      </c>
      <c r="H34" s="6">
        <v>2</v>
      </c>
      <c r="I34">
        <v>54</v>
      </c>
    </row>
    <row r="35" spans="1:9">
      <c r="A35" s="6" t="s">
        <v>26</v>
      </c>
      <c r="B35">
        <v>139</v>
      </c>
      <c r="C35">
        <v>88</v>
      </c>
      <c r="D35">
        <v>6</v>
      </c>
      <c r="E35">
        <v>14</v>
      </c>
      <c r="F35">
        <v>247</v>
      </c>
      <c r="H35" s="6">
        <v>3</v>
      </c>
      <c r="I35">
        <v>55</v>
      </c>
    </row>
    <row r="36" spans="1:9">
      <c r="A36" s="6" t="s">
        <v>39</v>
      </c>
      <c r="B36">
        <v>138</v>
      </c>
      <c r="C36">
        <v>114</v>
      </c>
      <c r="D36">
        <v>8</v>
      </c>
      <c r="E36">
        <v>26</v>
      </c>
      <c r="F36">
        <v>286</v>
      </c>
      <c r="H36" s="6">
        <v>4</v>
      </c>
      <c r="I36">
        <v>63</v>
      </c>
    </row>
    <row r="37" spans="1:9">
      <c r="A37" s="6" t="s">
        <v>22</v>
      </c>
      <c r="B37">
        <v>104</v>
      </c>
      <c r="C37">
        <v>69</v>
      </c>
      <c r="D37">
        <v>8</v>
      </c>
      <c r="E37">
        <v>6</v>
      </c>
      <c r="F37">
        <v>187</v>
      </c>
      <c r="H37" s="6">
        <v>5</v>
      </c>
      <c r="I37">
        <v>51</v>
      </c>
    </row>
    <row r="38" spans="1:9">
      <c r="A38" s="6" t="s">
        <v>16</v>
      </c>
      <c r="B38">
        <v>90</v>
      </c>
      <c r="C38">
        <v>60</v>
      </c>
      <c r="E38">
        <v>5</v>
      </c>
      <c r="F38">
        <v>155</v>
      </c>
      <c r="H38" s="6">
        <v>6</v>
      </c>
      <c r="I38">
        <v>78</v>
      </c>
    </row>
    <row r="39" spans="1:9">
      <c r="A39" s="6" t="s">
        <v>46</v>
      </c>
      <c r="B39">
        <v>87</v>
      </c>
      <c r="C39">
        <v>50</v>
      </c>
      <c r="D39">
        <v>5</v>
      </c>
      <c r="E39">
        <v>10</v>
      </c>
      <c r="F39">
        <v>152</v>
      </c>
      <c r="H39" s="6">
        <v>7</v>
      </c>
      <c r="I39">
        <v>56</v>
      </c>
    </row>
    <row r="40" spans="1:9">
      <c r="A40" s="6" t="s">
        <v>54</v>
      </c>
      <c r="B40">
        <v>85</v>
      </c>
      <c r="C40">
        <v>67</v>
      </c>
      <c r="D40">
        <v>3</v>
      </c>
      <c r="E40">
        <v>7</v>
      </c>
      <c r="F40">
        <v>162</v>
      </c>
      <c r="H40" s="6">
        <v>8</v>
      </c>
      <c r="I40">
        <v>68</v>
      </c>
    </row>
    <row r="41" spans="1:9">
      <c r="A41" s="6" t="s">
        <v>32</v>
      </c>
      <c r="B41">
        <v>68</v>
      </c>
      <c r="C41">
        <v>51</v>
      </c>
      <c r="D41">
        <v>4</v>
      </c>
      <c r="E41">
        <v>5</v>
      </c>
      <c r="F41">
        <v>128</v>
      </c>
      <c r="H41" s="6">
        <v>9</v>
      </c>
      <c r="I41">
        <v>59</v>
      </c>
    </row>
    <row r="42" spans="1:9">
      <c r="A42" s="6" t="s">
        <v>42</v>
      </c>
      <c r="B42">
        <v>63</v>
      </c>
      <c r="C42">
        <v>50</v>
      </c>
      <c r="D42">
        <v>2</v>
      </c>
      <c r="E42">
        <v>3</v>
      </c>
      <c r="F42">
        <v>118</v>
      </c>
      <c r="H42" s="6">
        <v>10</v>
      </c>
      <c r="I42">
        <v>68</v>
      </c>
    </row>
    <row r="43" spans="1:9">
      <c r="A43" s="6" t="s">
        <v>37</v>
      </c>
      <c r="B43">
        <v>53</v>
      </c>
      <c r="C43">
        <v>48</v>
      </c>
      <c r="D43">
        <v>4</v>
      </c>
      <c r="E43">
        <v>6</v>
      </c>
      <c r="F43">
        <v>111</v>
      </c>
      <c r="H43" s="6">
        <v>11</v>
      </c>
      <c r="I43">
        <v>53</v>
      </c>
    </row>
    <row r="44" spans="1:9">
      <c r="A44" s="6" t="s">
        <v>69</v>
      </c>
      <c r="B44">
        <v>52</v>
      </c>
      <c r="C44">
        <v>27</v>
      </c>
      <c r="D44">
        <v>5</v>
      </c>
      <c r="E44">
        <v>6</v>
      </c>
      <c r="F44">
        <v>90</v>
      </c>
      <c r="H44" s="6">
        <v>12</v>
      </c>
      <c r="I44">
        <v>70</v>
      </c>
    </row>
    <row r="45" spans="1:9">
      <c r="A45" s="6" t="s">
        <v>67</v>
      </c>
      <c r="B45">
        <v>32</v>
      </c>
      <c r="C45">
        <v>17</v>
      </c>
      <c r="D45">
        <v>1</v>
      </c>
      <c r="F45">
        <v>50</v>
      </c>
      <c r="H45" s="6">
        <v>13</v>
      </c>
      <c r="I45">
        <v>65</v>
      </c>
    </row>
    <row r="46" spans="1:9">
      <c r="A46" s="6" t="s">
        <v>30</v>
      </c>
      <c r="B46">
        <v>31</v>
      </c>
      <c r="C46">
        <v>24</v>
      </c>
      <c r="D46">
        <v>1</v>
      </c>
      <c r="E46">
        <v>6</v>
      </c>
      <c r="F46">
        <v>62</v>
      </c>
      <c r="H46" s="6" t="s">
        <v>2521</v>
      </c>
      <c r="I46">
        <v>781</v>
      </c>
    </row>
    <row r="47" spans="1:9">
      <c r="A47" s="6" t="s">
        <v>135</v>
      </c>
      <c r="B47">
        <v>29</v>
      </c>
      <c r="C47">
        <v>18</v>
      </c>
      <c r="D47">
        <v>1</v>
      </c>
      <c r="E47">
        <v>4</v>
      </c>
      <c r="F47">
        <v>52</v>
      </c>
    </row>
    <row r="48" spans="1:9">
      <c r="A48" s="6" t="s">
        <v>123</v>
      </c>
      <c r="B48">
        <v>28</v>
      </c>
      <c r="C48">
        <v>39</v>
      </c>
      <c r="D48">
        <v>5</v>
      </c>
      <c r="E48">
        <v>4</v>
      </c>
      <c r="F48">
        <v>76</v>
      </c>
    </row>
    <row r="49" spans="1:6">
      <c r="A49" s="6" t="s">
        <v>128</v>
      </c>
      <c r="B49">
        <v>24</v>
      </c>
      <c r="C49">
        <v>17</v>
      </c>
      <c r="D49">
        <v>1</v>
      </c>
      <c r="E49">
        <v>3</v>
      </c>
      <c r="F49">
        <v>45</v>
      </c>
    </row>
    <row r="50" spans="1:6">
      <c r="A50" s="6" t="s">
        <v>146</v>
      </c>
      <c r="B50">
        <v>21</v>
      </c>
      <c r="C50">
        <v>37</v>
      </c>
      <c r="D50">
        <v>2</v>
      </c>
      <c r="E50">
        <v>9</v>
      </c>
      <c r="F50">
        <v>69</v>
      </c>
    </row>
    <row r="51" spans="1:6">
      <c r="A51" s="6" t="s">
        <v>81</v>
      </c>
      <c r="B51">
        <v>14</v>
      </c>
      <c r="C51">
        <v>19</v>
      </c>
      <c r="D51">
        <v>1</v>
      </c>
      <c r="E51">
        <v>1</v>
      </c>
      <c r="F51">
        <v>35</v>
      </c>
    </row>
    <row r="52" spans="1:6">
      <c r="A52" s="6" t="s">
        <v>76</v>
      </c>
      <c r="B52">
        <v>14</v>
      </c>
      <c r="C52">
        <v>16</v>
      </c>
      <c r="D52">
        <v>1</v>
      </c>
      <c r="E52">
        <v>2</v>
      </c>
      <c r="F52">
        <v>33</v>
      </c>
    </row>
    <row r="53" spans="1:6">
      <c r="A53" s="6" t="s">
        <v>171</v>
      </c>
      <c r="B53">
        <v>8</v>
      </c>
      <c r="C53">
        <v>7</v>
      </c>
      <c r="D53">
        <v>2</v>
      </c>
      <c r="F53">
        <v>17</v>
      </c>
    </row>
    <row r="54" spans="1:6">
      <c r="A54" s="6" t="s">
        <v>2521</v>
      </c>
      <c r="B54">
        <v>1231</v>
      </c>
      <c r="C54">
        <v>959</v>
      </c>
      <c r="D54">
        <v>75</v>
      </c>
      <c r="E54">
        <v>135</v>
      </c>
      <c r="F54">
        <v>2400</v>
      </c>
    </row>
    <row r="57" spans="1:6" ht="15">
      <c r="A57" s="15" t="s">
        <v>2575</v>
      </c>
      <c r="B57" s="15"/>
      <c r="C57" s="15"/>
      <c r="D57" s="15"/>
      <c r="E57" s="15"/>
    </row>
    <row r="59" spans="1:6">
      <c r="A59" s="5" t="s">
        <v>13</v>
      </c>
      <c r="B59" s="6">
        <v>3</v>
      </c>
    </row>
    <row r="61" spans="1:6">
      <c r="A61" s="5" t="s">
        <v>1</v>
      </c>
      <c r="B61" t="s">
        <v>2522</v>
      </c>
      <c r="C61" t="s">
        <v>2524</v>
      </c>
      <c r="D61" t="s">
        <v>2526</v>
      </c>
      <c r="E61" t="s">
        <v>2525</v>
      </c>
    </row>
    <row r="62" spans="1:6">
      <c r="A62" s="6" t="s">
        <v>26</v>
      </c>
      <c r="B62">
        <v>14</v>
      </c>
      <c r="C62">
        <v>91</v>
      </c>
      <c r="D62">
        <v>9476.6</v>
      </c>
      <c r="E62">
        <v>93.749999999999986</v>
      </c>
    </row>
    <row r="63" spans="1:6">
      <c r="A63" s="6" t="s">
        <v>39</v>
      </c>
      <c r="B63">
        <v>18</v>
      </c>
      <c r="C63">
        <v>63</v>
      </c>
      <c r="D63">
        <v>4475.6000000000004</v>
      </c>
      <c r="E63">
        <v>74.900000000000006</v>
      </c>
    </row>
    <row r="64" spans="1:6">
      <c r="A64" s="6" t="s">
        <v>22</v>
      </c>
      <c r="B64">
        <v>15</v>
      </c>
      <c r="C64">
        <v>68</v>
      </c>
      <c r="D64">
        <v>4275.3</v>
      </c>
      <c r="E64">
        <v>65.61999999999999</v>
      </c>
    </row>
    <row r="65" spans="1:5">
      <c r="A65" s="6" t="s">
        <v>44</v>
      </c>
      <c r="B65">
        <v>24</v>
      </c>
      <c r="C65">
        <v>148</v>
      </c>
      <c r="D65">
        <v>4233.0000000000009</v>
      </c>
      <c r="E65">
        <v>29.037500000000005</v>
      </c>
    </row>
    <row r="66" spans="1:5">
      <c r="A66" s="6" t="s">
        <v>46</v>
      </c>
      <c r="B66">
        <v>9</v>
      </c>
      <c r="C66">
        <v>50</v>
      </c>
      <c r="D66">
        <v>3257.5000000000005</v>
      </c>
      <c r="E66">
        <v>54.022222222222219</v>
      </c>
    </row>
    <row r="67" spans="1:5">
      <c r="A67" s="6" t="s">
        <v>16</v>
      </c>
      <c r="B67">
        <v>10</v>
      </c>
      <c r="C67">
        <v>111</v>
      </c>
      <c r="D67">
        <v>2614.8000000000002</v>
      </c>
      <c r="E67">
        <v>20.589999999999996</v>
      </c>
    </row>
    <row r="68" spans="1:5">
      <c r="A68" s="6" t="s">
        <v>42</v>
      </c>
      <c r="B68">
        <v>8</v>
      </c>
      <c r="C68">
        <v>34</v>
      </c>
      <c r="D68">
        <v>2341.1</v>
      </c>
      <c r="E68">
        <v>66.024999999999991</v>
      </c>
    </row>
    <row r="69" spans="1:5">
      <c r="A69" s="6" t="s">
        <v>37</v>
      </c>
      <c r="B69">
        <v>7</v>
      </c>
      <c r="C69">
        <v>40</v>
      </c>
      <c r="D69">
        <v>2271.6</v>
      </c>
      <c r="E69">
        <v>57.071428571428562</v>
      </c>
    </row>
    <row r="70" spans="1:5">
      <c r="A70" s="6" t="s">
        <v>54</v>
      </c>
      <c r="B70">
        <v>10</v>
      </c>
      <c r="C70">
        <v>62</v>
      </c>
      <c r="D70">
        <v>2011.7</v>
      </c>
      <c r="E70">
        <v>37.04</v>
      </c>
    </row>
    <row r="71" spans="1:5">
      <c r="A71" s="6" t="s">
        <v>69</v>
      </c>
      <c r="B71">
        <v>4</v>
      </c>
      <c r="C71">
        <v>20</v>
      </c>
      <c r="D71">
        <v>1406.4</v>
      </c>
      <c r="E71">
        <v>72.899999999999991</v>
      </c>
    </row>
    <row r="72" spans="1:5">
      <c r="A72" s="6" t="s">
        <v>30</v>
      </c>
      <c r="B72">
        <v>4</v>
      </c>
      <c r="C72">
        <v>19</v>
      </c>
      <c r="D72">
        <v>1084.3</v>
      </c>
      <c r="E72">
        <v>64.574999999999989</v>
      </c>
    </row>
    <row r="73" spans="1:5">
      <c r="A73" s="6" t="s">
        <v>81</v>
      </c>
      <c r="B73">
        <v>6</v>
      </c>
      <c r="C73">
        <v>17</v>
      </c>
      <c r="D73">
        <v>1069.1999999999998</v>
      </c>
      <c r="E73">
        <v>40.6</v>
      </c>
    </row>
    <row r="74" spans="1:5">
      <c r="A74" s="6" t="s">
        <v>32</v>
      </c>
      <c r="B74">
        <v>5</v>
      </c>
      <c r="C74">
        <v>23</v>
      </c>
      <c r="D74">
        <v>808.59999999999991</v>
      </c>
      <c r="E74">
        <v>38.760000000000005</v>
      </c>
    </row>
    <row r="75" spans="1:5">
      <c r="A75" s="6" t="s">
        <v>146</v>
      </c>
      <c r="B75">
        <v>4</v>
      </c>
      <c r="C75">
        <v>11</v>
      </c>
      <c r="D75">
        <v>642.59999999999991</v>
      </c>
      <c r="E75">
        <v>57.675000000000004</v>
      </c>
    </row>
    <row r="76" spans="1:5">
      <c r="A76" s="6" t="s">
        <v>135</v>
      </c>
      <c r="B76">
        <v>4</v>
      </c>
      <c r="C76">
        <v>10</v>
      </c>
      <c r="D76">
        <v>498.3</v>
      </c>
      <c r="E76">
        <v>50.725000000000001</v>
      </c>
    </row>
    <row r="77" spans="1:5">
      <c r="A77" s="6" t="s">
        <v>76</v>
      </c>
      <c r="B77">
        <v>2</v>
      </c>
      <c r="C77">
        <v>7</v>
      </c>
      <c r="D77">
        <v>367.7</v>
      </c>
      <c r="E77">
        <v>42.8</v>
      </c>
    </row>
    <row r="78" spans="1:5">
      <c r="A78" s="6" t="s">
        <v>67</v>
      </c>
      <c r="B78">
        <v>2</v>
      </c>
      <c r="C78">
        <v>7</v>
      </c>
      <c r="D78">
        <v>320.39999999999998</v>
      </c>
      <c r="E78">
        <v>46.349999999999994</v>
      </c>
    </row>
    <row r="79" spans="1:5">
      <c r="A79" s="6" t="s">
        <v>123</v>
      </c>
      <c r="B79">
        <v>4</v>
      </c>
      <c r="C79">
        <v>10</v>
      </c>
      <c r="D79">
        <v>302.2</v>
      </c>
      <c r="E79">
        <v>32.099999999999994</v>
      </c>
    </row>
    <row r="80" spans="1:5">
      <c r="A80" s="6" t="s">
        <v>128</v>
      </c>
      <c r="B80">
        <v>1</v>
      </c>
      <c r="C80">
        <v>5</v>
      </c>
      <c r="D80">
        <v>243.5</v>
      </c>
      <c r="E80">
        <v>48.7</v>
      </c>
    </row>
    <row r="81" spans="1:6">
      <c r="A81" s="6" t="s">
        <v>2521</v>
      </c>
      <c r="B81">
        <v>151</v>
      </c>
      <c r="C81">
        <v>796</v>
      </c>
      <c r="D81">
        <v>41700.400000000001</v>
      </c>
      <c r="E81">
        <v>53.698013245033096</v>
      </c>
    </row>
    <row r="83" spans="1:6" ht="15">
      <c r="A83" s="15" t="s">
        <v>2576</v>
      </c>
      <c r="B83" s="15"/>
      <c r="E83" s="15" t="s">
        <v>2578</v>
      </c>
      <c r="F83" s="15"/>
    </row>
    <row r="85" spans="1:6" ht="30">
      <c r="A85" s="5" t="s">
        <v>2553</v>
      </c>
      <c r="B85" t="s">
        <v>2551</v>
      </c>
      <c r="E85" s="5" t="s">
        <v>1</v>
      </c>
      <c r="F85" s="7" t="s">
        <v>2536</v>
      </c>
    </row>
    <row r="86" spans="1:6">
      <c r="E86" s="6" t="s">
        <v>81</v>
      </c>
      <c r="F86">
        <v>4.1428571428571432</v>
      </c>
    </row>
    <row r="87" spans="1:6" ht="30">
      <c r="A87" s="5" t="s">
        <v>11</v>
      </c>
      <c r="B87" s="7" t="s">
        <v>2577</v>
      </c>
      <c r="E87" s="6" t="s">
        <v>54</v>
      </c>
      <c r="F87">
        <v>3.9320987654320989</v>
      </c>
    </row>
    <row r="88" spans="1:6">
      <c r="A88" s="6" t="s">
        <v>33</v>
      </c>
      <c r="B88">
        <v>781</v>
      </c>
      <c r="E88" s="6" t="s">
        <v>69</v>
      </c>
      <c r="F88">
        <v>3.8888888888888888</v>
      </c>
    </row>
    <row r="89" spans="1:6">
      <c r="A89" s="6" t="s">
        <v>62</v>
      </c>
      <c r="B89">
        <v>330</v>
      </c>
      <c r="E89" s="6" t="s">
        <v>123</v>
      </c>
      <c r="F89">
        <v>3.9473684210526314</v>
      </c>
    </row>
    <row r="90" spans="1:6">
      <c r="A90" s="6" t="s">
        <v>55</v>
      </c>
      <c r="B90">
        <v>162</v>
      </c>
      <c r="E90" s="6" t="s">
        <v>32</v>
      </c>
      <c r="F90">
        <v>3.9453125</v>
      </c>
    </row>
    <row r="91" spans="1:6">
      <c r="A91" s="6" t="s">
        <v>77</v>
      </c>
      <c r="B91">
        <v>135</v>
      </c>
      <c r="E91" s="6" t="s">
        <v>42</v>
      </c>
      <c r="F91">
        <v>3.8559322033898304</v>
      </c>
    </row>
    <row r="92" spans="1:6">
      <c r="A92" s="6" t="s">
        <v>115</v>
      </c>
      <c r="B92">
        <v>132</v>
      </c>
      <c r="E92" s="6" t="s">
        <v>39</v>
      </c>
      <c r="F92">
        <v>4.0174825174825175</v>
      </c>
    </row>
    <row r="93" spans="1:6">
      <c r="A93" s="6" t="s">
        <v>24</v>
      </c>
      <c r="B93">
        <v>83</v>
      </c>
      <c r="E93" s="6" t="s">
        <v>171</v>
      </c>
      <c r="F93">
        <v>4.0588235294117645</v>
      </c>
    </row>
    <row r="94" spans="1:6">
      <c r="A94" s="6" t="s">
        <v>72</v>
      </c>
      <c r="B94">
        <v>67</v>
      </c>
      <c r="E94" s="6" t="s">
        <v>146</v>
      </c>
      <c r="F94">
        <v>4.0144927536231885</v>
      </c>
    </row>
    <row r="95" spans="1:6">
      <c r="A95" s="6" t="s">
        <v>59</v>
      </c>
      <c r="B95">
        <v>67</v>
      </c>
      <c r="E95" s="6" t="s">
        <v>67</v>
      </c>
      <c r="F95">
        <v>4.12</v>
      </c>
    </row>
    <row r="96" spans="1:6">
      <c r="A96" s="6" t="s">
        <v>103</v>
      </c>
      <c r="B96">
        <v>58</v>
      </c>
      <c r="E96" s="6" t="s">
        <v>135</v>
      </c>
      <c r="F96">
        <v>3.8076923076923075</v>
      </c>
    </row>
    <row r="97" spans="1:7">
      <c r="A97" s="6" t="s">
        <v>147</v>
      </c>
      <c r="B97">
        <v>56</v>
      </c>
      <c r="E97" s="6" t="s">
        <v>37</v>
      </c>
      <c r="F97">
        <v>3.9279279279279278</v>
      </c>
    </row>
    <row r="98" spans="1:7">
      <c r="A98" s="6" t="s">
        <v>28</v>
      </c>
      <c r="B98">
        <v>52</v>
      </c>
      <c r="E98" s="6" t="s">
        <v>16</v>
      </c>
      <c r="F98">
        <v>3.9806451612903224</v>
      </c>
    </row>
    <row r="99" spans="1:7">
      <c r="A99" s="6" t="s">
        <v>110</v>
      </c>
      <c r="B99">
        <v>51</v>
      </c>
      <c r="E99" s="6" t="s">
        <v>26</v>
      </c>
      <c r="F99">
        <v>3.9190283400809718</v>
      </c>
    </row>
    <row r="100" spans="1:7">
      <c r="A100" s="6" t="s">
        <v>108</v>
      </c>
      <c r="B100">
        <v>44</v>
      </c>
      <c r="E100" s="6" t="s">
        <v>46</v>
      </c>
      <c r="F100">
        <v>3.9210526315789473</v>
      </c>
    </row>
    <row r="101" spans="1:7">
      <c r="A101" s="6" t="s">
        <v>82</v>
      </c>
      <c r="B101">
        <v>42</v>
      </c>
      <c r="E101" s="6" t="s">
        <v>128</v>
      </c>
      <c r="F101">
        <v>3.9555555555555557</v>
      </c>
    </row>
    <row r="102" spans="1:7">
      <c r="A102" s="6" t="s">
        <v>188</v>
      </c>
      <c r="B102">
        <v>32</v>
      </c>
      <c r="E102" s="6" t="s">
        <v>22</v>
      </c>
      <c r="F102">
        <v>3.9839572192513368</v>
      </c>
    </row>
    <row r="103" spans="1:7">
      <c r="A103" s="6" t="s">
        <v>74</v>
      </c>
      <c r="B103">
        <v>27</v>
      </c>
      <c r="E103" s="6" t="s">
        <v>76</v>
      </c>
      <c r="F103">
        <v>3.8484848484848486</v>
      </c>
    </row>
    <row r="104" spans="1:7">
      <c r="A104" s="6" t="s">
        <v>158</v>
      </c>
      <c r="B104">
        <v>26</v>
      </c>
      <c r="E104" s="6" t="s">
        <v>44</v>
      </c>
      <c r="F104">
        <v>3.9907692307692306</v>
      </c>
    </row>
    <row r="105" spans="1:7">
      <c r="A105" s="6" t="s">
        <v>113</v>
      </c>
      <c r="B105">
        <v>25</v>
      </c>
      <c r="E105" s="6" t="s">
        <v>30</v>
      </c>
      <c r="F105">
        <v>4.096774193548387</v>
      </c>
    </row>
    <row r="106" spans="1:7">
      <c r="A106" s="6" t="s">
        <v>52</v>
      </c>
      <c r="B106">
        <v>22</v>
      </c>
      <c r="E106" s="6" t="s">
        <v>2521</v>
      </c>
      <c r="F106">
        <v>3.9620833333333332</v>
      </c>
    </row>
    <row r="107" spans="1:7">
      <c r="A107" s="6" t="s">
        <v>201</v>
      </c>
      <c r="B107">
        <v>17</v>
      </c>
    </row>
    <row r="108" spans="1:7">
      <c r="A108" s="6" t="s">
        <v>186</v>
      </c>
      <c r="B108">
        <v>15</v>
      </c>
    </row>
    <row r="109" spans="1:7">
      <c r="A109" s="6" t="s">
        <v>334</v>
      </c>
      <c r="B109">
        <v>14</v>
      </c>
    </row>
    <row r="110" spans="1:7">
      <c r="A110" s="6" t="s">
        <v>587</v>
      </c>
      <c r="B110">
        <v>12</v>
      </c>
    </row>
    <row r="111" spans="1:7" ht="15">
      <c r="A111" s="6" t="s">
        <v>98</v>
      </c>
      <c r="B111">
        <v>12</v>
      </c>
      <c r="D111" s="15" t="s">
        <v>2580</v>
      </c>
      <c r="E111" s="15"/>
      <c r="F111" s="15"/>
      <c r="G111" s="15"/>
    </row>
    <row r="112" spans="1:7">
      <c r="A112" s="6" t="s">
        <v>364</v>
      </c>
      <c r="B112">
        <v>10</v>
      </c>
    </row>
    <row r="113" spans="1:6">
      <c r="A113" s="6" t="s">
        <v>331</v>
      </c>
      <c r="B113">
        <v>10</v>
      </c>
      <c r="E113" s="5" t="s">
        <v>9</v>
      </c>
      <c r="F113" s="6">
        <v>1</v>
      </c>
    </row>
    <row r="114" spans="1:6">
      <c r="A114" s="6" t="s">
        <v>1116</v>
      </c>
      <c r="B114">
        <v>8</v>
      </c>
    </row>
    <row r="115" spans="1:6">
      <c r="A115" s="6" t="s">
        <v>545</v>
      </c>
      <c r="B115">
        <v>8</v>
      </c>
      <c r="E115" s="5" t="s">
        <v>11</v>
      </c>
      <c r="F115" t="s">
        <v>2522</v>
      </c>
    </row>
    <row r="116" spans="1:6">
      <c r="A116" s="6" t="s">
        <v>49</v>
      </c>
      <c r="B116">
        <v>8</v>
      </c>
      <c r="E116" s="6" t="s">
        <v>33</v>
      </c>
      <c r="F116" s="9">
        <v>0.2857142857142857</v>
      </c>
    </row>
    <row r="117" spans="1:6">
      <c r="A117" s="6" t="s">
        <v>292</v>
      </c>
      <c r="B117">
        <v>7</v>
      </c>
      <c r="E117" s="6" t="s">
        <v>55</v>
      </c>
      <c r="F117" s="9">
        <v>0.14285714285714285</v>
      </c>
    </row>
    <row r="118" spans="1:6">
      <c r="A118" s="6" t="s">
        <v>342</v>
      </c>
      <c r="B118">
        <v>6</v>
      </c>
      <c r="E118" s="6" t="s">
        <v>77</v>
      </c>
      <c r="F118" s="9">
        <v>9.5238095238095233E-2</v>
      </c>
    </row>
    <row r="119" spans="1:6">
      <c r="A119" s="6" t="s">
        <v>437</v>
      </c>
      <c r="B119">
        <v>6</v>
      </c>
      <c r="E119" s="6" t="s">
        <v>158</v>
      </c>
      <c r="F119" s="9">
        <v>9.5238095238095233E-2</v>
      </c>
    </row>
    <row r="120" spans="1:6">
      <c r="A120" s="6" t="s">
        <v>949</v>
      </c>
      <c r="B120">
        <v>6</v>
      </c>
      <c r="E120" s="6" t="s">
        <v>62</v>
      </c>
      <c r="F120" s="9">
        <v>4.7619047619047616E-2</v>
      </c>
    </row>
    <row r="121" spans="1:6">
      <c r="A121" s="6" t="s">
        <v>309</v>
      </c>
      <c r="B121">
        <v>6</v>
      </c>
      <c r="E121" s="6" t="s">
        <v>113</v>
      </c>
      <c r="F121" s="9">
        <v>4.7619047619047616E-2</v>
      </c>
    </row>
    <row r="122" spans="1:6">
      <c r="A122" s="6" t="s">
        <v>802</v>
      </c>
      <c r="B122">
        <v>5</v>
      </c>
      <c r="E122" s="6" t="s">
        <v>545</v>
      </c>
      <c r="F122" s="9">
        <v>4.7619047619047616E-2</v>
      </c>
    </row>
    <row r="123" spans="1:6">
      <c r="A123" s="6" t="s">
        <v>377</v>
      </c>
      <c r="B123">
        <v>5</v>
      </c>
      <c r="E123" s="6" t="s">
        <v>108</v>
      </c>
      <c r="F123" s="9">
        <v>4.7619047619047616E-2</v>
      </c>
    </row>
    <row r="124" spans="1:6">
      <c r="A124" s="6" t="s">
        <v>967</v>
      </c>
      <c r="B124">
        <v>5</v>
      </c>
      <c r="E124" s="6" t="s">
        <v>110</v>
      </c>
      <c r="F124" s="9">
        <v>4.7619047619047616E-2</v>
      </c>
    </row>
    <row r="125" spans="1:6">
      <c r="A125" s="6" t="s">
        <v>997</v>
      </c>
      <c r="B125">
        <v>5</v>
      </c>
      <c r="E125" s="6" t="s">
        <v>24</v>
      </c>
      <c r="F125" s="9">
        <v>4.7619047619047616E-2</v>
      </c>
    </row>
    <row r="126" spans="1:6">
      <c r="A126" s="6" t="s">
        <v>243</v>
      </c>
      <c r="B126">
        <v>5</v>
      </c>
      <c r="E126" s="6" t="s">
        <v>331</v>
      </c>
      <c r="F126" s="9">
        <v>4.7619047619047616E-2</v>
      </c>
    </row>
    <row r="127" spans="1:6">
      <c r="A127" s="6" t="s">
        <v>641</v>
      </c>
      <c r="B127">
        <v>4</v>
      </c>
      <c r="E127" s="6" t="s">
        <v>59</v>
      </c>
      <c r="F127" s="9">
        <v>4.7619047619047616E-2</v>
      </c>
    </row>
    <row r="128" spans="1:6">
      <c r="A128" s="6" t="s">
        <v>268</v>
      </c>
      <c r="B128">
        <v>4</v>
      </c>
      <c r="E128" s="6" t="s">
        <v>2521</v>
      </c>
      <c r="F128" s="9">
        <v>1</v>
      </c>
    </row>
    <row r="129" spans="1:2">
      <c r="A129" s="6" t="s">
        <v>208</v>
      </c>
      <c r="B129">
        <v>3</v>
      </c>
    </row>
    <row r="130" spans="1:2">
      <c r="A130" s="6" t="s">
        <v>429</v>
      </c>
      <c r="B130">
        <v>3</v>
      </c>
    </row>
    <row r="131" spans="1:2">
      <c r="A131" s="6" t="s">
        <v>258</v>
      </c>
      <c r="B131">
        <v>3</v>
      </c>
    </row>
    <row r="132" spans="1:2">
      <c r="A132" s="6" t="s">
        <v>86</v>
      </c>
      <c r="B132">
        <v>2</v>
      </c>
    </row>
    <row r="133" spans="1:2">
      <c r="A133" s="6" t="s">
        <v>608</v>
      </c>
      <c r="B133">
        <v>2</v>
      </c>
    </row>
    <row r="134" spans="1:2">
      <c r="A134" s="6" t="s">
        <v>416</v>
      </c>
      <c r="B134">
        <v>2</v>
      </c>
    </row>
    <row r="135" spans="1:2">
      <c r="A135" s="6" t="s">
        <v>84</v>
      </c>
      <c r="B135">
        <v>2</v>
      </c>
    </row>
    <row r="136" spans="1:2">
      <c r="A136" s="6" t="s">
        <v>1383</v>
      </c>
      <c r="B136">
        <v>2</v>
      </c>
    </row>
    <row r="137" spans="1:2">
      <c r="A137" s="6" t="s">
        <v>79</v>
      </c>
      <c r="B137">
        <v>2</v>
      </c>
    </row>
    <row r="138" spans="1:2">
      <c r="A138" s="6" t="s">
        <v>338</v>
      </c>
      <c r="B138">
        <v>2</v>
      </c>
    </row>
    <row r="139" spans="1:2">
      <c r="A139" s="6" t="s">
        <v>670</v>
      </c>
      <c r="B139">
        <v>1</v>
      </c>
    </row>
    <row r="140" spans="1:2">
      <c r="A140" s="6" t="s">
        <v>392</v>
      </c>
      <c r="B140">
        <v>1</v>
      </c>
    </row>
    <row r="141" spans="1:2">
      <c r="A141" s="6" t="s">
        <v>20</v>
      </c>
      <c r="B141">
        <v>1</v>
      </c>
    </row>
    <row r="142" spans="1:2">
      <c r="A142" s="6" t="s">
        <v>1426</v>
      </c>
      <c r="B142">
        <v>1</v>
      </c>
    </row>
    <row r="143" spans="1:2">
      <c r="A143" s="6" t="s">
        <v>1911</v>
      </c>
      <c r="B143">
        <v>1</v>
      </c>
    </row>
    <row r="144" spans="1:2">
      <c r="A144" s="6" t="s">
        <v>2204</v>
      </c>
      <c r="B144">
        <v>1</v>
      </c>
    </row>
    <row r="145" spans="1:4">
      <c r="A145" s="6" t="s">
        <v>700</v>
      </c>
      <c r="B145">
        <v>1</v>
      </c>
    </row>
    <row r="146" spans="1:4">
      <c r="A146" s="6" t="s">
        <v>2521</v>
      </c>
      <c r="B146">
        <v>2400</v>
      </c>
    </row>
    <row r="150" spans="1:4" ht="15">
      <c r="A150" s="15" t="s">
        <v>2579</v>
      </c>
      <c r="B150" s="15"/>
      <c r="C150" s="15"/>
      <c r="D150" s="15"/>
    </row>
    <row r="152" spans="1:4">
      <c r="A152" s="5" t="s">
        <v>2552</v>
      </c>
      <c r="B152" s="6">
        <v>2</v>
      </c>
    </row>
    <row r="154" spans="1:4">
      <c r="A154" s="5" t="s">
        <v>1</v>
      </c>
      <c r="B154" t="s">
        <v>2522</v>
      </c>
      <c r="C154" t="s">
        <v>2526</v>
      </c>
      <c r="D154" t="s">
        <v>2524</v>
      </c>
    </row>
    <row r="155" spans="1:4">
      <c r="A155" s="6" t="s">
        <v>44</v>
      </c>
      <c r="B155">
        <v>71</v>
      </c>
      <c r="C155">
        <v>4521.5999999999995</v>
      </c>
      <c r="D155">
        <v>142</v>
      </c>
    </row>
    <row r="156" spans="1:4">
      <c r="A156" s="6" t="s">
        <v>26</v>
      </c>
      <c r="B156">
        <v>62</v>
      </c>
      <c r="C156">
        <v>13638.600000000002</v>
      </c>
      <c r="D156">
        <v>124</v>
      </c>
    </row>
    <row r="157" spans="1:4">
      <c r="A157" s="6" t="s">
        <v>39</v>
      </c>
      <c r="B157">
        <v>53</v>
      </c>
      <c r="C157">
        <v>7557</v>
      </c>
      <c r="D157">
        <v>106</v>
      </c>
    </row>
    <row r="158" spans="1:4">
      <c r="A158" s="6" t="s">
        <v>22</v>
      </c>
      <c r="B158">
        <v>49</v>
      </c>
      <c r="C158">
        <v>6348.9999999999982</v>
      </c>
      <c r="D158">
        <v>98</v>
      </c>
    </row>
    <row r="159" spans="1:4">
      <c r="A159" s="6" t="s">
        <v>46</v>
      </c>
      <c r="B159">
        <v>41</v>
      </c>
      <c r="C159">
        <v>4192</v>
      </c>
      <c r="D159">
        <v>82</v>
      </c>
    </row>
    <row r="160" spans="1:4">
      <c r="A160" s="6" t="s">
        <v>16</v>
      </c>
      <c r="B160">
        <v>40</v>
      </c>
      <c r="C160">
        <v>1756.2</v>
      </c>
      <c r="D160">
        <v>80</v>
      </c>
    </row>
    <row r="161" spans="1:4">
      <c r="A161" s="6" t="s">
        <v>54</v>
      </c>
      <c r="B161">
        <v>34</v>
      </c>
      <c r="C161">
        <v>2713.4000000000005</v>
      </c>
      <c r="D161">
        <v>68</v>
      </c>
    </row>
    <row r="162" spans="1:4">
      <c r="A162" s="6" t="s">
        <v>32</v>
      </c>
      <c r="B162">
        <v>30</v>
      </c>
      <c r="C162">
        <v>2082.8000000000002</v>
      </c>
      <c r="D162">
        <v>60</v>
      </c>
    </row>
    <row r="163" spans="1:4">
      <c r="A163" s="6" t="s">
        <v>42</v>
      </c>
      <c r="B163">
        <v>26</v>
      </c>
      <c r="C163">
        <v>3384.7999999999997</v>
      </c>
      <c r="D163">
        <v>52</v>
      </c>
    </row>
    <row r="164" spans="1:4">
      <c r="A164" s="6" t="s">
        <v>37</v>
      </c>
      <c r="B164">
        <v>23</v>
      </c>
      <c r="C164">
        <v>2677.2000000000007</v>
      </c>
      <c r="D164">
        <v>46</v>
      </c>
    </row>
    <row r="165" spans="1:4">
      <c r="A165" s="6" t="s">
        <v>69</v>
      </c>
      <c r="B165">
        <v>22</v>
      </c>
      <c r="C165">
        <v>3119.7999999999993</v>
      </c>
      <c r="D165">
        <v>44</v>
      </c>
    </row>
    <row r="166" spans="1:4">
      <c r="A166" s="6" t="s">
        <v>146</v>
      </c>
      <c r="B166">
        <v>18</v>
      </c>
      <c r="C166">
        <v>2255.6000000000004</v>
      </c>
      <c r="D166">
        <v>36</v>
      </c>
    </row>
    <row r="167" spans="1:4">
      <c r="A167" s="6" t="s">
        <v>30</v>
      </c>
      <c r="B167">
        <v>16</v>
      </c>
      <c r="C167">
        <v>1820.6000000000004</v>
      </c>
      <c r="D167">
        <v>32</v>
      </c>
    </row>
    <row r="168" spans="1:4">
      <c r="A168" s="6" t="s">
        <v>123</v>
      </c>
      <c r="B168">
        <v>11</v>
      </c>
      <c r="C168">
        <v>875.8</v>
      </c>
      <c r="D168">
        <v>22</v>
      </c>
    </row>
    <row r="169" spans="1:4">
      <c r="A169" s="6" t="s">
        <v>67</v>
      </c>
      <c r="B169">
        <v>11</v>
      </c>
      <c r="C169">
        <v>969.99999999999989</v>
      </c>
      <c r="D169">
        <v>22</v>
      </c>
    </row>
    <row r="170" spans="1:4">
      <c r="A170" s="6" t="s">
        <v>81</v>
      </c>
      <c r="B170">
        <v>8</v>
      </c>
      <c r="C170">
        <v>407.6</v>
      </c>
      <c r="D170">
        <v>16</v>
      </c>
    </row>
    <row r="171" spans="1:4">
      <c r="A171" s="6" t="s">
        <v>135</v>
      </c>
      <c r="B171">
        <v>7</v>
      </c>
      <c r="C171">
        <v>652</v>
      </c>
      <c r="D171">
        <v>14</v>
      </c>
    </row>
    <row r="172" spans="1:4">
      <c r="A172" s="6" t="s">
        <v>128</v>
      </c>
      <c r="B172">
        <v>7</v>
      </c>
      <c r="C172">
        <v>893.60000000000014</v>
      </c>
      <c r="D172">
        <v>14</v>
      </c>
    </row>
    <row r="173" spans="1:4">
      <c r="A173" s="6" t="s">
        <v>171</v>
      </c>
      <c r="B173">
        <v>6</v>
      </c>
      <c r="C173">
        <v>263.39999999999998</v>
      </c>
      <c r="D173">
        <v>12</v>
      </c>
    </row>
    <row r="174" spans="1:4">
      <c r="A174" s="6" t="s">
        <v>76</v>
      </c>
      <c r="B174">
        <v>5</v>
      </c>
      <c r="C174">
        <v>364.8</v>
      </c>
      <c r="D174">
        <v>10</v>
      </c>
    </row>
    <row r="175" spans="1:4">
      <c r="A175" s="6" t="s">
        <v>2521</v>
      </c>
      <c r="B175">
        <v>540</v>
      </c>
      <c r="C175">
        <v>60495.799999999945</v>
      </c>
      <c r="D175">
        <v>1080</v>
      </c>
    </row>
    <row r="179" spans="1:5" ht="15">
      <c r="A179" s="15" t="s">
        <v>2581</v>
      </c>
      <c r="B179" s="15"/>
      <c r="C179" s="15"/>
      <c r="D179" s="15"/>
      <c r="E179" s="15"/>
    </row>
    <row r="180" spans="1:5">
      <c r="A180" s="5" t="s">
        <v>8</v>
      </c>
      <c r="B180" t="s">
        <v>51</v>
      </c>
    </row>
    <row r="182" spans="1:5">
      <c r="A182" s="5" t="s">
        <v>2556</v>
      </c>
      <c r="B182" t="s">
        <v>2522</v>
      </c>
      <c r="C182" t="s">
        <v>2526</v>
      </c>
      <c r="D182" t="s">
        <v>2524</v>
      </c>
    </row>
    <row r="183" spans="1:5">
      <c r="A183" s="6">
        <v>10</v>
      </c>
      <c r="B183">
        <v>20</v>
      </c>
      <c r="C183">
        <v>12141.000000000002</v>
      </c>
      <c r="D183">
        <v>198</v>
      </c>
      <c r="E183" t="s">
        <v>2559</v>
      </c>
    </row>
    <row r="184" spans="1:5">
      <c r="A184" s="6">
        <v>1</v>
      </c>
      <c r="B184">
        <v>13</v>
      </c>
      <c r="C184">
        <v>9481.5</v>
      </c>
      <c r="D184">
        <v>121</v>
      </c>
      <c r="E184" t="s">
        <v>2557</v>
      </c>
    </row>
    <row r="185" spans="1:5">
      <c r="A185" s="6">
        <v>6</v>
      </c>
      <c r="B185">
        <v>28</v>
      </c>
      <c r="C185">
        <v>8601.6999999999989</v>
      </c>
      <c r="D185">
        <v>175</v>
      </c>
    </row>
    <row r="186" spans="1:5">
      <c r="A186" s="6">
        <v>4</v>
      </c>
      <c r="B186">
        <v>25</v>
      </c>
      <c r="C186">
        <v>7697</v>
      </c>
      <c r="D186">
        <v>189</v>
      </c>
    </row>
    <row r="187" spans="1:5">
      <c r="A187" s="6">
        <v>12</v>
      </c>
      <c r="B187">
        <v>16</v>
      </c>
      <c r="C187">
        <v>6819.5999999999995</v>
      </c>
      <c r="D187">
        <v>97</v>
      </c>
    </row>
    <row r="188" spans="1:5">
      <c r="A188" s="6">
        <v>5</v>
      </c>
      <c r="B188">
        <v>21</v>
      </c>
      <c r="C188">
        <v>5755.5999999999995</v>
      </c>
      <c r="D188">
        <v>126</v>
      </c>
    </row>
    <row r="189" spans="1:5">
      <c r="A189" s="6">
        <v>9</v>
      </c>
      <c r="B189">
        <v>27</v>
      </c>
      <c r="C189">
        <v>4730.7999999999984</v>
      </c>
      <c r="D189">
        <v>129</v>
      </c>
    </row>
    <row r="190" spans="1:5">
      <c r="A190" s="6">
        <v>11</v>
      </c>
      <c r="B190">
        <v>15</v>
      </c>
      <c r="C190">
        <v>4260.8999999999996</v>
      </c>
      <c r="D190">
        <v>63</v>
      </c>
    </row>
    <row r="191" spans="1:5">
      <c r="A191" s="6">
        <v>7</v>
      </c>
      <c r="B191">
        <v>23</v>
      </c>
      <c r="C191">
        <v>3824.5999999999995</v>
      </c>
      <c r="D191">
        <v>82</v>
      </c>
      <c r="E191" t="s">
        <v>2558</v>
      </c>
    </row>
    <row r="192" spans="1:5">
      <c r="A192" s="6">
        <v>8</v>
      </c>
      <c r="B192">
        <v>17</v>
      </c>
      <c r="C192">
        <v>3408.3999999999996</v>
      </c>
      <c r="D192">
        <v>72</v>
      </c>
    </row>
    <row r="193" spans="1:4">
      <c r="A193" s="6">
        <v>13</v>
      </c>
      <c r="B193">
        <v>18</v>
      </c>
      <c r="C193">
        <v>3361.6</v>
      </c>
      <c r="D193">
        <v>92</v>
      </c>
    </row>
    <row r="194" spans="1:4">
      <c r="A194" s="6">
        <v>2</v>
      </c>
      <c r="B194">
        <v>12</v>
      </c>
      <c r="C194">
        <v>1594.1000000000001</v>
      </c>
      <c r="D194">
        <v>34</v>
      </c>
    </row>
    <row r="195" spans="1:4">
      <c r="A195" s="6">
        <v>3</v>
      </c>
      <c r="B195">
        <v>13</v>
      </c>
      <c r="C195">
        <v>1449.3999999999999</v>
      </c>
      <c r="D195">
        <v>37</v>
      </c>
    </row>
    <row r="196" spans="1:4">
      <c r="A196" s="6" t="s">
        <v>2521</v>
      </c>
      <c r="B196">
        <v>248</v>
      </c>
      <c r="C196">
        <v>73126.199999999968</v>
      </c>
      <c r="D196">
        <v>1415</v>
      </c>
    </row>
  </sheetData>
  <mergeCells count="10">
    <mergeCell ref="A150:D150"/>
    <mergeCell ref="D111:G111"/>
    <mergeCell ref="A179:E179"/>
    <mergeCell ref="A2:D2"/>
    <mergeCell ref="F2:O2"/>
    <mergeCell ref="A30:F30"/>
    <mergeCell ref="H30:I30"/>
    <mergeCell ref="A57:E57"/>
    <mergeCell ref="E83:F83"/>
    <mergeCell ref="A83:B8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Data</vt:lpstr>
      <vt:lpstr>Questions &amp; KPIs</vt:lpstr>
      <vt:lpstr>Dashboard</vt:lpstr>
      <vt:lpstr>Pivot</vt:lpstr>
      <vt:lpstr>Pivot 2</vt:lpstr>
      <vt:lpstr>Rough_Analysis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Chandoo ORG</dc:creator>
  <cp:lastModifiedBy>Prathamesh</cp:lastModifiedBy>
  <dcterms:created xsi:type="dcterms:W3CDTF">2025-06-13T02:42:26Z</dcterms:created>
  <dcterms:modified xsi:type="dcterms:W3CDTF">2026-01-12T06:10:14Z</dcterms:modified>
</cp:coreProperties>
</file>